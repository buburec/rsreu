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3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5.xml" ContentType="application/vnd.openxmlformats-officedocument.drawing+xml"/>
  <Override PartName="/xl/ctrlProps/ctrlProp6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rash\Downloads\"/>
    </mc:Choice>
  </mc:AlternateContent>
  <xr:revisionPtr revIDLastSave="0" documentId="13_ncr:1_{B4EF0A31-ABCC-4CFB-861D-41506FCA9C2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Исходные" sheetId="9" r:id="rId1"/>
    <sheet name="Проект" sheetId="1" r:id="rId2"/>
    <sheet name="Портфель" sheetId="8" r:id="rId3"/>
    <sheet name="Отчет" sheetId="7" r:id="rId4"/>
    <sheet name="Options" sheetId="4" state="veryHidden" r:id="rId5"/>
    <sheet name="Language" sheetId="5" r:id="rId6"/>
  </sheets>
  <functionGroups builtInGroupCount="19"/>
  <definedNames>
    <definedName name="__ESTATE">Options!$B$12</definedName>
    <definedName name="_NPV1" localSheetId="1">Проект!$B$1618</definedName>
    <definedName name="_NPV2" localSheetId="1">Проект!$B$1691</definedName>
    <definedName name="_NPV3" localSheetId="1">Проект!$B$1762</definedName>
    <definedName name="AI_Version">Options!$B$5</definedName>
    <definedName name="CalcMethod">Проект!$B$77</definedName>
    <definedName name="Cash_At_End" localSheetId="1">Проект!$A$1286:$M$1286</definedName>
    <definedName name="Cash_Dividends" localSheetId="1">Проект!$A$1280:$M$1280</definedName>
    <definedName name="Cash_Finance" localSheetId="1">Проект!$A$1282:$M$1282</definedName>
    <definedName name="Cash_Grant" localSheetId="1">Проект!$A$1275:$M$1275</definedName>
    <definedName name="Cash_Interest" localSheetId="1">Проект!$A$1257:$M$1257</definedName>
    <definedName name="Cash_Invest" localSheetId="1">Проект!$A$1272:$M$1272</definedName>
    <definedName name="Cash_Leasing" localSheetId="1">Проект!$A$1279:$M$1279</definedName>
    <definedName name="Cash_LoanOut" localSheetId="1">Проект!$A$1278:$M$1278</definedName>
    <definedName name="Cash_Oper" localSheetId="1">Проект!$A$1261:$M$1261</definedName>
    <definedName name="Cash_Share" localSheetId="1">Проект!$A$1274:$M$1274</definedName>
    <definedName name="Cash_Total" localSheetId="1">Проект!$A$1284:$M$1284</definedName>
    <definedName name="Chart_1" localSheetId="2">Портфель!$A$189:$G$212</definedName>
    <definedName name="Chart_1" localSheetId="1">Проект!$A$1154:$G$1177</definedName>
    <definedName name="Chart_10" localSheetId="2">Портфель!$A$591:$G$614</definedName>
    <definedName name="Chart_10" localSheetId="1">Проект!$A$1561:$G$1584</definedName>
    <definedName name="Chart_11" localSheetId="2">Портфель!$A$616:$G$639</definedName>
    <definedName name="Chart_11" localSheetId="1">Проект!$A$1363:$G$1386</definedName>
    <definedName name="Chart_12" localSheetId="2">Портфель!$A$641:$G$664</definedName>
    <definedName name="Chart_12" localSheetId="1">Проект!$A$1634:$G$1657</definedName>
    <definedName name="Chart_13" localSheetId="2">Портфель!$A$716:$G$739</definedName>
    <definedName name="Chart_13" localSheetId="1">Проект!$A$1707:$G$1730</definedName>
    <definedName name="Chart_14" localSheetId="2">Портфель!$A$791:$G$814</definedName>
    <definedName name="Chart_14" localSheetId="1">Проект!$A$1778:$G$1801</definedName>
    <definedName name="Chart_15" localSheetId="2">Портфель!$A$864:$G$887</definedName>
    <definedName name="Chart_15" localSheetId="1">Проект!$A$1223:$G$1246</definedName>
    <definedName name="Chart_16" localSheetId="1">Проект!$A$1069:$G$1092</definedName>
    <definedName name="Chart_2" localSheetId="2">Портфель!$A$214:$G$237</definedName>
    <definedName name="Chart_2" localSheetId="1">Проект!$A$1179:$G$1202</definedName>
    <definedName name="Chart_3" localSheetId="2">Портфель!$A$239:$G$262</definedName>
    <definedName name="Chart_3" localSheetId="1">Проект!$A$1288:$G$1311</definedName>
    <definedName name="Chart_4" localSheetId="2">Портфель!$A$334:$G$357</definedName>
    <definedName name="Chart_4" localSheetId="1">Проект!$A$1313:$G$1336</definedName>
    <definedName name="Chart_5" localSheetId="2">Портфель!$A$359:$G$382</definedName>
    <definedName name="Chart_5" localSheetId="1">Проект!$A$1433:$G$1456</definedName>
    <definedName name="Chart_6" localSheetId="2">Портфель!$A$384:$G$407</definedName>
    <definedName name="Chart_6" localSheetId="1">Проект!$A$1458:$G$1481</definedName>
    <definedName name="Chart_7" localSheetId="2">Портфель!$A$409:$G$432</definedName>
    <definedName name="Chart_7" localSheetId="1">Проект!$A$1338:$G$1361</definedName>
    <definedName name="Chart_8" localSheetId="2">Портфель!$A$513:$G$536</definedName>
    <definedName name="Chart_8" localSheetId="1">Проект!$A$1511:$G$1534</definedName>
    <definedName name="Chart_9" localSheetId="2">Портфель!$A$538:$G$561</definedName>
    <definedName name="Chart_9" localSheetId="1">Проект!$A$1536:$G$1559</definedName>
    <definedName name="Count_Assets_1" localSheetId="1">Проект!$D$283</definedName>
    <definedName name="Count_Assets_2" localSheetId="1">Проект!$D$298</definedName>
    <definedName name="Count_Assets_3" localSheetId="1">Проект!$D$342</definedName>
    <definedName name="Count_Assets_4" localSheetId="1">Проект!$D$392</definedName>
    <definedName name="Count_Assets_5" localSheetId="1">Проект!$D$415</definedName>
    <definedName name="Count_Assets_6" localSheetId="1">Проект!$D$432</definedName>
    <definedName name="Count_Expenses_1" localSheetId="1">Проект!$D$866</definedName>
    <definedName name="Count_Expenses_2" localSheetId="1">Проект!$D$879</definedName>
    <definedName name="Count_Expenses_3" localSheetId="1">Проект!$D$890</definedName>
    <definedName name="Count_Expenses_4" localSheetId="1">Проект!$D$901</definedName>
    <definedName name="Count_Leasing" localSheetId="1">Проект!$D$544</definedName>
    <definedName name="Count_Loans" localSheetId="1">Проект!$D$1038</definedName>
    <definedName name="Count_Personnel_1" localSheetId="1">Проект!$D$786</definedName>
    <definedName name="Count_Personnel_2" localSheetId="1">Проект!$D$810</definedName>
    <definedName name="Count_Personnel_3" localSheetId="1">Проект!$D$819</definedName>
    <definedName name="Count_Personnel_4">Проект!$D$828</definedName>
    <definedName name="Count_Taxes_1" localSheetId="1">Проект!$D$150</definedName>
    <definedName name="Count_Taxes_2" localSheetId="1">Проект!$D$162</definedName>
    <definedName name="CUR_Foreign" localSheetId="1">Проект!$B$14</definedName>
    <definedName name="CUR_I_Foreign" localSheetId="1">Проект!$D$14</definedName>
    <definedName name="CUR_I_Main" localSheetId="1">Проект!$D$13</definedName>
    <definedName name="CUR_I_Report" localSheetId="2">Портфель!$D$25</definedName>
    <definedName name="CUR_I_Report" localSheetId="1">Проект!$D$15</definedName>
    <definedName name="CUR_Main" localSheetId="1">Проект!$B$13</definedName>
    <definedName name="CUR_Report" localSheetId="2">Портфель!$B$25</definedName>
    <definedName name="CUR_Report" localSheetId="1">Проект!$B$15</definedName>
    <definedName name="CurrencyRate" localSheetId="1">Проект!$F$88:$K$88</definedName>
    <definedName name="EST_BALANCE" localSheetId="1">Проект!#REF!</definedName>
    <definedName name="EST_DATA" localSheetId="1">Проект!#REF!</definedName>
    <definedName name="EST_Obj_Count" localSheetId="1">Проект!#REF!</definedName>
    <definedName name="EST_Obj_Height_1" localSheetId="1">Проект!#REF!</definedName>
    <definedName name="EST_Obj_Height_2" localSheetId="1">Проект!#REF!</definedName>
    <definedName name="EST_Obj_Height_2_After" localSheetId="1">Проект!#REF!</definedName>
    <definedName name="EST_Obj_Height_3" localSheetId="1">Проект!#REF!</definedName>
    <definedName name="EST_Obj_Height_3_After" localSheetId="1">Проект!#REF!</definedName>
    <definedName name="EST_Obj_Height_4" localSheetId="1">Проект!#REF!</definedName>
    <definedName name="EST_Obj_Height_4_After" localSheetId="1">Проект!#REF!</definedName>
    <definedName name="EST_Obj_Height_5" localSheetId="1">Проект!#REF!</definedName>
    <definedName name="EST_Obj_Height_5_After" localSheetId="1">Проект!#REF!</definedName>
    <definedName name="EST_Obj_Height_6" localSheetId="1">Проект!#REF!</definedName>
    <definedName name="EST_Obj_Height_6_After" localSheetId="1">Проект!#REF!</definedName>
    <definedName name="EST_Obj_Height_7" localSheetId="1">Проект!#REF!</definedName>
    <definedName name="EST_Obj_Height_7_After" localSheetId="1">Проект!#REF!</definedName>
    <definedName name="EST_Obj_Height_8" localSheetId="1">Проект!#REF!</definedName>
    <definedName name="EST_Obj_Height_8_After" localSheetId="1">Проект!#REF!</definedName>
    <definedName name="EST_Obj_Height_9" localSheetId="1">Проект!#REF!</definedName>
    <definedName name="Height_Assets_1" localSheetId="1">Проект!$E$283</definedName>
    <definedName name="Height_Assets_2" localSheetId="1">Проект!$E$298</definedName>
    <definedName name="Height_Assets_3" localSheetId="1">Проект!$E$342</definedName>
    <definedName name="Height_Assets_4" localSheetId="1">Проект!$E$392</definedName>
    <definedName name="Height_Assets_5" localSheetId="1">Проект!$E$415</definedName>
    <definedName name="Height_Assets_6" localSheetId="1">Проект!$E$432</definedName>
    <definedName name="Height_Expenses_1" localSheetId="1">Проект!$E$866</definedName>
    <definedName name="Height_Expenses_2" localSheetId="1">Проект!$E$879</definedName>
    <definedName name="Height_Expenses_3" localSheetId="1">Проект!$E$890</definedName>
    <definedName name="Height_Expenses_4" localSheetId="1">Проект!$E$901</definedName>
    <definedName name="Height_Leasing" localSheetId="1">Проект!$E$544</definedName>
    <definedName name="Height_Loans">Проект!$E$1038</definedName>
    <definedName name="Height_Personnel_1" localSheetId="1">Проект!$E$786</definedName>
    <definedName name="Height_Personnel_2" localSheetId="1">Проект!$E$810</definedName>
    <definedName name="Height_Personnel_3" localSheetId="1">Проект!$E$819</definedName>
    <definedName name="Height_Personnel_4" localSheetId="1">Проект!$E$828</definedName>
    <definedName name="Height_Taxes_1" localSheetId="1">Проект!$E$150</definedName>
    <definedName name="Height_Taxes_2" localSheetId="1">Проект!$E$162</definedName>
    <definedName name="IS_BUILT">Options!$B$4</definedName>
    <definedName name="IS_DEMO">Options!$B$7</definedName>
    <definedName name="IS_ESTATE">Options!$B$11</definedName>
    <definedName name="IS_SUMM">Options!$B$10</definedName>
    <definedName name="IS_TRIAL">Options!$B$8</definedName>
    <definedName name="LanguageID">Language!$A$2</definedName>
    <definedName name="LAST_COLUMN" localSheetId="2">Портфель!$K:$K</definedName>
    <definedName name="LAST_COLUMN" localSheetId="1">Проект!$K:$K</definedName>
    <definedName name="LIFE_PRJ" localSheetId="2">Портфель!$B$14</definedName>
    <definedName name="LNG_CurList">Language!$A$39:$A$56</definedName>
    <definedName name="NWC_T_Cr_AdvK" localSheetId="1">Проект!$B$971</definedName>
    <definedName name="NWC_T_Cr_AdvT" localSheetId="1">Проект!$C$971</definedName>
    <definedName name="NWC_T_Cr_CrdK" localSheetId="1">Проект!$B$972</definedName>
    <definedName name="NWC_T_Cr_CrdT" localSheetId="1">Проект!$C$972</definedName>
    <definedName name="NWC_T_Cycle" localSheetId="1">Проект!$B$948</definedName>
    <definedName name="NWC_T_Db_AdvK" localSheetId="1">Проект!$B$959</definedName>
    <definedName name="NWC_T_Db_AdvT" localSheetId="1">Проект!$C$959</definedName>
    <definedName name="NWC_T_Db_CrdK" localSheetId="1">Проект!$B$960</definedName>
    <definedName name="NWC_T_Db_CrdT" localSheetId="1">Проект!$C$960</definedName>
    <definedName name="NWC_T_Goods" localSheetId="1">Проект!$B$952</definedName>
    <definedName name="NWC_T_Mat" localSheetId="1">Проект!$B$944</definedName>
    <definedName name="PeriodTitle" localSheetId="2">Портфель!$F$89:$K$89</definedName>
    <definedName name="PeriodTitle" localSheetId="1">Проект!$F$75:$K$75</definedName>
    <definedName name="PORT_Consolidated_1">Портфель!$E$44</definedName>
    <definedName name="PORT_ExtPrjCount" localSheetId="2">Портфель!$E$11</definedName>
    <definedName name="PORT_ExtUpdatedTime" localSheetId="2">Портфель!$B$16</definedName>
    <definedName name="PORT_IntPrjCount" localSheetId="2">Портфель!$D$11</definedName>
    <definedName name="PORT_Name" localSheetId="2">Портфель!$A$7</definedName>
    <definedName name="PORT_PRJ_COUNT">Options!$B$14</definedName>
    <definedName name="PORT_PrjList" localSheetId="2">Портфель!$A$11</definedName>
    <definedName name="PORT_PrjPeriods">Портфель!$A$27</definedName>
    <definedName name="PRJ_Len" localSheetId="2">Портфель!$D$23</definedName>
    <definedName name="PRJ_Len" localSheetId="1">Проект!$D$10</definedName>
    <definedName name="PRJ_Name" localSheetId="1">Проект!$A$7</definedName>
    <definedName name="PRJ_Protected" localSheetId="1">Проект!$D$21</definedName>
    <definedName name="PRJ_StartDate" localSheetId="2">Портфель!$B$22</definedName>
    <definedName name="PRJ_StartDate" localSheetId="1">Проект!$B$9</definedName>
    <definedName name="PRJ_StartMon" localSheetId="2">Портфель!$F$32</definedName>
    <definedName name="PRJ_StartMon" localSheetId="1">Проект!$F$28</definedName>
    <definedName name="PRJ_StartYear" localSheetId="2">Портфель!$F$31</definedName>
    <definedName name="PRJ_StartYear" localSheetId="1">Проект!$F$27</definedName>
    <definedName name="PRJ_Step" localSheetId="2">Портфель!$E$24</definedName>
    <definedName name="PRJ_Step" localSheetId="1">Проект!$D$12</definedName>
    <definedName name="PRJ_Step_SName" localSheetId="2">Портфель!$E$23</definedName>
    <definedName name="PRJ_Step_SName" localSheetId="1">Проект!$E$11</definedName>
    <definedName name="PRJ_StepType" localSheetId="2">Портфель!$D$24</definedName>
    <definedName name="PRJ_StepType" localSheetId="1">Проект!$D$11</definedName>
    <definedName name="Product_Count" localSheetId="1">Проект!$D$585</definedName>
    <definedName name="Product_Height_1" localSheetId="1">Проект!$E$585</definedName>
    <definedName name="Product_Height_2" localSheetId="1">Проект!$E$592</definedName>
    <definedName name="Product_Height_2_After" localSheetId="1">Проект!$D$592</definedName>
    <definedName name="Product_Height_3" localSheetId="1">Проект!$E$599</definedName>
    <definedName name="Product_Height_3_After" localSheetId="1">Проект!$D$599</definedName>
    <definedName name="Product_Height_4" localSheetId="1">Проект!$E$618</definedName>
    <definedName name="Product_Height_4_After" localSheetId="1">Проект!$D$618</definedName>
    <definedName name="Product_Height_5" localSheetId="1">Проект!$E$647</definedName>
    <definedName name="Product_Height_5_After" localSheetId="1">Проект!$D$647</definedName>
    <definedName name="Product_Height_6" localSheetId="1">Проект!$E$660</definedName>
    <definedName name="Product_Height_6_After" localSheetId="1">Проект!$D$660</definedName>
    <definedName name="Product_Height_7" localSheetId="1">Проект!$E$669</definedName>
    <definedName name="Product_Height_7_After" localSheetId="1">Проект!$D$669</definedName>
    <definedName name="Product_Height_8" localSheetId="1">Проект!$E$688</definedName>
    <definedName name="Product_Height_8_After" localSheetId="1">Проект!$D$688</definedName>
    <definedName name="Product_Height_9" localSheetId="1">Проект!$E$739</definedName>
    <definedName name="Product_Height_9_After" localSheetId="1">Проект!$D$739</definedName>
    <definedName name="ProfitTax" localSheetId="1">Проект!$B$171</definedName>
    <definedName name="SENS_Discount" localSheetId="1">Проект!$B$1592</definedName>
    <definedName name="SENS_From" localSheetId="1">Проект!$B$1928</definedName>
    <definedName name="SENS_Invest" localSheetId="1">Проект!$F$473:$M$540</definedName>
    <definedName name="SENS_PList_Result" localSheetId="1">Проект!$A$1979:$C$1984</definedName>
    <definedName name="SENS_PList_Source" localSheetId="1">Проект!$A$1972:$D$1977</definedName>
    <definedName name="SENS_Price" localSheetId="1">Проект!$F$636:$M$643</definedName>
    <definedName name="SENS_Result" localSheetId="1">Проект!$E$1933</definedName>
    <definedName name="SENS_Sales" localSheetId="1">Проект!$F$593:$M$595</definedName>
    <definedName name="SENS_Source" localSheetId="1">Проект!$E$1925</definedName>
    <definedName name="SENS_Step" localSheetId="1">Проект!$B$1929</definedName>
    <definedName name="SENS_Table" localSheetId="1">Проект!$B$1936:$C$1942</definedName>
    <definedName name="ShowAbout">Options!$B$9</definedName>
    <definedName name="ShowRealDates" localSheetId="1">Проект!$D$22</definedName>
    <definedName name="SUMM_Only_Money1" localSheetId="1">Проект!$1024:$1024</definedName>
    <definedName name="SUMM_Only_Money2" localSheetId="1">Проект!$1066:$1066</definedName>
    <definedName name="Table_1" localSheetId="2">Портфель!$A$4:$M$36</definedName>
    <definedName name="Table_1" localSheetId="1">Проект!$A$4:$M$32</definedName>
    <definedName name="Table_10" localSheetId="2">Портфель!$A$817:$M$862</definedName>
    <definedName name="Table_10" localSheetId="1">Проект!$A$598:$M$614</definedName>
    <definedName name="Table_11" localSheetId="2">Портфель!$A$890:$M$915</definedName>
    <definedName name="Table_11" localSheetId="1">Проект!$A$617:$M$643</definedName>
    <definedName name="Table_12" localSheetId="2">Портфель!$A$918:$M$955</definedName>
    <definedName name="Table_12" localSheetId="1">Проект!$A$646:$M$656</definedName>
    <definedName name="Table_13" localSheetId="1">Проект!$A$659:$M$665</definedName>
    <definedName name="Table_14" localSheetId="1">Проект!$A$668:$M$684</definedName>
    <definedName name="Table_15" localSheetId="1">Проект!$A$687:$M$735</definedName>
    <definedName name="Table_16" localSheetId="1">Проект!$A$738:$M$780</definedName>
    <definedName name="Table_17" localSheetId="1">Проект!$A$783:$M$855</definedName>
    <definedName name="Table_18" localSheetId="1">Проект!$A$858:$M$937</definedName>
    <definedName name="Table_19" localSheetId="1">Проект!$A$940:$M$1002</definedName>
    <definedName name="Table_2" localSheetId="2">Портфель!$A$39:$M$59</definedName>
    <definedName name="Table_2" localSheetId="1">Проект!$A$35:$F$72</definedName>
    <definedName name="Table_20" localSheetId="1">Проект!$A$1005:$M$1023</definedName>
    <definedName name="Table_21" localSheetId="1">Проект!$A$1028:$M$1065</definedName>
    <definedName name="Table_22" localSheetId="1">Проект!$A$1095:$M$1124</definedName>
    <definedName name="Table_23" localSheetId="1">Проект!$A$1127:$M$1152</definedName>
    <definedName name="Table_24" localSheetId="1">Проект!$A$1205:$M$1221</definedName>
    <definedName name="Table_25" localSheetId="1">Проект!$A$1249:$M$1286</definedName>
    <definedName name="Table_26" localSheetId="1">Проект!$A$1389:$L$1431</definedName>
    <definedName name="Table_27" localSheetId="1">Проект!$A$1484:$L$1509</definedName>
    <definedName name="Table_28" localSheetId="1">Проект!$A$1587:$M$1632</definedName>
    <definedName name="Table_29" localSheetId="1">Проект!$A$1660:$M$1705</definedName>
    <definedName name="Table_3" localSheetId="2">Портфель!$A$66:$M$119</definedName>
    <definedName name="Table_3" localSheetId="1">Проект!$A$75:$M$99</definedName>
    <definedName name="Table_30" localSheetId="1">Проект!$A$1733:$M$1776</definedName>
    <definedName name="Table_31" localSheetId="1">Проект!$A$1804:$M$1827</definedName>
    <definedName name="Table_32" localSheetId="1">Проект!$A$1830:$M$1878</definedName>
    <definedName name="Table_33" localSheetId="1">Проект!$A$1881:$M$1918</definedName>
    <definedName name="Table_34" localSheetId="1">Проект!$A$1921:$M$1946</definedName>
    <definedName name="Table_4" localSheetId="2">Портфель!$A$122:$M$187</definedName>
    <definedName name="Table_4" localSheetId="1">Проект!$A$102:$M$228</definedName>
    <definedName name="Table_5" localSheetId="2">Портфель!$A$265:$M$332</definedName>
    <definedName name="Table_5" localSheetId="1">Проект!$A$231:$M$278</definedName>
    <definedName name="Table_6" localSheetId="2">Портфель!$A$435:$L$511</definedName>
    <definedName name="Table_6" localSheetId="1">Проект!$A$281:$M$540</definedName>
    <definedName name="Table_7" localSheetId="2">Портфель!$A$564:$L$589</definedName>
    <definedName name="Table_7" localSheetId="1">Проект!$A$543:$M$580</definedName>
    <definedName name="Table_8" localSheetId="2">Портфель!$A$667:$M$714</definedName>
    <definedName name="Table_8" localSheetId="1">Проект!$A$583:$M$588</definedName>
    <definedName name="Table_9" localSheetId="2">Портфель!$A$742:$M$789</definedName>
    <definedName name="Table_9" localSheetId="1">Проект!$A$591:$M$595</definedName>
    <definedName name="ToBuild_Demo">Options!$B$20</definedName>
    <definedName name="ToBuild_Estate">Options!$B$19</definedName>
    <definedName name="ToBuild_Lang">Options!$B$21</definedName>
    <definedName name="ToBuild_Summ">Options!$B$18</definedName>
    <definedName name="TotalProfit" localSheetId="1">Проект!$M$1152</definedName>
    <definedName name="TRIAL_DATE">Options!$C$8</definedName>
    <definedName name="VAT" localSheetId="2">Портфель!$B$126</definedName>
    <definedName name="VAT" localSheetId="1">Проект!$B$111</definedName>
    <definedName name="VAT_Period" localSheetId="1">Проект!$B$112</definedName>
    <definedName name="VAT_Repay" localSheetId="1">Проект!$B$113</definedName>
    <definedName name="Ver_BuildDate">Options!$B$6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11" i="1" l="1"/>
  <c r="F909" i="1"/>
  <c r="D907" i="1"/>
  <c r="F837" i="1" l="1"/>
  <c r="G836" i="1"/>
  <c r="H836" i="1" s="1"/>
  <c r="D834" i="1"/>
  <c r="K339" i="1"/>
  <c r="J339" i="1"/>
  <c r="I339" i="1"/>
  <c r="H339" i="1"/>
  <c r="G339" i="1"/>
  <c r="F339" i="1"/>
  <c r="M338" i="1"/>
  <c r="M321" i="1"/>
  <c r="D321" i="1"/>
  <c r="F795" i="1"/>
  <c r="F800" i="1"/>
  <c r="F805" i="1"/>
  <c r="D802" i="1"/>
  <c r="D797" i="1"/>
  <c r="D792" i="1"/>
  <c r="K763" i="8"/>
  <c r="K688" i="8"/>
  <c r="K1149" i="1"/>
  <c r="K1111" i="1"/>
  <c r="K1110" i="1"/>
  <c r="K1021" i="1"/>
  <c r="K1019" i="1"/>
  <c r="K1275" i="1" s="1"/>
  <c r="K1016" i="1"/>
  <c r="K950" i="1"/>
  <c r="K594" i="1"/>
  <c r="K593" i="1"/>
  <c r="K649" i="1" s="1"/>
  <c r="K662" i="1" s="1"/>
  <c r="K690" i="1" s="1"/>
  <c r="K493" i="1"/>
  <c r="K1143" i="1" s="1"/>
  <c r="K485" i="1"/>
  <c r="K430" i="1"/>
  <c r="K429" i="1"/>
  <c r="K421" i="1"/>
  <c r="K419" i="1" s="1"/>
  <c r="K412" i="1"/>
  <c r="K397" i="1"/>
  <c r="K389" i="1"/>
  <c r="K373" i="1"/>
  <c r="K365" i="1"/>
  <c r="K349" i="1"/>
  <c r="K318" i="1"/>
  <c r="K296" i="1"/>
  <c r="K288" i="1"/>
  <c r="K276" i="1"/>
  <c r="K263" i="1"/>
  <c r="K254" i="1"/>
  <c r="K245" i="1"/>
  <c r="K237" i="1"/>
  <c r="K236" i="1"/>
  <c r="K180" i="1"/>
  <c r="K136" i="1"/>
  <c r="K130" i="1"/>
  <c r="D769" i="1"/>
  <c r="B769" i="1"/>
  <c r="D768" i="1"/>
  <c r="D767" i="1"/>
  <c r="D766" i="1"/>
  <c r="D765" i="1"/>
  <c r="D764" i="1"/>
  <c r="D763" i="1"/>
  <c r="D762" i="1"/>
  <c r="D761" i="1"/>
  <c r="F759" i="1"/>
  <c r="D758" i="1"/>
  <c r="A755" i="1"/>
  <c r="D720" i="1"/>
  <c r="B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B707" i="1"/>
  <c r="D706" i="1"/>
  <c r="A706" i="1"/>
  <c r="A705" i="1"/>
  <c r="F679" i="1"/>
  <c r="A678" i="1"/>
  <c r="A677" i="1"/>
  <c r="A663" i="1"/>
  <c r="C655" i="1"/>
  <c r="C654" i="1"/>
  <c r="C653" i="1"/>
  <c r="A652" i="1"/>
  <c r="D634" i="1"/>
  <c r="D633" i="1"/>
  <c r="D632" i="1"/>
  <c r="D631" i="1"/>
  <c r="D630" i="1"/>
  <c r="D629" i="1"/>
  <c r="D628" i="1"/>
  <c r="D627" i="1"/>
  <c r="A627" i="1"/>
  <c r="F608" i="1"/>
  <c r="A607" i="1"/>
  <c r="J594" i="1"/>
  <c r="J654" i="1" s="1"/>
  <c r="I594" i="1"/>
  <c r="H594" i="1"/>
  <c r="G594" i="1"/>
  <c r="F594" i="1"/>
  <c r="C594" i="1"/>
  <c r="A594" i="1"/>
  <c r="J389" i="1"/>
  <c r="I389" i="1"/>
  <c r="H389" i="1"/>
  <c r="G389" i="1"/>
  <c r="F389" i="1"/>
  <c r="M388" i="1"/>
  <c r="J373" i="1"/>
  <c r="I373" i="1"/>
  <c r="H373" i="1"/>
  <c r="G373" i="1"/>
  <c r="F373" i="1"/>
  <c r="B373" i="1"/>
  <c r="M368" i="1"/>
  <c r="D368" i="1"/>
  <c r="B136" i="1"/>
  <c r="G80" i="1"/>
  <c r="G608" i="1" l="1"/>
  <c r="G909" i="1"/>
  <c r="I836" i="1"/>
  <c r="M339" i="1"/>
  <c r="G837" i="1"/>
  <c r="G805" i="1"/>
  <c r="G800" i="1"/>
  <c r="G795" i="1"/>
  <c r="K650" i="1"/>
  <c r="K653" i="1"/>
  <c r="K654" i="1"/>
  <c r="K1276" i="1"/>
  <c r="K1674" i="1" s="1"/>
  <c r="K1112" i="1"/>
  <c r="M594" i="1"/>
  <c r="G679" i="1"/>
  <c r="G759" i="1"/>
  <c r="F654" i="1"/>
  <c r="F653" i="1"/>
  <c r="G653" i="1"/>
  <c r="G654" i="1"/>
  <c r="J653" i="1"/>
  <c r="H653" i="1"/>
  <c r="H654" i="1"/>
  <c r="I653" i="1"/>
  <c r="I654" i="1"/>
  <c r="M389" i="1"/>
  <c r="M373" i="1"/>
  <c r="J836" i="1" l="1"/>
  <c r="K664" i="1"/>
  <c r="K706" i="1" s="1"/>
  <c r="K1745" i="1"/>
  <c r="J664" i="1"/>
  <c r="J706" i="1" s="1"/>
  <c r="F758" i="1"/>
  <c r="F655" i="1"/>
  <c r="M653" i="1"/>
  <c r="F664" i="1"/>
  <c r="M654" i="1"/>
  <c r="I664" i="1"/>
  <c r="I706" i="1" s="1"/>
  <c r="H758" i="1"/>
  <c r="H664" i="1"/>
  <c r="H706" i="1" s="1"/>
  <c r="G664" i="1"/>
  <c r="G706" i="1" s="1"/>
  <c r="K836" i="1" l="1"/>
  <c r="M664" i="1"/>
  <c r="F706" i="1"/>
  <c r="G655" i="1"/>
  <c r="F652" i="1"/>
  <c r="H655" i="1" l="1"/>
  <c r="G652" i="1"/>
  <c r="M706" i="1"/>
  <c r="I655" i="1" l="1"/>
  <c r="H652" i="1"/>
  <c r="F813" i="1"/>
  <c r="J655" i="1" l="1"/>
  <c r="I652" i="1"/>
  <c r="A593" i="1"/>
  <c r="K655" i="1" l="1"/>
  <c r="K652" i="1" s="1"/>
  <c r="J652" i="1"/>
  <c r="E7" i="9"/>
  <c r="E8" i="9"/>
  <c r="E9" i="9"/>
  <c r="D10" i="9"/>
  <c r="E10" i="9"/>
  <c r="E15" i="9"/>
  <c r="E16" i="9"/>
  <c r="E17" i="9"/>
  <c r="D18" i="9"/>
  <c r="D19" i="9"/>
  <c r="E11" i="9"/>
  <c r="E18" i="9" s="1"/>
  <c r="E12" i="9"/>
  <c r="E13" i="9"/>
  <c r="E14" i="9"/>
  <c r="A3" i="5" l="1"/>
  <c r="A4" i="5"/>
  <c r="A5" i="5"/>
  <c r="A6" i="5"/>
  <c r="A7" i="5"/>
  <c r="A8" i="5"/>
  <c r="A9" i="5"/>
  <c r="A10" i="5"/>
  <c r="A11" i="5"/>
  <c r="A12" i="5"/>
  <c r="A13" i="5"/>
  <c r="A14" i="5"/>
  <c r="A4" i="1" s="1"/>
  <c r="A1" i="7" s="1"/>
  <c r="A15" i="5"/>
  <c r="A6" i="1" s="1"/>
  <c r="A3" i="7" s="1"/>
  <c r="A16" i="5"/>
  <c r="A17" i="5"/>
  <c r="A9" i="1" s="1"/>
  <c r="A6" i="7" s="1"/>
  <c r="A18" i="5"/>
  <c r="A10" i="1" s="1"/>
  <c r="A7" i="7" s="1"/>
  <c r="A19" i="5"/>
  <c r="A11" i="1" s="1"/>
  <c r="A8" i="7" s="1"/>
  <c r="A20" i="5"/>
  <c r="A12" i="1" s="1"/>
  <c r="A9" i="7" s="1"/>
  <c r="A21" i="5"/>
  <c r="A13" i="1" s="1"/>
  <c r="A10" i="7" s="1"/>
  <c r="A22" i="5"/>
  <c r="A14" i="1" s="1"/>
  <c r="A11" i="7" s="1"/>
  <c r="A23" i="5"/>
  <c r="A15" i="1" s="1"/>
  <c r="A12" i="7" s="1"/>
  <c r="A24" i="5"/>
  <c r="A77" i="1" s="1"/>
  <c r="A25" i="5"/>
  <c r="A26" i="5"/>
  <c r="A27" i="5"/>
  <c r="A20" i="1" s="1"/>
  <c r="A17" i="7" s="1"/>
  <c r="A28" i="5"/>
  <c r="A21" i="1" s="1"/>
  <c r="A18" i="7" s="1"/>
  <c r="A29" i="5"/>
  <c r="A22" i="1" s="1"/>
  <c r="A19" i="7" s="1"/>
  <c r="A30" i="5"/>
  <c r="A31" i="5"/>
  <c r="A32" i="5"/>
  <c r="A33" i="5"/>
  <c r="A34" i="5"/>
  <c r="A35" i="5"/>
  <c r="A36" i="5"/>
  <c r="A37" i="5"/>
  <c r="A38" i="5"/>
  <c r="A39" i="5"/>
  <c r="A40" i="5"/>
  <c r="B14" i="1" s="1"/>
  <c r="B11" i="7" s="1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B20" i="1" s="1"/>
  <c r="B17" i="7" s="1"/>
  <c r="A58" i="5"/>
  <c r="A59" i="5"/>
  <c r="B21" i="1" s="1"/>
  <c r="B18" i="7" s="1"/>
  <c r="A60" i="5"/>
  <c r="B22" i="1" s="1"/>
  <c r="B19" i="7" s="1"/>
  <c r="A61" i="5"/>
  <c r="A62" i="5"/>
  <c r="A27" i="1" s="1"/>
  <c r="A24" i="7" s="1"/>
  <c r="A63" i="5"/>
  <c r="A28" i="1" s="1"/>
  <c r="A25" i="7" s="1"/>
  <c r="A64" i="5"/>
  <c r="A29" i="1" s="1"/>
  <c r="A26" i="7" s="1"/>
  <c r="A65" i="5"/>
  <c r="A30" i="1" s="1"/>
  <c r="A27" i="7" s="1"/>
  <c r="A66" i="5"/>
  <c r="A31" i="1" s="1"/>
  <c r="A28" i="7" s="1"/>
  <c r="A67" i="5"/>
  <c r="A32" i="1" s="1"/>
  <c r="A29" i="7" s="1"/>
  <c r="A68" i="5"/>
  <c r="A69" i="5"/>
  <c r="A70" i="5"/>
  <c r="A71" i="5"/>
  <c r="A72" i="5"/>
  <c r="A35" i="1" s="1"/>
  <c r="A73" i="5"/>
  <c r="B320" i="1" s="1"/>
  <c r="A74" i="5"/>
  <c r="A37" i="1" s="1"/>
  <c r="A75" i="5"/>
  <c r="A76" i="5"/>
  <c r="A458" i="1" s="1"/>
  <c r="A179" i="7" s="1"/>
  <c r="A77" i="5"/>
  <c r="A464" i="1" s="1"/>
  <c r="A185" i="7" s="1"/>
  <c r="A78" i="5"/>
  <c r="A79" i="5"/>
  <c r="A80" i="5"/>
  <c r="A43" i="1" s="1"/>
  <c r="A81" i="5"/>
  <c r="A49" i="1" s="1"/>
  <c r="A82" i="5"/>
  <c r="A50" i="1" s="1"/>
  <c r="A83" i="5"/>
  <c r="A51" i="1" s="1"/>
  <c r="A84" i="5"/>
  <c r="A52" i="1" s="1"/>
  <c r="A85" i="5"/>
  <c r="A53" i="1" s="1"/>
  <c r="A86" i="5"/>
  <c r="A54" i="1" s="1"/>
  <c r="A87" i="5"/>
  <c r="A55" i="1" s="1"/>
  <c r="A88" i="5"/>
  <c r="A56" i="1" s="1"/>
  <c r="A89" i="5"/>
  <c r="A90" i="5"/>
  <c r="A57" i="1" s="1"/>
  <c r="A91" i="5"/>
  <c r="A59" i="1" s="1"/>
  <c r="A92" i="5"/>
  <c r="A61" i="1" s="1"/>
  <c r="A93" i="5"/>
  <c r="A62" i="1" s="1"/>
  <c r="A94" i="5"/>
  <c r="A63" i="1" s="1"/>
  <c r="A95" i="5"/>
  <c r="A64" i="1" s="1"/>
  <c r="A96" i="5"/>
  <c r="A65" i="1" s="1"/>
  <c r="A97" i="5"/>
  <c r="A66" i="1" s="1"/>
  <c r="A98" i="5"/>
  <c r="A67" i="1" s="1"/>
  <c r="A99" i="5"/>
  <c r="A68" i="1" s="1"/>
  <c r="A100" i="5"/>
  <c r="A101" i="5"/>
  <c r="A70" i="1" s="1"/>
  <c r="A102" i="5"/>
  <c r="A72" i="1" s="1"/>
  <c r="A103" i="5"/>
  <c r="A75" i="1" s="1"/>
  <c r="A104" i="5"/>
  <c r="A909" i="1" s="1"/>
  <c r="A105" i="5"/>
  <c r="A80" i="1" s="1"/>
  <c r="A106" i="5"/>
  <c r="A910" i="1" s="1"/>
  <c r="A107" i="5"/>
  <c r="A108" i="5"/>
  <c r="A109" i="5"/>
  <c r="A110" i="5"/>
  <c r="A84" i="1" s="1"/>
  <c r="A111" i="5"/>
  <c r="A86" i="1" s="1"/>
  <c r="A112" i="5"/>
  <c r="A87" i="1" s="1"/>
  <c r="A113" i="5"/>
  <c r="A114" i="5"/>
  <c r="A90" i="1" s="1"/>
  <c r="A115" i="5"/>
  <c r="A91" i="1" s="1"/>
  <c r="A116" i="5"/>
  <c r="A92" i="1" s="1"/>
  <c r="A117" i="5"/>
  <c r="A118" i="5"/>
  <c r="A95" i="1" s="1"/>
  <c r="A119" i="5"/>
  <c r="A96" i="1" s="1"/>
  <c r="A120" i="5"/>
  <c r="A97" i="1" s="1"/>
  <c r="A121" i="5"/>
  <c r="A98" i="1" s="1"/>
  <c r="A122" i="5"/>
  <c r="A99" i="1" s="1"/>
  <c r="A123" i="5"/>
  <c r="A102" i="1" s="1"/>
  <c r="A124" i="5"/>
  <c r="A104" i="1" s="1"/>
  <c r="A125" i="5"/>
  <c r="A126" i="5"/>
  <c r="A127" i="5"/>
  <c r="A128" i="5"/>
  <c r="A107" i="1" s="1"/>
  <c r="A129" i="5"/>
  <c r="A108" i="1" s="1"/>
  <c r="A130" i="5"/>
  <c r="A110" i="1" s="1"/>
  <c r="A131" i="5"/>
  <c r="A111" i="1" s="1"/>
  <c r="A132" i="5"/>
  <c r="A112" i="1" s="1"/>
  <c r="A133" i="5"/>
  <c r="A113" i="1" s="1"/>
  <c r="A134" i="5"/>
  <c r="A114" i="1" s="1"/>
  <c r="A135" i="5"/>
  <c r="C114" i="1" s="1"/>
  <c r="A136" i="5"/>
  <c r="A115" i="1" s="1"/>
  <c r="A137" i="5"/>
  <c r="A116" i="1" s="1"/>
  <c r="A138" i="5"/>
  <c r="A117" i="1" s="1"/>
  <c r="A139" i="5"/>
  <c r="A118" i="1" s="1"/>
  <c r="A140" i="5"/>
  <c r="A119" i="1" s="1"/>
  <c r="A141" i="5"/>
  <c r="A120" i="1" s="1"/>
  <c r="A142" i="5"/>
  <c r="A121" i="1" s="1"/>
  <c r="A143" i="5"/>
  <c r="A122" i="1" s="1"/>
  <c r="A144" i="5"/>
  <c r="A123" i="1" s="1"/>
  <c r="A145" i="5"/>
  <c r="A124" i="1" s="1"/>
  <c r="A146" i="5"/>
  <c r="A125" i="1" s="1"/>
  <c r="A147" i="5"/>
  <c r="A126" i="1" s="1"/>
  <c r="A148" i="5"/>
  <c r="A127" i="1" s="1"/>
  <c r="A149" i="5"/>
  <c r="A128" i="1" s="1"/>
  <c r="A150" i="5"/>
  <c r="A129" i="1" s="1"/>
  <c r="A151" i="5"/>
  <c r="A130" i="1" s="1"/>
  <c r="A152" i="5"/>
  <c r="A131" i="1" s="1"/>
  <c r="A153" i="5"/>
  <c r="A134" i="1" s="1"/>
  <c r="A154" i="5"/>
  <c r="A136" i="1" s="1"/>
  <c r="A155" i="5"/>
  <c r="A137" i="1" s="1"/>
  <c r="A156" i="5"/>
  <c r="A138" i="1" s="1"/>
  <c r="A157" i="5"/>
  <c r="A139" i="1" s="1"/>
  <c r="A158" i="5"/>
  <c r="A140" i="1" s="1"/>
  <c r="A159" i="5"/>
  <c r="A141" i="1" s="1"/>
  <c r="A160" i="5"/>
  <c r="A142" i="1" s="1"/>
  <c r="A161" i="5"/>
  <c r="A143" i="1" s="1"/>
  <c r="A162" i="5"/>
  <c r="A144" i="1" s="1"/>
  <c r="A163" i="5"/>
  <c r="A145" i="1" s="1"/>
  <c r="A164" i="5"/>
  <c r="A146" i="1" s="1"/>
  <c r="A165" i="5"/>
  <c r="A147" i="1" s="1"/>
  <c r="A1842" i="1" s="1"/>
  <c r="A166" i="5"/>
  <c r="A148" i="1" s="1"/>
  <c r="A167" i="5"/>
  <c r="A149" i="1" s="1"/>
  <c r="A168" i="5"/>
  <c r="A150" i="1" s="1"/>
  <c r="A169" i="5"/>
  <c r="A152" i="1" s="1"/>
  <c r="A170" i="5"/>
  <c r="A153" i="1" s="1"/>
  <c r="A171" i="5"/>
  <c r="A154" i="1" s="1"/>
  <c r="A172" i="5"/>
  <c r="A173" i="5"/>
  <c r="A174" i="5"/>
  <c r="A157" i="1" s="1"/>
  <c r="A175" i="5"/>
  <c r="A158" i="1" s="1"/>
  <c r="A176" i="5"/>
  <c r="A159" i="1" s="1"/>
  <c r="A177" i="5"/>
  <c r="A160" i="1" s="1"/>
  <c r="A178" i="5"/>
  <c r="A161" i="1" s="1"/>
  <c r="A179" i="5"/>
  <c r="A162" i="1" s="1"/>
  <c r="A1843" i="1" s="1"/>
  <c r="A180" i="5"/>
  <c r="A164" i="1" s="1"/>
  <c r="A181" i="5"/>
  <c r="A165" i="1" s="1"/>
  <c r="A182" i="5"/>
  <c r="A183" i="5"/>
  <c r="A170" i="1" s="1"/>
  <c r="A184" i="5"/>
  <c r="A185" i="5"/>
  <c r="A186" i="5"/>
  <c r="A173" i="1" s="1"/>
  <c r="A187" i="5"/>
  <c r="A188" i="5"/>
  <c r="A189" i="5"/>
  <c r="A190" i="5"/>
  <c r="A50" i="8" s="1"/>
  <c r="A191" i="5"/>
  <c r="A218" i="1" s="1"/>
  <c r="A192" i="5"/>
  <c r="A193" i="5"/>
  <c r="A56" i="8" s="1"/>
  <c r="A194" i="5"/>
  <c r="A195" i="5"/>
  <c r="A191" i="1" s="1"/>
  <c r="A196" i="5"/>
  <c r="A193" i="1" s="1"/>
  <c r="A197" i="5"/>
  <c r="C1768" i="1" s="1"/>
  <c r="A198" i="5"/>
  <c r="A201" i="1" s="1"/>
  <c r="A199" i="5"/>
  <c r="A197" i="1" s="1"/>
  <c r="A200" i="5"/>
  <c r="A198" i="1" s="1"/>
  <c r="A201" i="5"/>
  <c r="A199" i="1" s="1"/>
  <c r="A202" i="5"/>
  <c r="A200" i="1" s="1"/>
  <c r="A203" i="5"/>
  <c r="A203" i="1" s="1"/>
  <c r="A204" i="5"/>
  <c r="A205" i="5"/>
  <c r="B206" i="5"/>
  <c r="A206" i="5" s="1"/>
  <c r="A207" i="5"/>
  <c r="A208" i="5"/>
  <c r="A209" i="5"/>
  <c r="A210" i="1" s="1"/>
  <c r="A210" i="5"/>
  <c r="C212" i="1" s="1"/>
  <c r="A211" i="5"/>
  <c r="A212" i="5"/>
  <c r="A212" i="1" s="1"/>
  <c r="A213" i="5"/>
  <c r="A215" i="1" s="1"/>
  <c r="A214" i="5"/>
  <c r="A217" i="1" s="1"/>
  <c r="A215" i="5"/>
  <c r="A221" i="1" s="1"/>
  <c r="A216" i="5"/>
  <c r="A222" i="1" s="1"/>
  <c r="A217" i="5"/>
  <c r="A228" i="1" s="1"/>
  <c r="A218" i="5"/>
  <c r="C166" i="1" s="1"/>
  <c r="A219" i="5"/>
  <c r="A220" i="5"/>
  <c r="C113" i="1" s="1"/>
  <c r="A221" i="5"/>
  <c r="A222" i="5"/>
  <c r="B106" i="1" s="1"/>
  <c r="A223" i="5"/>
  <c r="C145" i="1" s="1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231" i="1" s="1"/>
  <c r="A353" i="5"/>
  <c r="A468" i="1" s="1"/>
  <c r="A189" i="7" s="1"/>
  <c r="A354" i="5"/>
  <c r="A355" i="5"/>
  <c r="A356" i="5"/>
  <c r="A239" i="1" s="1"/>
  <c r="A357" i="5"/>
  <c r="A358" i="5"/>
  <c r="A359" i="5"/>
  <c r="A262" i="1" s="1"/>
  <c r="A360" i="5"/>
  <c r="A361" i="5"/>
  <c r="A362" i="5"/>
  <c r="A363" i="5"/>
  <c r="A364" i="5"/>
  <c r="A233" i="1" s="1"/>
  <c r="A365" i="5"/>
  <c r="A248" i="1" s="1"/>
  <c r="A366" i="5"/>
  <c r="A257" i="1" s="1"/>
  <c r="A367" i="5"/>
  <c r="A368" i="5"/>
  <c r="A369" i="5"/>
  <c r="A274" i="1" s="1"/>
  <c r="A370" i="5"/>
  <c r="A281" i="1" s="1"/>
  <c r="A32" i="7" s="1"/>
  <c r="A371" i="5"/>
  <c r="M738" i="1" s="1"/>
  <c r="A372" i="5"/>
  <c r="A373" i="5"/>
  <c r="A374" i="5"/>
  <c r="A375" i="5"/>
  <c r="C371" i="1" s="1"/>
  <c r="A376" i="5"/>
  <c r="A377" i="5"/>
  <c r="C372" i="1" s="1"/>
  <c r="A378" i="5"/>
  <c r="A283" i="1" s="1"/>
  <c r="A34" i="7" s="1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298" i="1" s="1"/>
  <c r="A49" i="7" s="1"/>
  <c r="A393" i="5"/>
  <c r="A394" i="5"/>
  <c r="A395" i="5"/>
  <c r="A396" i="5"/>
  <c r="A397" i="5"/>
  <c r="A398" i="5"/>
  <c r="A399" i="5"/>
  <c r="A400" i="5"/>
  <c r="A401" i="5"/>
  <c r="A342" i="1" s="1"/>
  <c r="A72" i="7" s="1"/>
  <c r="A402" i="5"/>
  <c r="A371" i="1" s="1"/>
  <c r="A403" i="5"/>
  <c r="A372" i="1" s="1"/>
  <c r="A404" i="5"/>
  <c r="A373" i="1" s="1"/>
  <c r="A405" i="5"/>
  <c r="A392" i="1" s="1"/>
  <c r="A98" i="7" s="1"/>
  <c r="A406" i="5"/>
  <c r="A407" i="5"/>
  <c r="A408" i="5"/>
  <c r="A409" i="5"/>
  <c r="A410" i="5"/>
  <c r="A448" i="1" s="1"/>
  <c r="A169" i="7" s="1"/>
  <c r="A411" i="5"/>
  <c r="A449" i="1" s="1"/>
  <c r="A170" i="7" s="1"/>
  <c r="A412" i="5"/>
  <c r="A413" i="5"/>
  <c r="A455" i="1" s="1"/>
  <c r="A176" i="7" s="1"/>
  <c r="A414" i="5"/>
  <c r="A456" i="1" s="1"/>
  <c r="A177" i="7" s="1"/>
  <c r="A415" i="5"/>
  <c r="A416" i="5"/>
  <c r="A469" i="1" s="1"/>
  <c r="A190" i="7" s="1"/>
  <c r="A417" i="5"/>
  <c r="A462" i="1" s="1"/>
  <c r="A183" i="7" s="1"/>
  <c r="A418" i="5"/>
  <c r="A470" i="1" s="1"/>
  <c r="A191" i="7" s="1"/>
  <c r="A419" i="5"/>
  <c r="A473" i="1" s="1"/>
  <c r="A194" i="7" s="1"/>
  <c r="A420" i="5"/>
  <c r="A481" i="1" s="1"/>
  <c r="A202" i="7" s="1"/>
  <c r="A421" i="5"/>
  <c r="A485" i="1" s="1"/>
  <c r="A206" i="7" s="1"/>
  <c r="A422" i="5"/>
  <c r="A513" i="1" s="1"/>
  <c r="A234" i="7" s="1"/>
  <c r="A423" i="5"/>
  <c r="A493" i="1" s="1"/>
  <c r="A214" i="7" s="1"/>
  <c r="A424" i="5"/>
  <c r="A495" i="1" s="1"/>
  <c r="A216" i="7" s="1"/>
  <c r="A425" i="5"/>
  <c r="A508" i="1" s="1"/>
  <c r="A229" i="7" s="1"/>
  <c r="A426" i="5"/>
  <c r="A520" i="1" s="1"/>
  <c r="A241" i="7" s="1"/>
  <c r="A427" i="5"/>
  <c r="A428" i="5"/>
  <c r="A540" i="1" s="1"/>
  <c r="A261" i="7" s="1"/>
  <c r="A429" i="5"/>
  <c r="A543" i="1" s="1"/>
  <c r="A430" i="5"/>
  <c r="A431" i="5"/>
  <c r="A547" i="1" s="1"/>
  <c r="A432" i="5"/>
  <c r="A548" i="1" s="1"/>
  <c r="A433" i="5"/>
  <c r="A549" i="1" s="1"/>
  <c r="A434" i="5"/>
  <c r="A550" i="1" s="1"/>
  <c r="A435" i="5"/>
  <c r="A551" i="1" s="1"/>
  <c r="A436" i="5"/>
  <c r="A560" i="1" s="1"/>
  <c r="A437" i="5"/>
  <c r="A552" i="1" s="1"/>
  <c r="A438" i="5"/>
  <c r="A439" i="5"/>
  <c r="A440" i="5"/>
  <c r="A553" i="1" s="1"/>
  <c r="A441" i="5"/>
  <c r="A554" i="1" s="1"/>
  <c r="A442" i="5"/>
  <c r="A555" i="1" s="1"/>
  <c r="A443" i="5"/>
  <c r="A556" i="1" s="1"/>
  <c r="A444" i="5"/>
  <c r="A558" i="1" s="1"/>
  <c r="A445" i="5"/>
  <c r="A446" i="5"/>
  <c r="A557" i="1" s="1"/>
  <c r="A447" i="5"/>
  <c r="A559" i="1" s="1"/>
  <c r="A448" i="5"/>
  <c r="A561" i="1" s="1"/>
  <c r="A449" i="5"/>
  <c r="A562" i="1" s="1"/>
  <c r="A450" i="5"/>
  <c r="A563" i="1" s="1"/>
  <c r="A451" i="5"/>
  <c r="A564" i="1" s="1"/>
  <c r="A452" i="5"/>
  <c r="A565" i="1" s="1"/>
  <c r="A453" i="5"/>
  <c r="A566" i="1" s="1"/>
  <c r="A454" i="5"/>
  <c r="A567" i="1" s="1"/>
  <c r="A455" i="5"/>
  <c r="A569" i="1" s="1"/>
  <c r="A456" i="5"/>
  <c r="A570" i="1" s="1"/>
  <c r="A457" i="5"/>
  <c r="A571" i="1" s="1"/>
  <c r="A458" i="5"/>
  <c r="A572" i="1" s="1"/>
  <c r="A459" i="5"/>
  <c r="A573" i="1" s="1"/>
  <c r="A460" i="5"/>
  <c r="A574" i="1" s="1"/>
  <c r="A461" i="5"/>
  <c r="A575" i="1" s="1"/>
  <c r="A462" i="5"/>
  <c r="A576" i="1" s="1"/>
  <c r="A463" i="5"/>
  <c r="A577" i="1" s="1"/>
  <c r="A464" i="5"/>
  <c r="A578" i="1" s="1"/>
  <c r="A465" i="5"/>
  <c r="A579" i="1" s="1"/>
  <c r="A466" i="5"/>
  <c r="A580" i="1" s="1"/>
  <c r="A467" i="5"/>
  <c r="C547" i="1" s="1"/>
  <c r="A468" i="5"/>
  <c r="A469" i="5"/>
  <c r="A470" i="5"/>
  <c r="A471" i="5"/>
  <c r="A940" i="1" s="1"/>
  <c r="A517" i="7" s="1"/>
  <c r="A472" i="5"/>
  <c r="A942" i="1" s="1"/>
  <c r="A519" i="7" s="1"/>
  <c r="A473" i="5"/>
  <c r="A943" i="1" s="1"/>
  <c r="A520" i="7" s="1"/>
  <c r="A474" i="5"/>
  <c r="A944" i="1" s="1"/>
  <c r="A521" i="7" s="1"/>
  <c r="A475" i="5"/>
  <c r="A947" i="1" s="1"/>
  <c r="A524" i="7" s="1"/>
  <c r="A476" i="5"/>
  <c r="A948" i="1" s="1"/>
  <c r="A525" i="7" s="1"/>
  <c r="A477" i="5"/>
  <c r="A951" i="1" s="1"/>
  <c r="A528" i="7" s="1"/>
  <c r="A478" i="5"/>
  <c r="A479" i="5"/>
  <c r="A480" i="5"/>
  <c r="A952" i="1" s="1"/>
  <c r="A529" i="7" s="1"/>
  <c r="A481" i="5"/>
  <c r="A956" i="1" s="1"/>
  <c r="A533" i="7" s="1"/>
  <c r="A482" i="5"/>
  <c r="A957" i="1" s="1"/>
  <c r="A534" i="7" s="1"/>
  <c r="A483" i="5"/>
  <c r="A958" i="1" s="1"/>
  <c r="A535" i="7" s="1"/>
  <c r="A484" i="5"/>
  <c r="A959" i="1" s="1"/>
  <c r="A536" i="7" s="1"/>
  <c r="A485" i="5"/>
  <c r="A960" i="1" s="1"/>
  <c r="A537" i="7" s="1"/>
  <c r="A486" i="5"/>
  <c r="A961" i="1" s="1"/>
  <c r="A538" i="7" s="1"/>
  <c r="A487" i="5"/>
  <c r="A962" i="1" s="1"/>
  <c r="A539" i="7" s="1"/>
  <c r="A488" i="5"/>
  <c r="A963" i="1" s="1"/>
  <c r="A540" i="7" s="1"/>
  <c r="A489" i="5"/>
  <c r="A964" i="1" s="1"/>
  <c r="A541" i="7" s="1"/>
  <c r="A490" i="5"/>
  <c r="A965" i="1" s="1"/>
  <c r="A542" i="7" s="1"/>
  <c r="A491" i="5"/>
  <c r="A966" i="1" s="1"/>
  <c r="A543" i="7" s="1"/>
  <c r="A492" i="5"/>
  <c r="A968" i="1" s="1"/>
  <c r="A545" i="7" s="1"/>
  <c r="A493" i="5"/>
  <c r="A969" i="1" s="1"/>
  <c r="A546" i="7" s="1"/>
  <c r="A494" i="5"/>
  <c r="A970" i="1" s="1"/>
  <c r="A547" i="7" s="1"/>
  <c r="A495" i="5"/>
  <c r="A971" i="1" s="1"/>
  <c r="A548" i="7" s="1"/>
  <c r="A496" i="5"/>
  <c r="A972" i="1" s="1"/>
  <c r="A549" i="7" s="1"/>
  <c r="A497" i="5"/>
  <c r="A973" i="1" s="1"/>
  <c r="A550" i="7" s="1"/>
  <c r="A498" i="5"/>
  <c r="A974" i="1" s="1"/>
  <c r="A551" i="7" s="1"/>
  <c r="A499" i="5"/>
  <c r="A978" i="1" s="1"/>
  <c r="A555" i="7" s="1"/>
  <c r="A500" i="5"/>
  <c r="A976" i="1" s="1"/>
  <c r="A553" i="7" s="1"/>
  <c r="A501" i="5"/>
  <c r="A977" i="1" s="1"/>
  <c r="A554" i="7" s="1"/>
  <c r="A502" i="5"/>
  <c r="A503" i="5"/>
  <c r="A980" i="1" s="1"/>
  <c r="A557" i="7" s="1"/>
  <c r="A504" i="5"/>
  <c r="A981" i="1" s="1"/>
  <c r="A558" i="7" s="1"/>
  <c r="A505" i="5"/>
  <c r="A982" i="1" s="1"/>
  <c r="A559" i="7" s="1"/>
  <c r="A506" i="5"/>
  <c r="A983" i="1" s="1"/>
  <c r="A560" i="7" s="1"/>
  <c r="A507" i="5"/>
  <c r="A984" i="1" s="1"/>
  <c r="A561" i="7" s="1"/>
  <c r="A508" i="5"/>
  <c r="A985" i="1" s="1"/>
  <c r="A562" i="7" s="1"/>
  <c r="A509" i="5"/>
  <c r="A987" i="1" s="1"/>
  <c r="A564" i="7" s="1"/>
  <c r="A510" i="5"/>
  <c r="A988" i="1" s="1"/>
  <c r="A565" i="7" s="1"/>
  <c r="A511" i="5"/>
  <c r="A989" i="1" s="1"/>
  <c r="A566" i="7" s="1"/>
  <c r="A512" i="5"/>
  <c r="A991" i="1" s="1"/>
  <c r="A568" i="7" s="1"/>
  <c r="A513" i="5"/>
  <c r="A115" i="8" s="1"/>
  <c r="A514" i="5"/>
  <c r="A993" i="1" s="1"/>
  <c r="A570" i="7" s="1"/>
  <c r="A515" i="5"/>
  <c r="A994" i="1" s="1"/>
  <c r="A571" i="7" s="1"/>
  <c r="A516" i="5"/>
  <c r="A997" i="1" s="1"/>
  <c r="A574" i="7" s="1"/>
  <c r="A517" i="5"/>
  <c r="A998" i="1" s="1"/>
  <c r="A575" i="7" s="1"/>
  <c r="A518" i="5"/>
  <c r="A999" i="1" s="1"/>
  <c r="A576" i="7" s="1"/>
  <c r="A519" i="5"/>
  <c r="A1000" i="1" s="1"/>
  <c r="A577" i="7" s="1"/>
  <c r="A520" i="5"/>
  <c r="A1001" i="1" s="1"/>
  <c r="A578" i="7" s="1"/>
  <c r="A521" i="5"/>
  <c r="A1002" i="1" s="1"/>
  <c r="A579" i="7" s="1"/>
  <c r="A522" i="5"/>
  <c r="B957" i="1" s="1"/>
  <c r="B534" i="7" s="1"/>
  <c r="A523" i="5"/>
  <c r="C957" i="1" s="1"/>
  <c r="C534" i="7" s="1"/>
  <c r="A524" i="5"/>
  <c r="A525" i="5"/>
  <c r="A526" i="5"/>
  <c r="A583" i="1" s="1"/>
  <c r="A264" i="7" s="1"/>
  <c r="A527" i="5"/>
  <c r="A528" i="5"/>
  <c r="B585" i="1" s="1"/>
  <c r="B266" i="7" s="1"/>
  <c r="A529" i="5"/>
  <c r="C197" i="1" s="1"/>
  <c r="A530" i="5"/>
  <c r="A531" i="5"/>
  <c r="A591" i="1" s="1"/>
  <c r="A278" i="7" s="1"/>
  <c r="A532" i="5"/>
  <c r="A598" i="1" s="1"/>
  <c r="A533" i="5"/>
  <c r="A610" i="1" s="1"/>
  <c r="A534" i="5"/>
  <c r="A611" i="1" s="1"/>
  <c r="A535" i="5"/>
  <c r="A612" i="1" s="1"/>
  <c r="A536" i="5"/>
  <c r="A613" i="1" s="1"/>
  <c r="A537" i="5"/>
  <c r="B610" i="1" s="1"/>
  <c r="A538" i="5"/>
  <c r="C610" i="1" s="1"/>
  <c r="A539" i="5"/>
  <c r="A617" i="1" s="1"/>
  <c r="A291" i="7" s="1"/>
  <c r="A540" i="5"/>
  <c r="A628" i="1" s="1"/>
  <c r="A541" i="5"/>
  <c r="A629" i="1" s="1"/>
  <c r="A542" i="5"/>
  <c r="A630" i="1" s="1"/>
  <c r="A543" i="5"/>
  <c r="A631" i="1" s="1"/>
  <c r="A544" i="5"/>
  <c r="A632" i="1" s="1"/>
  <c r="A545" i="5"/>
  <c r="A633" i="1" s="1"/>
  <c r="A546" i="5"/>
  <c r="A634" i="1" s="1"/>
  <c r="A547" i="5"/>
  <c r="A841" i="1" s="1"/>
  <c r="A548" i="5"/>
  <c r="A646" i="1" s="1"/>
  <c r="A368" i="7" s="1"/>
  <c r="A549" i="5"/>
  <c r="A653" i="1" s="1"/>
  <c r="A550" i="5"/>
  <c r="A654" i="1" s="1"/>
  <c r="A551" i="5"/>
  <c r="A655" i="1" s="1"/>
  <c r="A552" i="5"/>
  <c r="A553" i="5"/>
  <c r="A554" i="5"/>
  <c r="A659" i="1" s="1"/>
  <c r="A405" i="7" s="1"/>
  <c r="A555" i="5"/>
  <c r="A556" i="5"/>
  <c r="B663" i="1" s="1"/>
  <c r="A557" i="5"/>
  <c r="A668" i="1" s="1"/>
  <c r="A558" i="5"/>
  <c r="A681" i="1" s="1"/>
  <c r="A559" i="5"/>
  <c r="A682" i="1" s="1"/>
  <c r="A560" i="5"/>
  <c r="A561" i="5"/>
  <c r="A687" i="1" s="1"/>
  <c r="A562" i="5"/>
  <c r="A707" i="1" s="1"/>
  <c r="A563" i="5"/>
  <c r="A708" i="1" s="1"/>
  <c r="A564" i="5"/>
  <c r="A709" i="1" s="1"/>
  <c r="A565" i="5"/>
  <c r="A710" i="1" s="1"/>
  <c r="A566" i="5"/>
  <c r="A712" i="1" s="1"/>
  <c r="A567" i="5"/>
  <c r="A713" i="1" s="1"/>
  <c r="A568" i="5"/>
  <c r="A714" i="1" s="1"/>
  <c r="A569" i="5"/>
  <c r="A711" i="1" s="1"/>
  <c r="A570" i="5"/>
  <c r="A571" i="5"/>
  <c r="A572" i="5"/>
  <c r="A573" i="5"/>
  <c r="A574" i="5"/>
  <c r="A575" i="5"/>
  <c r="A576" i="5"/>
  <c r="A738" i="1" s="1"/>
  <c r="A577" i="5"/>
  <c r="A578" i="5"/>
  <c r="A761" i="1" s="1"/>
  <c r="A579" i="5"/>
  <c r="A757" i="1" s="1"/>
  <c r="A580" i="5"/>
  <c r="A758" i="1" s="1"/>
  <c r="A581" i="5"/>
  <c r="A763" i="1" s="1"/>
  <c r="A582" i="5"/>
  <c r="A783" i="1" s="1"/>
  <c r="A583" i="5"/>
  <c r="A785" i="1" s="1"/>
  <c r="A584" i="5"/>
  <c r="A809" i="1" s="1"/>
  <c r="A585" i="5"/>
  <c r="A818" i="1" s="1"/>
  <c r="A586" i="5"/>
  <c r="A827" i="1" s="1"/>
  <c r="A587" i="5"/>
  <c r="A855" i="1" s="1"/>
  <c r="A588" i="5"/>
  <c r="A589" i="5"/>
  <c r="A590" i="5"/>
  <c r="A591" i="5"/>
  <c r="A592" i="5"/>
  <c r="A847" i="1" s="1"/>
  <c r="A593" i="5"/>
  <c r="A848" i="1" s="1"/>
  <c r="A594" i="5"/>
  <c r="A849" i="1" s="1"/>
  <c r="A595" i="5"/>
  <c r="A850" i="1" s="1"/>
  <c r="A596" i="5"/>
  <c r="A851" i="1" s="1"/>
  <c r="A597" i="5"/>
  <c r="A853" i="1" s="1"/>
  <c r="A598" i="5"/>
  <c r="A858" i="1" s="1"/>
  <c r="A440" i="7" s="1"/>
  <c r="A599" i="5"/>
  <c r="A271" i="8" s="1"/>
  <c r="A600" i="5"/>
  <c r="A860" i="1" s="1"/>
  <c r="A442" i="7" s="1"/>
  <c r="A601" i="5"/>
  <c r="A873" i="1" s="1"/>
  <c r="A455" i="7" s="1"/>
  <c r="A602" i="5"/>
  <c r="A886" i="1" s="1"/>
  <c r="A468" i="7" s="1"/>
  <c r="A603" i="5"/>
  <c r="A897" i="1" s="1"/>
  <c r="A479" i="7" s="1"/>
  <c r="A604" i="5"/>
  <c r="A605" i="5"/>
  <c r="A606" i="5"/>
  <c r="A607" i="5"/>
  <c r="A608" i="5"/>
  <c r="A609" i="5"/>
  <c r="A610" i="5"/>
  <c r="A862" i="1" s="1"/>
  <c r="A444" i="7" s="1"/>
  <c r="A611" i="5"/>
  <c r="A864" i="1" s="1"/>
  <c r="A446" i="7" s="1"/>
  <c r="A612" i="5"/>
  <c r="A865" i="1" s="1"/>
  <c r="A447" i="7" s="1"/>
  <c r="A613" i="5"/>
  <c r="A875" i="1" s="1"/>
  <c r="A457" i="7" s="1"/>
  <c r="A614" i="5"/>
  <c r="A876" i="1" s="1"/>
  <c r="A458" i="7" s="1"/>
  <c r="A615" i="5"/>
  <c r="A899" i="1" s="1"/>
  <c r="A481" i="7" s="1"/>
  <c r="A616" i="5"/>
  <c r="A900" i="1" s="1"/>
  <c r="A482" i="7" s="1"/>
  <c r="A617" i="5"/>
  <c r="A888" i="1" s="1"/>
  <c r="A470" i="7" s="1"/>
  <c r="A618" i="5"/>
  <c r="A889" i="1" s="1"/>
  <c r="A471" i="7" s="1"/>
  <c r="A619" i="5"/>
  <c r="A911" i="1" s="1"/>
  <c r="A620" i="5"/>
  <c r="A877" i="1" s="1"/>
  <c r="A459" i="7" s="1"/>
  <c r="A621" i="5"/>
  <c r="A878" i="1" s="1"/>
  <c r="A460" i="7" s="1"/>
  <c r="A622" i="5"/>
  <c r="A914" i="1" s="1"/>
  <c r="A491" i="7" s="1"/>
  <c r="A623" i="5"/>
  <c r="A915" i="1" s="1"/>
  <c r="A492" i="7" s="1"/>
  <c r="A624" i="5"/>
  <c r="A916" i="1" s="1"/>
  <c r="A493" i="7" s="1"/>
  <c r="A625" i="5"/>
  <c r="A917" i="1" s="1"/>
  <c r="A494" i="7" s="1"/>
  <c r="A626" i="5"/>
  <c r="A918" i="1" s="1"/>
  <c r="A495" i="7" s="1"/>
  <c r="A627" i="5"/>
  <c r="A919" i="1" s="1"/>
  <c r="A496" i="7" s="1"/>
  <c r="A628" i="5"/>
  <c r="A920" i="1" s="1"/>
  <c r="A497" i="7" s="1"/>
  <c r="A629" i="5"/>
  <c r="A921" i="1" s="1"/>
  <c r="A498" i="7" s="1"/>
  <c r="A630" i="5"/>
  <c r="A922" i="1" s="1"/>
  <c r="A499" i="7" s="1"/>
  <c r="A631" i="5"/>
  <c r="A923" i="1" s="1"/>
  <c r="A500" i="7" s="1"/>
  <c r="A632" i="5"/>
  <c r="A924" i="1" s="1"/>
  <c r="A501" i="7" s="1"/>
  <c r="A633" i="5"/>
  <c r="A929" i="1" s="1"/>
  <c r="A506" i="7" s="1"/>
  <c r="A634" i="5"/>
  <c r="A936" i="1" s="1"/>
  <c r="A513" i="7" s="1"/>
  <c r="A635" i="5"/>
  <c r="A931" i="1" s="1"/>
  <c r="A508" i="7" s="1"/>
  <c r="A636" i="5"/>
  <c r="A932" i="1" s="1"/>
  <c r="A509" i="7" s="1"/>
  <c r="A637" i="5"/>
  <c r="A935" i="1" s="1"/>
  <c r="A512" i="7" s="1"/>
  <c r="A638" i="5"/>
  <c r="A925" i="1" s="1"/>
  <c r="A502" i="7" s="1"/>
  <c r="A639" i="5"/>
  <c r="A927" i="1" s="1"/>
  <c r="A504" i="7" s="1"/>
  <c r="A640" i="5"/>
  <c r="A1005" i="1" s="1"/>
  <c r="A582" i="7" s="1"/>
  <c r="A641" i="5"/>
  <c r="A1007" i="1" s="1"/>
  <c r="A584" i="7" s="1"/>
  <c r="A642" i="5"/>
  <c r="A1009" i="1" s="1"/>
  <c r="A586" i="7" s="1"/>
  <c r="A643" i="5"/>
  <c r="A1010" i="1" s="1"/>
  <c r="A587" i="7" s="1"/>
  <c r="A644" i="5"/>
  <c r="A1011" i="1" s="1"/>
  <c r="A588" i="7" s="1"/>
  <c r="A645" i="5"/>
  <c r="A1012" i="1" s="1"/>
  <c r="A589" i="7" s="1"/>
  <c r="A646" i="5"/>
  <c r="A1013" i="1" s="1"/>
  <c r="A590" i="7" s="1"/>
  <c r="A647" i="5"/>
  <c r="A91" i="8" s="1"/>
  <c r="A648" i="5"/>
  <c r="A1016" i="1" s="1"/>
  <c r="A593" i="7" s="1"/>
  <c r="A649" i="5"/>
  <c r="A1018" i="1" s="1"/>
  <c r="A595" i="7" s="1"/>
  <c r="A650" i="5"/>
  <c r="A1021" i="1" s="1"/>
  <c r="A598" i="7" s="1"/>
  <c r="A651" i="5"/>
  <c r="A1122" i="1" s="1"/>
  <c r="A652" i="5"/>
  <c r="A1067" i="1" s="1"/>
  <c r="A653" i="5"/>
  <c r="A654" i="5"/>
  <c r="A1028" i="1" s="1"/>
  <c r="A603" i="7" s="1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1054" i="1" s="1"/>
  <c r="A629" i="7" s="1"/>
  <c r="A670" i="5"/>
  <c r="A1055" i="1" s="1"/>
  <c r="A630" i="7" s="1"/>
  <c r="A671" i="5"/>
  <c r="A1058" i="1" s="1"/>
  <c r="A633" i="7" s="1"/>
  <c r="A672" i="5"/>
  <c r="A1056" i="1" s="1"/>
  <c r="A631" i="7" s="1"/>
  <c r="A673" i="5"/>
  <c r="A674" i="5"/>
  <c r="A1060" i="1" s="1"/>
  <c r="A635" i="7" s="1"/>
  <c r="A675" i="5"/>
  <c r="A1061" i="1" s="1"/>
  <c r="A636" i="7" s="1"/>
  <c r="A676" i="5"/>
  <c r="A1062" i="1" s="1"/>
  <c r="A637" i="7" s="1"/>
  <c r="A677" i="5"/>
  <c r="A678" i="5"/>
  <c r="A679" i="5"/>
  <c r="A680" i="5"/>
  <c r="A681" i="5"/>
  <c r="A1064" i="1" s="1"/>
  <c r="A639" i="7" s="1"/>
  <c r="A682" i="5"/>
  <c r="C1064" i="1" s="1"/>
  <c r="C639" i="7" s="1"/>
  <c r="A683" i="5"/>
  <c r="A1030" i="1" s="1"/>
  <c r="A605" i="7" s="1"/>
  <c r="A684" i="5"/>
  <c r="A1038" i="1" s="1"/>
  <c r="A613" i="7" s="1"/>
  <c r="A685" i="5"/>
  <c r="A1059" i="1" s="1"/>
  <c r="A634" i="7" s="1"/>
  <c r="A686" i="5"/>
  <c r="A1095" i="1" s="1"/>
  <c r="A687" i="5"/>
  <c r="A688" i="5"/>
  <c r="A1100" i="1" s="1"/>
  <c r="A689" i="5"/>
  <c r="A690" i="5"/>
  <c r="A77" i="8" s="1"/>
  <c r="A691" i="5"/>
  <c r="A71" i="8" s="1"/>
  <c r="A692" i="5"/>
  <c r="A693" i="5"/>
  <c r="A297" i="8" s="1"/>
  <c r="A694" i="5"/>
  <c r="A299" i="8" s="1"/>
  <c r="A695" i="5"/>
  <c r="A1105" i="1" s="1"/>
  <c r="A696" i="5"/>
  <c r="A86" i="8" s="1"/>
  <c r="A697" i="5"/>
  <c r="A698" i="5"/>
  <c r="A105" i="8" s="1"/>
  <c r="A699" i="5"/>
  <c r="A700" i="5"/>
  <c r="A109" i="8" s="1"/>
  <c r="A701" i="5"/>
  <c r="A702" i="5"/>
  <c r="A1127" i="1" s="1"/>
  <c r="A669" i="7" s="1"/>
  <c r="A703" i="5"/>
  <c r="A704" i="5"/>
  <c r="A705" i="5"/>
  <c r="A128" i="8" s="1"/>
  <c r="A706" i="5"/>
  <c r="A129" i="8" s="1"/>
  <c r="A707" i="5"/>
  <c r="A708" i="5"/>
  <c r="A133" i="8" s="1"/>
  <c r="A709" i="5"/>
  <c r="A135" i="8" s="1"/>
  <c r="A710" i="5"/>
  <c r="A137" i="8" s="1"/>
  <c r="A711" i="5"/>
  <c r="A712" i="5"/>
  <c r="A713" i="5"/>
  <c r="A145" i="8" s="1"/>
  <c r="A714" i="5"/>
  <c r="A715" i="5"/>
  <c r="A149" i="8" s="1"/>
  <c r="A716" i="5"/>
  <c r="A717" i="5"/>
  <c r="A718" i="5"/>
  <c r="A155" i="8" s="1"/>
  <c r="A719" i="5"/>
  <c r="A720" i="5"/>
  <c r="A721" i="5"/>
  <c r="A722" i="5"/>
  <c r="A723" i="5"/>
  <c r="A173" i="8" s="1"/>
  <c r="A724" i="5"/>
  <c r="A725" i="5"/>
  <c r="A1886" i="1" s="1"/>
  <c r="A1097" i="7" s="1"/>
  <c r="A726" i="5"/>
  <c r="A151" i="8" s="1"/>
  <c r="A727" i="5"/>
  <c r="A165" i="8" s="1"/>
  <c r="A728" i="5"/>
  <c r="A729" i="5"/>
  <c r="A1888" i="1" s="1"/>
  <c r="A1099" i="7" s="1"/>
  <c r="A730" i="5"/>
  <c r="A731" i="5"/>
  <c r="A732" i="5"/>
  <c r="A1205" i="1" s="1"/>
  <c r="A733" i="5"/>
  <c r="A1207" i="1" s="1"/>
  <c r="A734" i="5"/>
  <c r="A1208" i="1" s="1"/>
  <c r="A735" i="5"/>
  <c r="A1209" i="1" s="1"/>
  <c r="A736" i="5"/>
  <c r="A1212" i="1" s="1"/>
  <c r="A737" i="5"/>
  <c r="A738" i="5"/>
  <c r="A1889" i="1" s="1"/>
  <c r="A1100" i="7" s="1"/>
  <c r="A739" i="5"/>
  <c r="A740" i="5"/>
  <c r="A741" i="5"/>
  <c r="A1249" i="1" s="1"/>
  <c r="A775" i="7" s="1"/>
  <c r="A742" i="5"/>
  <c r="A743" i="5"/>
  <c r="A744" i="5"/>
  <c r="A273" i="8" s="1"/>
  <c r="A745" i="5"/>
  <c r="A746" i="5"/>
  <c r="A277" i="8" s="1"/>
  <c r="A747" i="5"/>
  <c r="A279" i="8" s="1"/>
  <c r="A748" i="5"/>
  <c r="A281" i="8" s="1"/>
  <c r="A749" i="5"/>
  <c r="A750" i="5"/>
  <c r="A286" i="8" s="1"/>
  <c r="A751" i="5"/>
  <c r="A303" i="8" s="1"/>
  <c r="A752" i="5"/>
  <c r="A753" i="5"/>
  <c r="A754" i="5"/>
  <c r="A755" i="5"/>
  <c r="A315" i="8" s="1"/>
  <c r="A756" i="5"/>
  <c r="A317" i="8" s="1"/>
  <c r="A757" i="5"/>
  <c r="A758" i="5"/>
  <c r="A759" i="5"/>
  <c r="A324" i="8" s="1"/>
  <c r="A760" i="5"/>
  <c r="A761" i="5"/>
  <c r="A1901" i="1" s="1"/>
  <c r="A1112" i="7" s="1"/>
  <c r="A762" i="5"/>
  <c r="A1902" i="1" s="1"/>
  <c r="A1113" i="7" s="1"/>
  <c r="A763" i="5"/>
  <c r="A764" i="5"/>
  <c r="A765" i="5"/>
  <c r="A1389" i="1" s="1"/>
  <c r="A919" i="7" s="1"/>
  <c r="A766" i="5"/>
  <c r="A437" i="8" s="1"/>
  <c r="A767" i="5"/>
  <c r="A439" i="8" s="1"/>
  <c r="A768" i="5"/>
  <c r="A441" i="8" s="1"/>
  <c r="A769" i="5"/>
  <c r="A770" i="5"/>
  <c r="A445" i="8" s="1"/>
  <c r="A771" i="5"/>
  <c r="A447" i="8" s="1"/>
  <c r="A772" i="5"/>
  <c r="A449" i="8" s="1"/>
  <c r="A773" i="5"/>
  <c r="A774" i="5"/>
  <c r="A453" i="8" s="1"/>
  <c r="A775" i="5"/>
  <c r="A776" i="5"/>
  <c r="A777" i="5"/>
  <c r="A460" i="8" s="1"/>
  <c r="A778" i="5"/>
  <c r="A779" i="5"/>
  <c r="A780" i="5"/>
  <c r="A464" i="8" s="1"/>
  <c r="A781" i="5"/>
  <c r="A468" i="8" s="1"/>
  <c r="A782" i="5"/>
  <c r="A783" i="5"/>
  <c r="A784" i="5"/>
  <c r="A785" i="5"/>
  <c r="A478" i="8" s="1"/>
  <c r="A786" i="5"/>
  <c r="A787" i="5"/>
  <c r="A788" i="5"/>
  <c r="A789" i="5"/>
  <c r="A486" i="8" s="1"/>
  <c r="A790" i="5"/>
  <c r="A791" i="5"/>
  <c r="A792" i="5"/>
  <c r="A793" i="5"/>
  <c r="A494" i="8" s="1"/>
  <c r="A794" i="5"/>
  <c r="A497" i="8" s="1"/>
  <c r="A795" i="5"/>
  <c r="A500" i="8" s="1"/>
  <c r="A796" i="5"/>
  <c r="A502" i="8" s="1"/>
  <c r="A797" i="5"/>
  <c r="A504" i="8" s="1"/>
  <c r="A798" i="5"/>
  <c r="A506" i="8" s="1"/>
  <c r="A799" i="5"/>
  <c r="A509" i="8" s="1"/>
  <c r="A800" i="5"/>
  <c r="A511" i="8" s="1"/>
  <c r="A801" i="5"/>
  <c r="A802" i="5"/>
  <c r="A803" i="5"/>
  <c r="A804" i="5"/>
  <c r="A1484" i="1" s="1"/>
  <c r="A964" i="7" s="1"/>
  <c r="A805" i="5"/>
  <c r="A566" i="8" s="1"/>
  <c r="A806" i="5"/>
  <c r="A807" i="5"/>
  <c r="A568" i="8" s="1"/>
  <c r="A808" i="5"/>
  <c r="A809" i="5"/>
  <c r="A570" i="8" s="1"/>
  <c r="A810" i="5"/>
  <c r="A811" i="5"/>
  <c r="A573" i="8" s="1"/>
  <c r="A812" i="5"/>
  <c r="A813" i="5"/>
  <c r="A576" i="8" s="1"/>
  <c r="A814" i="5"/>
  <c r="A815" i="5"/>
  <c r="A578" i="8" s="1"/>
  <c r="A816" i="5"/>
  <c r="A817" i="5"/>
  <c r="A582" i="8" s="1"/>
  <c r="A818" i="5"/>
  <c r="A583" i="8" s="1"/>
  <c r="A819" i="5"/>
  <c r="A585" i="8" s="1"/>
  <c r="A820" i="5"/>
  <c r="A821" i="5"/>
  <c r="A587" i="8" s="1"/>
  <c r="A822" i="5"/>
  <c r="A588" i="8" s="1"/>
  <c r="A823" i="5"/>
  <c r="A589" i="8" s="1"/>
  <c r="A824" i="5"/>
  <c r="A591" i="8" s="1"/>
  <c r="A825" i="5"/>
  <c r="A616" i="8" s="1"/>
  <c r="A826" i="5"/>
  <c r="A641" i="8" s="1"/>
  <c r="A827" i="5"/>
  <c r="A667" i="8" s="1"/>
  <c r="A828" i="5"/>
  <c r="B1675" i="1" s="1"/>
  <c r="A829" i="5"/>
  <c r="C672" i="8" s="1"/>
  <c r="A830" i="5"/>
  <c r="A831" i="5"/>
  <c r="A832" i="5"/>
  <c r="A833" i="5"/>
  <c r="A747" i="8" s="1"/>
  <c r="A834" i="5"/>
  <c r="A835" i="5"/>
  <c r="A1591" i="1" s="1"/>
  <c r="A996" i="7" s="1"/>
  <c r="A836" i="5"/>
  <c r="A674" i="8" s="1"/>
  <c r="A837" i="5"/>
  <c r="A1593" i="1" s="1"/>
  <c r="A998" i="7" s="1"/>
  <c r="A838" i="5"/>
  <c r="A1872" i="1" s="1"/>
  <c r="A839" i="5"/>
  <c r="A898" i="8" s="1"/>
  <c r="A840" i="5"/>
  <c r="A678" i="8" s="1"/>
  <c r="A841" i="5"/>
  <c r="A1597" i="1" s="1"/>
  <c r="A1002" i="7" s="1"/>
  <c r="A842" i="5"/>
  <c r="A1742" i="1" s="1"/>
  <c r="A843" i="5"/>
  <c r="A1599" i="1" s="1"/>
  <c r="A1004" i="7" s="1"/>
  <c r="A844" i="5"/>
  <c r="A845" i="5"/>
  <c r="A1601" i="1" s="1"/>
  <c r="A1006" i="7" s="1"/>
  <c r="A846" i="5"/>
  <c r="A1746" i="1" s="1"/>
  <c r="A847" i="5"/>
  <c r="A685" i="8" s="1"/>
  <c r="A848" i="5"/>
  <c r="A1748" i="1" s="1"/>
  <c r="A849" i="5"/>
  <c r="A835" i="8" s="1"/>
  <c r="A850" i="5"/>
  <c r="A851" i="5"/>
  <c r="A764" i="8" s="1"/>
  <c r="A852" i="5"/>
  <c r="A1767" i="1" s="1"/>
  <c r="A853" i="5"/>
  <c r="A767" i="8" s="1"/>
  <c r="A854" i="5"/>
  <c r="A1755" i="1" s="1"/>
  <c r="A855" i="5"/>
  <c r="A770" i="8" s="1"/>
  <c r="A856" i="5"/>
  <c r="A1758" i="1" s="1"/>
  <c r="A857" i="5"/>
  <c r="A772" i="8" s="1"/>
  <c r="A858" i="5"/>
  <c r="A1616" i="1" s="1"/>
  <c r="A1021" i="7" s="1"/>
  <c r="A859" i="5"/>
  <c r="A775" i="8" s="1"/>
  <c r="A860" i="5"/>
  <c r="A1763" i="1" s="1"/>
  <c r="A861" i="5"/>
  <c r="A777" i="8" s="1"/>
  <c r="A862" i="5"/>
  <c r="A703" i="8" s="1"/>
  <c r="A863" i="5"/>
  <c r="A955" i="8" s="1"/>
  <c r="A864" i="5"/>
  <c r="A706" i="8" s="1"/>
  <c r="A865" i="5"/>
  <c r="A855" i="8" s="1"/>
  <c r="A866" i="5"/>
  <c r="A1770" i="1" s="1"/>
  <c r="A867" i="5"/>
  <c r="A784" i="8" s="1"/>
  <c r="A868" i="5"/>
  <c r="A1628" i="1" s="1"/>
  <c r="A1033" i="7" s="1"/>
  <c r="A869" i="5"/>
  <c r="A860" i="8" s="1"/>
  <c r="A870" i="5"/>
  <c r="A1631" i="1" s="1"/>
  <c r="A1036" i="7" s="1"/>
  <c r="A871" i="5"/>
  <c r="A789" i="8" s="1"/>
  <c r="A872" i="5"/>
  <c r="A873" i="5"/>
  <c r="A742" i="8" s="1"/>
  <c r="A874" i="5"/>
  <c r="A875" i="5"/>
  <c r="A817" i="8" s="1"/>
  <c r="A876" i="5"/>
  <c r="A877" i="5"/>
  <c r="A890" i="8" s="1"/>
  <c r="A878" i="5"/>
  <c r="A897" i="8" s="1"/>
  <c r="A879" i="5"/>
  <c r="A899" i="8" s="1"/>
  <c r="A880" i="5"/>
  <c r="A900" i="8" s="1"/>
  <c r="A881" i="5"/>
  <c r="A902" i="8" s="1"/>
  <c r="A882" i="5"/>
  <c r="A903" i="8" s="1"/>
  <c r="A883" i="5"/>
  <c r="A904" i="8" s="1"/>
  <c r="A884" i="5"/>
  <c r="A905" i="8" s="1"/>
  <c r="A885" i="5"/>
  <c r="A906" i="8" s="1"/>
  <c r="A886" i="5"/>
  <c r="A907" i="8" s="1"/>
  <c r="A887" i="5"/>
  <c r="A909" i="8" s="1"/>
  <c r="A888" i="5"/>
  <c r="A911" i="8" s="1"/>
  <c r="A889" i="5"/>
  <c r="A177" i="8" s="1"/>
  <c r="A890" i="5"/>
  <c r="A913" i="8" s="1"/>
  <c r="A891" i="5"/>
  <c r="A915" i="8" s="1"/>
  <c r="A892" i="5"/>
  <c r="A1830" i="1" s="1"/>
  <c r="A893" i="5"/>
  <c r="B1833" i="1" s="1"/>
  <c r="A894" i="5"/>
  <c r="C1833" i="1" s="1"/>
  <c r="A895" i="5"/>
  <c r="A1832" i="1" s="1"/>
  <c r="A896" i="5"/>
  <c r="A1834" i="1" s="1"/>
  <c r="A897" i="5"/>
  <c r="A1835" i="1" s="1"/>
  <c r="A898" i="5"/>
  <c r="A1836" i="1" s="1"/>
  <c r="A899" i="5"/>
  <c r="A1837" i="1" s="1"/>
  <c r="A900" i="5"/>
  <c r="A1838" i="1" s="1"/>
  <c r="A901" i="5"/>
  <c r="A1839" i="1" s="1"/>
  <c r="A902" i="5"/>
  <c r="A1840" i="1" s="1"/>
  <c r="A903" i="5"/>
  <c r="A1841" i="1" s="1"/>
  <c r="A904" i="5"/>
  <c r="A1844" i="1" s="1"/>
  <c r="A905" i="5"/>
  <c r="A1845" i="1" s="1"/>
  <c r="A906" i="5"/>
  <c r="A1847" i="1" s="1"/>
  <c r="A907" i="5"/>
  <c r="A1849" i="1" s="1"/>
  <c r="A908" i="5"/>
  <c r="A1850" i="1" s="1"/>
  <c r="A909" i="5"/>
  <c r="A1852" i="1" s="1"/>
  <c r="A910" i="5"/>
  <c r="A1854" i="1" s="1"/>
  <c r="A911" i="5"/>
  <c r="A1860" i="1" s="1"/>
  <c r="A912" i="5"/>
  <c r="A1856" i="1" s="1"/>
  <c r="A913" i="5"/>
  <c r="A1862" i="1" s="1"/>
  <c r="A914" i="5"/>
  <c r="A1858" i="1" s="1"/>
  <c r="A915" i="5"/>
  <c r="A1859" i="1" s="1"/>
  <c r="A916" i="5"/>
  <c r="A1865" i="1" s="1"/>
  <c r="A917" i="5"/>
  <c r="A1867" i="1" s="1"/>
  <c r="A918" i="5"/>
  <c r="A1868" i="1" s="1"/>
  <c r="A919" i="5"/>
  <c r="A1870" i="1" s="1"/>
  <c r="A920" i="5"/>
  <c r="A1871" i="1" s="1"/>
  <c r="A921" i="5"/>
  <c r="A922" i="5"/>
  <c r="A1874" i="1" s="1"/>
  <c r="A923" i="5"/>
  <c r="A1875" i="1" s="1"/>
  <c r="A924" i="5"/>
  <c r="A1877" i="1" s="1"/>
  <c r="A925" i="5"/>
  <c r="A1878" i="1" s="1"/>
  <c r="A926" i="5"/>
  <c r="A1881" i="1" s="1"/>
  <c r="A1092" i="7" s="1"/>
  <c r="A927" i="5"/>
  <c r="A920" i="8" s="1"/>
  <c r="A928" i="5"/>
  <c r="A921" i="8" s="1"/>
  <c r="A929" i="5"/>
  <c r="A928" i="8" s="1"/>
  <c r="A930" i="5"/>
  <c r="A929" i="8" s="1"/>
  <c r="A931" i="5"/>
  <c r="A931" i="8" s="1"/>
  <c r="A932" i="5"/>
  <c r="A933" i="8" s="1"/>
  <c r="A933" i="5"/>
  <c r="A934" i="8" s="1"/>
  <c r="A934" i="5"/>
  <c r="A935" i="8" s="1"/>
  <c r="A935" i="5"/>
  <c r="A941" i="8" s="1"/>
  <c r="A936" i="5"/>
  <c r="A947" i="8" s="1"/>
  <c r="A937" i="5"/>
  <c r="A953" i="8" s="1"/>
  <c r="A938" i="5"/>
  <c r="A1921" i="1" s="1"/>
  <c r="A939" i="5"/>
  <c r="A2" i="8" s="1"/>
  <c r="A940" i="5"/>
  <c r="A4" i="8" s="1"/>
  <c r="A941" i="5"/>
  <c r="A6" i="8" s="1"/>
  <c r="A942" i="5"/>
  <c r="A7" i="8" s="1"/>
  <c r="A943" i="5"/>
  <c r="A11" i="8" s="1"/>
  <c r="A944" i="5"/>
  <c r="B11" i="8" s="1"/>
  <c r="A945" i="5"/>
  <c r="F11" i="8" s="1"/>
  <c r="A946" i="5"/>
  <c r="A16" i="8" s="1"/>
  <c r="A947" i="5"/>
  <c r="A20" i="8" s="1"/>
  <c r="A948" i="5"/>
  <c r="A22" i="8" s="1"/>
  <c r="A949" i="5"/>
  <c r="A23" i="8" s="1"/>
  <c r="A950" i="5"/>
  <c r="A24" i="8" s="1"/>
  <c r="A951" i="5"/>
  <c r="A25" i="8" s="1"/>
  <c r="A952" i="5"/>
  <c r="A27" i="8" s="1"/>
  <c r="A953" i="5"/>
  <c r="B27" i="8" s="1"/>
  <c r="A954" i="5"/>
  <c r="C27" i="8" s="1"/>
  <c r="A955" i="5"/>
  <c r="A31" i="8" s="1"/>
  <c r="A956" i="5"/>
  <c r="A32" i="8" s="1"/>
  <c r="A957" i="5"/>
  <c r="A33" i="8" s="1"/>
  <c r="A958" i="5"/>
  <c r="A34" i="8" s="1"/>
  <c r="A959" i="5"/>
  <c r="A35" i="8" s="1"/>
  <c r="A960" i="5"/>
  <c r="A36" i="8" s="1"/>
  <c r="A961" i="5"/>
  <c r="A39" i="8" s="1"/>
  <c r="A962" i="5"/>
  <c r="C41" i="8" s="1"/>
  <c r="A963" i="5"/>
  <c r="A964" i="5"/>
  <c r="A965" i="5"/>
  <c r="A966" i="5"/>
  <c r="A41" i="8" s="1"/>
  <c r="A967" i="5"/>
  <c r="A42" i="8" s="1"/>
  <c r="A968" i="5"/>
  <c r="A66" i="8" s="1"/>
  <c r="A969" i="5"/>
  <c r="A122" i="8" s="1"/>
  <c r="A970" i="5"/>
  <c r="A265" i="8" s="1"/>
  <c r="A971" i="5"/>
  <c r="A435" i="8" s="1"/>
  <c r="A972" i="5"/>
  <c r="A513" i="8" s="1"/>
  <c r="A973" i="5"/>
  <c r="A538" i="8" s="1"/>
  <c r="A974" i="5"/>
  <c r="A564" i="8" s="1"/>
  <c r="A975" i="5"/>
  <c r="A716" i="8" s="1"/>
  <c r="A976" i="5"/>
  <c r="A791" i="8" s="1"/>
  <c r="A977" i="5"/>
  <c r="A864" i="8" s="1"/>
  <c r="A978" i="5"/>
  <c r="A918" i="8" s="1"/>
  <c r="A979" i="5"/>
  <c r="A1923" i="1" s="1"/>
  <c r="A980" i="5"/>
  <c r="A1927" i="1" s="1"/>
  <c r="A981" i="5"/>
  <c r="A1928" i="1" s="1"/>
  <c r="A982" i="5"/>
  <c r="A1929" i="1" s="1"/>
  <c r="A983" i="5"/>
  <c r="A1979" i="1" s="1"/>
  <c r="A984" i="5"/>
  <c r="A1935" i="1" s="1"/>
  <c r="A985" i="5"/>
  <c r="B1935" i="1" s="1"/>
  <c r="A986" i="5"/>
  <c r="C1935" i="1" s="1"/>
  <c r="A987" i="5"/>
  <c r="A1944" i="1" s="1"/>
  <c r="A988" i="5"/>
  <c r="A1970" i="1" s="1"/>
  <c r="A989" i="5"/>
  <c r="A1973" i="1" s="1"/>
  <c r="A990" i="5"/>
  <c r="A1974" i="1" s="1"/>
  <c r="A1925" i="1" s="1"/>
  <c r="A991" i="5"/>
  <c r="A1975" i="1" s="1"/>
  <c r="A992" i="5"/>
  <c r="A1976" i="1" s="1"/>
  <c r="A993" i="5"/>
  <c r="A1977" i="1" s="1"/>
  <c r="A994" i="5"/>
  <c r="A1980" i="1" s="1"/>
  <c r="A1933" i="1" s="1"/>
  <c r="A995" i="5"/>
  <c r="A1981" i="1" s="1"/>
  <c r="A996" i="5"/>
  <c r="A1982" i="1" s="1"/>
  <c r="A997" i="5"/>
  <c r="A1983" i="1" s="1"/>
  <c r="A998" i="5"/>
  <c r="A1984" i="1" s="1"/>
  <c r="A999" i="5"/>
  <c r="B1972" i="1" s="1"/>
  <c r="A1000" i="5"/>
  <c r="C1928" i="1" s="1"/>
  <c r="A1001" i="5"/>
  <c r="A61" i="8" s="1"/>
  <c r="A1002" i="5"/>
  <c r="C12" i="8" s="1"/>
  <c r="A1003" i="5"/>
  <c r="A1004" i="5"/>
  <c r="A1005" i="5"/>
  <c r="A1006" i="5"/>
  <c r="A1007" i="5"/>
  <c r="A1008" i="5"/>
  <c r="A1009" i="5"/>
  <c r="A1010" i="5"/>
  <c r="A112" i="8" s="1"/>
  <c r="A1011" i="5"/>
  <c r="A1012" i="5"/>
  <c r="A1013" i="5"/>
  <c r="A1014" i="5"/>
  <c r="A1015" i="5"/>
  <c r="A14" i="8" s="1"/>
  <c r="A1016" i="5"/>
  <c r="C14" i="8" s="1"/>
  <c r="A1017" i="5"/>
  <c r="B17" i="4"/>
  <c r="A4" i="7"/>
  <c r="D7" i="7"/>
  <c r="D8" i="7"/>
  <c r="D10" i="7"/>
  <c r="D11" i="7"/>
  <c r="D12" i="7"/>
  <c r="D18" i="7"/>
  <c r="D19" i="7"/>
  <c r="D24" i="7"/>
  <c r="F24" i="7"/>
  <c r="D25" i="7"/>
  <c r="F25" i="7"/>
  <c r="D26" i="7"/>
  <c r="F26" i="7"/>
  <c r="D27" i="7"/>
  <c r="D28" i="7"/>
  <c r="D29" i="7"/>
  <c r="D34" i="7"/>
  <c r="E34" i="7"/>
  <c r="B36" i="7"/>
  <c r="F36" i="7"/>
  <c r="G36" i="7"/>
  <c r="H36" i="7"/>
  <c r="I36" i="7"/>
  <c r="J36" i="7"/>
  <c r="K36" i="7"/>
  <c r="L36" i="7"/>
  <c r="M36" i="7"/>
  <c r="N36" i="7"/>
  <c r="O36" i="7"/>
  <c r="P36" i="7"/>
  <c r="Q36" i="7"/>
  <c r="D37" i="7"/>
  <c r="D39" i="7"/>
  <c r="D41" i="7"/>
  <c r="D42" i="7"/>
  <c r="D43" i="7"/>
  <c r="D44" i="7"/>
  <c r="D45" i="7"/>
  <c r="D46" i="7"/>
  <c r="F46" i="7"/>
  <c r="G46" i="7"/>
  <c r="H46" i="7"/>
  <c r="I46" i="7"/>
  <c r="J46" i="7"/>
  <c r="K46" i="7"/>
  <c r="L46" i="7"/>
  <c r="M46" i="7"/>
  <c r="N46" i="7"/>
  <c r="O46" i="7"/>
  <c r="P46" i="7"/>
  <c r="Q46" i="7"/>
  <c r="D47" i="7"/>
  <c r="D49" i="7"/>
  <c r="E49" i="7"/>
  <c r="B51" i="7"/>
  <c r="G51" i="7"/>
  <c r="H51" i="7"/>
  <c r="I51" i="7"/>
  <c r="J51" i="7"/>
  <c r="K51" i="7"/>
  <c r="L51" i="7"/>
  <c r="M51" i="7"/>
  <c r="N51" i="7"/>
  <c r="O51" i="7"/>
  <c r="P51" i="7"/>
  <c r="Q51" i="7"/>
  <c r="D52" i="7"/>
  <c r="B54" i="7"/>
  <c r="D54" i="7"/>
  <c r="B55" i="7"/>
  <c r="D55" i="7"/>
  <c r="D56" i="7"/>
  <c r="B57" i="7"/>
  <c r="D58" i="7"/>
  <c r="D60" i="7"/>
  <c r="D61" i="7"/>
  <c r="D62" i="7"/>
  <c r="D63" i="7"/>
  <c r="D64" i="7"/>
  <c r="D65" i="7"/>
  <c r="D66" i="7"/>
  <c r="D67" i="7"/>
  <c r="D68" i="7"/>
  <c r="F68" i="7"/>
  <c r="G68" i="7"/>
  <c r="H68" i="7"/>
  <c r="I68" i="7"/>
  <c r="J68" i="7"/>
  <c r="K68" i="7"/>
  <c r="L68" i="7"/>
  <c r="M68" i="7"/>
  <c r="N68" i="7"/>
  <c r="O68" i="7"/>
  <c r="P68" i="7"/>
  <c r="Q68" i="7"/>
  <c r="D69" i="7"/>
  <c r="D70" i="7"/>
  <c r="D72" i="7"/>
  <c r="E72" i="7"/>
  <c r="A73" i="7"/>
  <c r="B74" i="7"/>
  <c r="G74" i="7"/>
  <c r="H74" i="7"/>
  <c r="I74" i="7"/>
  <c r="J74" i="7"/>
  <c r="K74" i="7"/>
  <c r="L74" i="7"/>
  <c r="M74" i="7"/>
  <c r="N74" i="7"/>
  <c r="O74" i="7"/>
  <c r="P74" i="7"/>
  <c r="Q74" i="7"/>
  <c r="D75" i="7"/>
  <c r="B77" i="7"/>
  <c r="B78" i="7"/>
  <c r="D79" i="7"/>
  <c r="B80" i="7"/>
  <c r="D80" i="7"/>
  <c r="B81" i="7"/>
  <c r="D81" i="7"/>
  <c r="D82" i="7"/>
  <c r="B83" i="7"/>
  <c r="D84" i="7"/>
  <c r="D86" i="7"/>
  <c r="D87" i="7"/>
  <c r="D88" i="7"/>
  <c r="D89" i="7"/>
  <c r="D90" i="7"/>
  <c r="D91" i="7"/>
  <c r="D92" i="7"/>
  <c r="D93" i="7"/>
  <c r="D94" i="7"/>
  <c r="F94" i="7"/>
  <c r="G94" i="7"/>
  <c r="H94" i="7"/>
  <c r="I94" i="7"/>
  <c r="J94" i="7"/>
  <c r="K94" i="7"/>
  <c r="L94" i="7"/>
  <c r="M94" i="7"/>
  <c r="N94" i="7"/>
  <c r="O94" i="7"/>
  <c r="P94" i="7"/>
  <c r="Q94" i="7"/>
  <c r="D95" i="7"/>
  <c r="D96" i="7"/>
  <c r="D98" i="7"/>
  <c r="E98" i="7"/>
  <c r="B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D101" i="7"/>
  <c r="B103" i="7"/>
  <c r="D103" i="7"/>
  <c r="B104" i="7"/>
  <c r="D104" i="7"/>
  <c r="D105" i="7"/>
  <c r="B106" i="7"/>
  <c r="D107" i="7"/>
  <c r="D109" i="7"/>
  <c r="D110" i="7"/>
  <c r="D111" i="7"/>
  <c r="D112" i="7"/>
  <c r="D113" i="7"/>
  <c r="D114" i="7"/>
  <c r="D115" i="7"/>
  <c r="D116" i="7"/>
  <c r="D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D118" i="7"/>
  <c r="D119" i="7"/>
  <c r="D121" i="7"/>
  <c r="E121" i="7"/>
  <c r="B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B125" i="7"/>
  <c r="D125" i="7"/>
  <c r="B126" i="7"/>
  <c r="D126" i="7"/>
  <c r="D127" i="7"/>
  <c r="D129" i="7"/>
  <c r="D130" i="7"/>
  <c r="D131" i="7"/>
  <c r="D132" i="7"/>
  <c r="D133" i="7"/>
  <c r="D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D135" i="7"/>
  <c r="B136" i="7"/>
  <c r="D136" i="7"/>
  <c r="A137" i="7"/>
  <c r="B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B140" i="7"/>
  <c r="D140" i="7"/>
  <c r="B141" i="7"/>
  <c r="D141" i="7"/>
  <c r="D142" i="7"/>
  <c r="D144" i="7"/>
  <c r="D145" i="7"/>
  <c r="D146" i="7"/>
  <c r="D147" i="7"/>
  <c r="D148" i="7"/>
  <c r="D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D150" i="7"/>
  <c r="B151" i="7"/>
  <c r="D151" i="7"/>
  <c r="D153" i="7"/>
  <c r="E153" i="7"/>
  <c r="B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B157" i="7"/>
  <c r="D157" i="7"/>
  <c r="D158" i="7"/>
  <c r="D159" i="7"/>
  <c r="D161" i="7"/>
  <c r="D162" i="7"/>
  <c r="D163" i="7"/>
  <c r="D164" i="7"/>
  <c r="D165" i="7"/>
  <c r="D166" i="7"/>
  <c r="D167" i="7"/>
  <c r="B171" i="7"/>
  <c r="D172" i="7"/>
  <c r="D173" i="7"/>
  <c r="D174" i="7"/>
  <c r="G192" i="7"/>
  <c r="H192" i="7"/>
  <c r="I192" i="7"/>
  <c r="J192" i="7"/>
  <c r="K192" i="7"/>
  <c r="L192" i="7"/>
  <c r="M192" i="7"/>
  <c r="N192" i="7"/>
  <c r="O192" i="7"/>
  <c r="P192" i="7"/>
  <c r="Q192" i="7"/>
  <c r="D196" i="7"/>
  <c r="D197" i="7"/>
  <c r="D198" i="7"/>
  <c r="D199" i="7"/>
  <c r="D204" i="7"/>
  <c r="D205" i="7"/>
  <c r="D206" i="7"/>
  <c r="D207" i="7"/>
  <c r="D209" i="7"/>
  <c r="D218" i="7"/>
  <c r="D219" i="7"/>
  <c r="D220" i="7"/>
  <c r="D222" i="7"/>
  <c r="D231" i="7"/>
  <c r="D232" i="7"/>
  <c r="D233" i="7"/>
  <c r="D235" i="7"/>
  <c r="D243" i="7"/>
  <c r="D245" i="7"/>
  <c r="D246" i="7"/>
  <c r="A252" i="7"/>
  <c r="D254" i="7"/>
  <c r="D255" i="7"/>
  <c r="D256" i="7"/>
  <c r="D258" i="7"/>
  <c r="D264" i="7"/>
  <c r="D266" i="7"/>
  <c r="E266" i="7"/>
  <c r="A267" i="7"/>
  <c r="C267" i="7"/>
  <c r="D267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A268" i="7"/>
  <c r="C268" i="7"/>
  <c r="D268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A269" i="7"/>
  <c r="B269" i="7"/>
  <c r="C269" i="7"/>
  <c r="D269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A270" i="7"/>
  <c r="B270" i="7"/>
  <c r="C270" i="7"/>
  <c r="D270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A271" i="7"/>
  <c r="B271" i="7"/>
  <c r="C271" i="7"/>
  <c r="D271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A272" i="7"/>
  <c r="B272" i="7"/>
  <c r="C272" i="7"/>
  <c r="D272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B273" i="7"/>
  <c r="C273" i="7"/>
  <c r="D273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C274" i="7"/>
  <c r="D274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D279" i="7"/>
  <c r="E279" i="7"/>
  <c r="D292" i="7"/>
  <c r="E292" i="7"/>
  <c r="D364" i="7"/>
  <c r="D365" i="7"/>
  <c r="D369" i="7"/>
  <c r="E369" i="7"/>
  <c r="D371" i="7"/>
  <c r="D372" i="7"/>
  <c r="D373" i="7"/>
  <c r="E373" i="7"/>
  <c r="D375" i="7"/>
  <c r="D376" i="7"/>
  <c r="D377" i="7"/>
  <c r="E377" i="7"/>
  <c r="D379" i="7"/>
  <c r="D380" i="7"/>
  <c r="D381" i="7"/>
  <c r="E381" i="7"/>
  <c r="D383" i="7"/>
  <c r="D384" i="7"/>
  <c r="D385" i="7"/>
  <c r="E385" i="7"/>
  <c r="D387" i="7"/>
  <c r="D388" i="7"/>
  <c r="D389" i="7"/>
  <c r="E389" i="7"/>
  <c r="D391" i="7"/>
  <c r="D392" i="7"/>
  <c r="D393" i="7"/>
  <c r="E393" i="7"/>
  <c r="D395" i="7"/>
  <c r="D396" i="7"/>
  <c r="D397" i="7"/>
  <c r="E397" i="7"/>
  <c r="D399" i="7"/>
  <c r="D400" i="7"/>
  <c r="D401" i="7"/>
  <c r="E401" i="7"/>
  <c r="D405" i="7"/>
  <c r="D406" i="7"/>
  <c r="E406" i="7"/>
  <c r="D407" i="7"/>
  <c r="E407" i="7"/>
  <c r="A408" i="7"/>
  <c r="B408" i="7"/>
  <c r="C408" i="7"/>
  <c r="D409" i="7"/>
  <c r="E409" i="7"/>
  <c r="A410" i="7"/>
  <c r="B410" i="7"/>
  <c r="C410" i="7"/>
  <c r="A411" i="7"/>
  <c r="B411" i="7"/>
  <c r="C411" i="7"/>
  <c r="A412" i="7"/>
  <c r="B412" i="7"/>
  <c r="C412" i="7"/>
  <c r="D413" i="7"/>
  <c r="E413" i="7"/>
  <c r="A414" i="7"/>
  <c r="B414" i="7"/>
  <c r="C414" i="7"/>
  <c r="A415" i="7"/>
  <c r="B415" i="7"/>
  <c r="C415" i="7"/>
  <c r="A416" i="7"/>
  <c r="B416" i="7"/>
  <c r="C416" i="7"/>
  <c r="D417" i="7"/>
  <c r="E417" i="7"/>
  <c r="A418" i="7"/>
  <c r="B418" i="7"/>
  <c r="C418" i="7"/>
  <c r="A419" i="7"/>
  <c r="B419" i="7"/>
  <c r="C419" i="7"/>
  <c r="A420" i="7"/>
  <c r="B420" i="7"/>
  <c r="C420" i="7"/>
  <c r="D421" i="7"/>
  <c r="E421" i="7"/>
  <c r="A422" i="7"/>
  <c r="B422" i="7"/>
  <c r="C422" i="7"/>
  <c r="A423" i="7"/>
  <c r="B423" i="7"/>
  <c r="C423" i="7"/>
  <c r="A424" i="7"/>
  <c r="B424" i="7"/>
  <c r="C424" i="7"/>
  <c r="D425" i="7"/>
  <c r="E425" i="7"/>
  <c r="A426" i="7"/>
  <c r="B426" i="7"/>
  <c r="C426" i="7"/>
  <c r="A427" i="7"/>
  <c r="B427" i="7"/>
  <c r="C427" i="7"/>
  <c r="A428" i="7"/>
  <c r="B428" i="7"/>
  <c r="C428" i="7"/>
  <c r="D429" i="7"/>
  <c r="E429" i="7"/>
  <c r="A430" i="7"/>
  <c r="B430" i="7"/>
  <c r="C430" i="7"/>
  <c r="A431" i="7"/>
  <c r="B431" i="7"/>
  <c r="C431" i="7"/>
  <c r="A432" i="7"/>
  <c r="B432" i="7"/>
  <c r="C432" i="7"/>
  <c r="D433" i="7"/>
  <c r="E433" i="7"/>
  <c r="A434" i="7"/>
  <c r="B434" i="7"/>
  <c r="C434" i="7"/>
  <c r="A435" i="7"/>
  <c r="B435" i="7"/>
  <c r="C435" i="7"/>
  <c r="A436" i="7"/>
  <c r="B436" i="7"/>
  <c r="C436" i="7"/>
  <c r="D448" i="7"/>
  <c r="E448" i="7"/>
  <c r="B449" i="7"/>
  <c r="F449" i="7"/>
  <c r="C450" i="7"/>
  <c r="D450" i="7"/>
  <c r="C451" i="7"/>
  <c r="D451" i="7"/>
  <c r="D461" i="7"/>
  <c r="E461" i="7"/>
  <c r="A462" i="7"/>
  <c r="B462" i="7"/>
  <c r="F462" i="7"/>
  <c r="C463" i="7"/>
  <c r="D463" i="7"/>
  <c r="C464" i="7"/>
  <c r="D464" i="7"/>
  <c r="D472" i="7"/>
  <c r="E472" i="7"/>
  <c r="A473" i="7"/>
  <c r="B473" i="7"/>
  <c r="F473" i="7"/>
  <c r="C474" i="7"/>
  <c r="D474" i="7"/>
  <c r="C475" i="7"/>
  <c r="D475" i="7"/>
  <c r="D483" i="7"/>
  <c r="E483" i="7"/>
  <c r="B484" i="7"/>
  <c r="B485" i="7"/>
  <c r="D485" i="7"/>
  <c r="C486" i="7"/>
  <c r="D486" i="7"/>
  <c r="C487" i="7"/>
  <c r="D487" i="7"/>
  <c r="D520" i="7"/>
  <c r="B521" i="7"/>
  <c r="D522" i="7"/>
  <c r="D523" i="7"/>
  <c r="D524" i="7"/>
  <c r="B525" i="7"/>
  <c r="D526" i="7"/>
  <c r="D527" i="7"/>
  <c r="D528" i="7"/>
  <c r="B529" i="7"/>
  <c r="D530" i="7"/>
  <c r="D531" i="7"/>
  <c r="C535" i="7"/>
  <c r="B536" i="7"/>
  <c r="C536" i="7"/>
  <c r="B537" i="7"/>
  <c r="C537" i="7"/>
  <c r="D538" i="7"/>
  <c r="D539" i="7"/>
  <c r="D540" i="7"/>
  <c r="D541" i="7"/>
  <c r="D542" i="7"/>
  <c r="D543" i="7"/>
  <c r="C547" i="7"/>
  <c r="B548" i="7"/>
  <c r="C548" i="7"/>
  <c r="B549" i="7"/>
  <c r="C549" i="7"/>
  <c r="D550" i="7"/>
  <c r="D551" i="7"/>
  <c r="D552" i="7"/>
  <c r="D553" i="7"/>
  <c r="D554" i="7"/>
  <c r="D555" i="7"/>
  <c r="D558" i="7"/>
  <c r="D559" i="7"/>
  <c r="D560" i="7"/>
  <c r="D561" i="7"/>
  <c r="D562" i="7"/>
  <c r="D565" i="7"/>
  <c r="B566" i="7"/>
  <c r="D569" i="7"/>
  <c r="B570" i="7"/>
  <c r="B571" i="7"/>
  <c r="D572" i="7"/>
  <c r="D574" i="7"/>
  <c r="D575" i="7"/>
  <c r="D576" i="7"/>
  <c r="B586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B587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B588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B589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B590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B592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B595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D598" i="7"/>
  <c r="D600" i="7"/>
  <c r="B606" i="7"/>
  <c r="D606" i="7"/>
  <c r="D607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D608" i="7"/>
  <c r="D609" i="7"/>
  <c r="D610" i="7"/>
  <c r="D611" i="7"/>
  <c r="D613" i="7"/>
  <c r="E613" i="7"/>
  <c r="A614" i="7"/>
  <c r="B615" i="7"/>
  <c r="B616" i="7"/>
  <c r="B617" i="7"/>
  <c r="D617" i="7"/>
  <c r="B618" i="7"/>
  <c r="E618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D624" i="7"/>
  <c r="D635" i="7"/>
  <c r="D636" i="7"/>
  <c r="D637" i="7"/>
  <c r="D639" i="7"/>
  <c r="D640" i="7"/>
  <c r="D811" i="7"/>
  <c r="D812" i="7"/>
  <c r="D921" i="7"/>
  <c r="D922" i="7"/>
  <c r="D923" i="7"/>
  <c r="D924" i="7"/>
  <c r="D925" i="7"/>
  <c r="D926" i="7"/>
  <c r="D927" i="7"/>
  <c r="D928" i="7"/>
  <c r="D929" i="7"/>
  <c r="D930" i="7"/>
  <c r="D932" i="7"/>
  <c r="D933" i="7"/>
  <c r="D934" i="7"/>
  <c r="D935" i="7"/>
  <c r="D936" i="7"/>
  <c r="D937" i="7"/>
  <c r="D938" i="7"/>
  <c r="D939" i="7"/>
  <c r="D941" i="7"/>
  <c r="D943" i="7"/>
  <c r="D944" i="7"/>
  <c r="D945" i="7"/>
  <c r="D946" i="7"/>
  <c r="D947" i="7"/>
  <c r="D948" i="7"/>
  <c r="D949" i="7"/>
  <c r="D950" i="7"/>
  <c r="D951" i="7"/>
  <c r="D952" i="7"/>
  <c r="D953" i="7"/>
  <c r="D955" i="7"/>
  <c r="D956" i="7"/>
  <c r="D957" i="7"/>
  <c r="D958" i="7"/>
  <c r="D960" i="7"/>
  <c r="C966" i="7"/>
  <c r="D966" i="7"/>
  <c r="C967" i="7"/>
  <c r="D967" i="7"/>
  <c r="C968" i="7"/>
  <c r="D968" i="7"/>
  <c r="C969" i="7"/>
  <c r="D969" i="7"/>
  <c r="C970" i="7"/>
  <c r="D970" i="7"/>
  <c r="C972" i="7"/>
  <c r="D972" i="7"/>
  <c r="D973" i="7"/>
  <c r="C974" i="7"/>
  <c r="D974" i="7"/>
  <c r="C976" i="7"/>
  <c r="D976" i="7"/>
  <c r="C977" i="7"/>
  <c r="D977" i="7"/>
  <c r="C978" i="7"/>
  <c r="D978" i="7"/>
  <c r="C980" i="7"/>
  <c r="D980" i="7"/>
  <c r="D982" i="7"/>
  <c r="D983" i="7"/>
  <c r="D985" i="7"/>
  <c r="D986" i="7"/>
  <c r="C987" i="7"/>
  <c r="D987" i="7"/>
  <c r="D988" i="7"/>
  <c r="D989" i="7"/>
  <c r="B994" i="7"/>
  <c r="B995" i="7"/>
  <c r="B996" i="7"/>
  <c r="B997" i="7"/>
  <c r="C997" i="7"/>
  <c r="D997" i="7"/>
  <c r="D998" i="7"/>
  <c r="D999" i="7"/>
  <c r="F999" i="7"/>
  <c r="G1011" i="7"/>
  <c r="H1011" i="7"/>
  <c r="I1011" i="7"/>
  <c r="J1011" i="7"/>
  <c r="K1011" i="7"/>
  <c r="L1011" i="7"/>
  <c r="M1011" i="7"/>
  <c r="N1011" i="7"/>
  <c r="O1011" i="7"/>
  <c r="P1011" i="7"/>
  <c r="Q1011" i="7"/>
  <c r="D1016" i="7"/>
  <c r="D1019" i="7"/>
  <c r="D1020" i="7"/>
  <c r="D1021" i="7"/>
  <c r="D1025" i="7"/>
  <c r="D1026" i="7"/>
  <c r="B1068" i="7"/>
  <c r="C1069" i="7"/>
  <c r="D1069" i="7"/>
  <c r="D1070" i="7"/>
  <c r="D1071" i="7"/>
  <c r="D1072" i="7"/>
  <c r="C1073" i="7"/>
  <c r="C1119" i="7"/>
  <c r="A12" i="8"/>
  <c r="A45" i="8" s="1"/>
  <c r="D14" i="8"/>
  <c r="B22" i="8"/>
  <c r="E24" i="8"/>
  <c r="G33" i="8"/>
  <c r="F35" i="8"/>
  <c r="F54" i="8"/>
  <c r="F669" i="8"/>
  <c r="F819" i="8" s="1"/>
  <c r="B674" i="8"/>
  <c r="B713" i="8" s="1"/>
  <c r="F688" i="8"/>
  <c r="G688" i="8"/>
  <c r="H688" i="8"/>
  <c r="I688" i="8"/>
  <c r="J688" i="8"/>
  <c r="F689" i="8"/>
  <c r="G689" i="8"/>
  <c r="F763" i="8"/>
  <c r="G763" i="8"/>
  <c r="H763" i="8"/>
  <c r="I763" i="8"/>
  <c r="J763" i="8"/>
  <c r="F764" i="8"/>
  <c r="G764" i="8"/>
  <c r="B9" i="1"/>
  <c r="B6" i="7" s="1"/>
  <c r="D12" i="1"/>
  <c r="G29" i="1"/>
  <c r="F31" i="1"/>
  <c r="D37" i="1"/>
  <c r="F37" i="1"/>
  <c r="D39" i="1"/>
  <c r="D40" i="1"/>
  <c r="D41" i="1"/>
  <c r="D42" i="1"/>
  <c r="D43" i="1"/>
  <c r="F43" i="1"/>
  <c r="D45" i="1"/>
  <c r="D46" i="1"/>
  <c r="D47" i="1"/>
  <c r="D48" i="1"/>
  <c r="D49" i="1"/>
  <c r="D50" i="1"/>
  <c r="D52" i="1"/>
  <c r="D53" i="1"/>
  <c r="D55" i="1"/>
  <c r="D57" i="1"/>
  <c r="D58" i="1"/>
  <c r="D61" i="1"/>
  <c r="D62" i="1"/>
  <c r="D63" i="1"/>
  <c r="D64" i="1"/>
  <c r="F1034" i="1" s="1"/>
  <c r="F609" i="7" s="1"/>
  <c r="D65" i="1"/>
  <c r="D66" i="1"/>
  <c r="D67" i="1"/>
  <c r="D69" i="1"/>
  <c r="F70" i="1"/>
  <c r="G87" i="1"/>
  <c r="H87" i="1" s="1"/>
  <c r="I87" i="1" s="1"/>
  <c r="J87" i="1" s="1"/>
  <c r="K87" i="1" s="1"/>
  <c r="G88" i="1"/>
  <c r="G91" i="1"/>
  <c r="H91" i="1" s="1"/>
  <c r="I95" i="1"/>
  <c r="F98" i="1"/>
  <c r="G98" i="1"/>
  <c r="H98" i="1"/>
  <c r="G99" i="1"/>
  <c r="H99" i="1" s="1"/>
  <c r="I99" i="1" s="1"/>
  <c r="J99" i="1" s="1"/>
  <c r="K99" i="1" s="1"/>
  <c r="B111" i="1"/>
  <c r="B911" i="1" s="1"/>
  <c r="F130" i="1"/>
  <c r="G130" i="1"/>
  <c r="H130" i="1"/>
  <c r="I130" i="1"/>
  <c r="J130" i="1"/>
  <c r="F138" i="1"/>
  <c r="G138" i="1" s="1"/>
  <c r="H138" i="1" s="1"/>
  <c r="I138" i="1" s="1"/>
  <c r="J138" i="1" s="1"/>
  <c r="K138" i="1" s="1"/>
  <c r="F141" i="1"/>
  <c r="G141" i="1" s="1"/>
  <c r="H141" i="1" s="1"/>
  <c r="I141" i="1" s="1"/>
  <c r="J141" i="1" s="1"/>
  <c r="K141" i="1" s="1"/>
  <c r="F144" i="1"/>
  <c r="F145" i="1"/>
  <c r="G145" i="1" s="1"/>
  <c r="H145" i="1" s="1"/>
  <c r="I145" i="1" s="1"/>
  <c r="J145" i="1" s="1"/>
  <c r="K145" i="1" s="1"/>
  <c r="F149" i="1"/>
  <c r="G149" i="1" s="1"/>
  <c r="H149" i="1" s="1"/>
  <c r="I149" i="1" s="1"/>
  <c r="J149" i="1" s="1"/>
  <c r="K149" i="1" s="1"/>
  <c r="G152" i="1"/>
  <c r="H152" i="1" s="1"/>
  <c r="I152" i="1" s="1"/>
  <c r="J152" i="1" s="1"/>
  <c r="K152" i="1" s="1"/>
  <c r="F153" i="1"/>
  <c r="B157" i="1"/>
  <c r="F160" i="1" s="1"/>
  <c r="G160" i="1" s="1"/>
  <c r="H160" i="1" s="1"/>
  <c r="I160" i="1" s="1"/>
  <c r="J160" i="1" s="1"/>
  <c r="K160" i="1" s="1"/>
  <c r="G164" i="1"/>
  <c r="H164" i="1" s="1"/>
  <c r="F165" i="1"/>
  <c r="F163" i="1" s="1"/>
  <c r="F162" i="1" s="1"/>
  <c r="B171" i="1"/>
  <c r="B42" i="8" s="1"/>
  <c r="M179" i="1"/>
  <c r="F180" i="1"/>
  <c r="F51" i="8" s="1"/>
  <c r="F50" i="8" s="1"/>
  <c r="G180" i="1"/>
  <c r="H180" i="1"/>
  <c r="I180" i="1"/>
  <c r="J180" i="1"/>
  <c r="F183" i="1"/>
  <c r="F184" i="1" s="1"/>
  <c r="F55" i="8" s="1"/>
  <c r="B195" i="1"/>
  <c r="F195" i="1" s="1"/>
  <c r="G195" i="1" s="1"/>
  <c r="H195" i="1" s="1"/>
  <c r="I195" i="1" s="1"/>
  <c r="J195" i="1" s="1"/>
  <c r="K195" i="1" s="1"/>
  <c r="F197" i="1"/>
  <c r="G197" i="1" s="1"/>
  <c r="F198" i="1"/>
  <c r="G198" i="1" s="1"/>
  <c r="H198" i="1" s="1"/>
  <c r="I198" i="1" s="1"/>
  <c r="J198" i="1" s="1"/>
  <c r="K198" i="1" s="1"/>
  <c r="F199" i="1"/>
  <c r="G199" i="1" s="1"/>
  <c r="H199" i="1" s="1"/>
  <c r="I199" i="1" s="1"/>
  <c r="J199" i="1" s="1"/>
  <c r="K199" i="1" s="1"/>
  <c r="F200" i="1"/>
  <c r="G200" i="1" s="1"/>
  <c r="H200" i="1" s="1"/>
  <c r="I200" i="1" s="1"/>
  <c r="J200" i="1" s="1"/>
  <c r="K200" i="1" s="1"/>
  <c r="B205" i="1"/>
  <c r="F205" i="1" s="1"/>
  <c r="G205" i="1" s="1"/>
  <c r="H205" i="1" s="1"/>
  <c r="I205" i="1" s="1"/>
  <c r="J205" i="1" s="1"/>
  <c r="K205" i="1" s="1"/>
  <c r="B213" i="1"/>
  <c r="K222" i="1" s="1"/>
  <c r="B224" i="1"/>
  <c r="F224" i="1" s="1"/>
  <c r="G224" i="1" s="1"/>
  <c r="H224" i="1" s="1"/>
  <c r="I224" i="1" s="1"/>
  <c r="J224" i="1" s="1"/>
  <c r="K224" i="1" s="1"/>
  <c r="E234" i="1"/>
  <c r="F234" i="1" s="1"/>
  <c r="G234" i="1" s="1"/>
  <c r="H234" i="1" s="1"/>
  <c r="I234" i="1" s="1"/>
  <c r="J234" i="1" s="1"/>
  <c r="K234" i="1" s="1"/>
  <c r="M235" i="1"/>
  <c r="F236" i="1"/>
  <c r="G236" i="1"/>
  <c r="H236" i="1"/>
  <c r="I236" i="1"/>
  <c r="J236" i="1"/>
  <c r="F237" i="1"/>
  <c r="G237" i="1"/>
  <c r="H237" i="1"/>
  <c r="I237" i="1"/>
  <c r="J237" i="1"/>
  <c r="M241" i="1"/>
  <c r="E242" i="1"/>
  <c r="E240" i="1" s="1"/>
  <c r="B243" i="1"/>
  <c r="F245" i="1"/>
  <c r="G245" i="1"/>
  <c r="H245" i="1"/>
  <c r="I245" i="1"/>
  <c r="J245" i="1"/>
  <c r="M250" i="1"/>
  <c r="E251" i="1"/>
  <c r="F251" i="1" s="1"/>
  <c r="G251" i="1" s="1"/>
  <c r="H251" i="1" s="1"/>
  <c r="I251" i="1" s="1"/>
  <c r="J251" i="1" s="1"/>
  <c r="K251" i="1" s="1"/>
  <c r="B252" i="1"/>
  <c r="F254" i="1"/>
  <c r="G254" i="1"/>
  <c r="H254" i="1"/>
  <c r="I254" i="1"/>
  <c r="J254" i="1"/>
  <c r="M259" i="1"/>
  <c r="E260" i="1"/>
  <c r="B261" i="1"/>
  <c r="F263" i="1"/>
  <c r="G263" i="1"/>
  <c r="H263" i="1"/>
  <c r="I263" i="1"/>
  <c r="J263" i="1"/>
  <c r="E268" i="1"/>
  <c r="F268" i="1" s="1"/>
  <c r="G268" i="1" s="1"/>
  <c r="H268" i="1" s="1"/>
  <c r="I268" i="1" s="1"/>
  <c r="J268" i="1" s="1"/>
  <c r="K268" i="1" s="1"/>
  <c r="B269" i="1"/>
  <c r="E273" i="1"/>
  <c r="F273" i="1" s="1"/>
  <c r="M275" i="1"/>
  <c r="F276" i="1"/>
  <c r="G276" i="1"/>
  <c r="H276" i="1"/>
  <c r="I276" i="1"/>
  <c r="J276" i="1"/>
  <c r="D285" i="1"/>
  <c r="M285" i="1"/>
  <c r="S36" i="7" s="1"/>
  <c r="B286" i="1"/>
  <c r="F288" i="1"/>
  <c r="F39" i="7" s="1"/>
  <c r="G288" i="1"/>
  <c r="H288" i="1"/>
  <c r="H39" i="7" s="1"/>
  <c r="I288" i="1"/>
  <c r="I39" i="7" s="1"/>
  <c r="J288" i="1"/>
  <c r="J39" i="7" s="1"/>
  <c r="K39" i="7"/>
  <c r="L39" i="7"/>
  <c r="M39" i="7"/>
  <c r="N39" i="7"/>
  <c r="O39" i="7"/>
  <c r="P39" i="7"/>
  <c r="Q39" i="7"/>
  <c r="M295" i="1"/>
  <c r="S46" i="7" s="1"/>
  <c r="F296" i="1"/>
  <c r="F47" i="7" s="1"/>
  <c r="G296" i="1"/>
  <c r="H296" i="1"/>
  <c r="H47" i="7" s="1"/>
  <c r="I296" i="1"/>
  <c r="I47" i="7" s="1"/>
  <c r="J296" i="1"/>
  <c r="J47" i="7" s="1"/>
  <c r="K47" i="7"/>
  <c r="L47" i="7"/>
  <c r="M47" i="7"/>
  <c r="N47" i="7"/>
  <c r="O47" i="7"/>
  <c r="P47" i="7"/>
  <c r="Q47" i="7"/>
  <c r="D300" i="1"/>
  <c r="B301" i="1"/>
  <c r="B52" i="7" s="1"/>
  <c r="M317" i="1"/>
  <c r="S68" i="7" s="1"/>
  <c r="F318" i="1"/>
  <c r="F69" i="7" s="1"/>
  <c r="G318" i="1"/>
  <c r="G69" i="7" s="1"/>
  <c r="H318" i="1"/>
  <c r="H69" i="7" s="1"/>
  <c r="I318" i="1"/>
  <c r="I69" i="7" s="1"/>
  <c r="J318" i="1"/>
  <c r="J69" i="7" s="1"/>
  <c r="K69" i="7"/>
  <c r="L69" i="7"/>
  <c r="M69" i="7"/>
  <c r="N69" i="7"/>
  <c r="O69" i="7"/>
  <c r="P69" i="7"/>
  <c r="Q69" i="7"/>
  <c r="D344" i="1"/>
  <c r="B345" i="1"/>
  <c r="B75" i="7" s="1"/>
  <c r="B349" i="1"/>
  <c r="B79" i="7" s="1"/>
  <c r="F349" i="1"/>
  <c r="F79" i="7" s="1"/>
  <c r="G349" i="1"/>
  <c r="H349" i="1"/>
  <c r="H79" i="7" s="1"/>
  <c r="I349" i="1"/>
  <c r="I79" i="7" s="1"/>
  <c r="J349" i="1"/>
  <c r="J79" i="7" s="1"/>
  <c r="K79" i="7"/>
  <c r="L79" i="7"/>
  <c r="M79" i="7"/>
  <c r="N79" i="7"/>
  <c r="O79" i="7"/>
  <c r="P79" i="7"/>
  <c r="Q79" i="7"/>
  <c r="M364" i="1"/>
  <c r="S94" i="7" s="1"/>
  <c r="F365" i="1"/>
  <c r="F95" i="7" s="1"/>
  <c r="G365" i="1"/>
  <c r="G95" i="7" s="1"/>
  <c r="H365" i="1"/>
  <c r="H95" i="7" s="1"/>
  <c r="I365" i="1"/>
  <c r="I95" i="7" s="1"/>
  <c r="J365" i="1"/>
  <c r="J95" i="7" s="1"/>
  <c r="K95" i="7"/>
  <c r="L95" i="7"/>
  <c r="M95" i="7"/>
  <c r="N95" i="7"/>
  <c r="O95" i="7"/>
  <c r="P95" i="7"/>
  <c r="Q95" i="7"/>
  <c r="D394" i="1"/>
  <c r="M394" i="1"/>
  <c r="S100" i="7" s="1"/>
  <c r="B395" i="1"/>
  <c r="F397" i="1"/>
  <c r="F103" i="7" s="1"/>
  <c r="G397" i="1"/>
  <c r="H397" i="1"/>
  <c r="H103" i="7" s="1"/>
  <c r="I397" i="1"/>
  <c r="I103" i="7" s="1"/>
  <c r="J397" i="1"/>
  <c r="J103" i="7" s="1"/>
  <c r="K103" i="7"/>
  <c r="L103" i="7"/>
  <c r="M103" i="7"/>
  <c r="N103" i="7"/>
  <c r="O103" i="7"/>
  <c r="P103" i="7"/>
  <c r="Q103" i="7"/>
  <c r="M411" i="1"/>
  <c r="S117" i="7" s="1"/>
  <c r="F412" i="1"/>
  <c r="F118" i="7" s="1"/>
  <c r="G412" i="1"/>
  <c r="H412" i="1"/>
  <c r="H118" i="7" s="1"/>
  <c r="I412" i="1"/>
  <c r="I118" i="7" s="1"/>
  <c r="J412" i="1"/>
  <c r="J118" i="7" s="1"/>
  <c r="K118" i="7"/>
  <c r="L118" i="7"/>
  <c r="M118" i="7"/>
  <c r="N118" i="7"/>
  <c r="O118" i="7"/>
  <c r="P118" i="7"/>
  <c r="Q118" i="7"/>
  <c r="D417" i="1"/>
  <c r="M417" i="1"/>
  <c r="S123" i="7" s="1"/>
  <c r="F421" i="1"/>
  <c r="F127" i="7" s="1"/>
  <c r="G421" i="1"/>
  <c r="G127" i="7" s="1"/>
  <c r="H421" i="1"/>
  <c r="I421" i="1"/>
  <c r="I127" i="7" s="1"/>
  <c r="J421" i="1"/>
  <c r="K127" i="7"/>
  <c r="M127" i="7"/>
  <c r="O127" i="7"/>
  <c r="Q127" i="7"/>
  <c r="M428" i="1"/>
  <c r="S134" i="7" s="1"/>
  <c r="F429" i="1"/>
  <c r="F135" i="7" s="1"/>
  <c r="G429" i="1"/>
  <c r="G135" i="7" s="1"/>
  <c r="H429" i="1"/>
  <c r="H135" i="7" s="1"/>
  <c r="I429" i="1"/>
  <c r="I135" i="7" s="1"/>
  <c r="J429" i="1"/>
  <c r="J135" i="7" s="1"/>
  <c r="K135" i="7"/>
  <c r="L135" i="7"/>
  <c r="M135" i="7"/>
  <c r="N135" i="7"/>
  <c r="O135" i="7"/>
  <c r="P135" i="7"/>
  <c r="Q135" i="7"/>
  <c r="F430" i="1"/>
  <c r="F136" i="7" s="1"/>
  <c r="G430" i="1"/>
  <c r="G136" i="7" s="1"/>
  <c r="H430" i="1"/>
  <c r="H136" i="7" s="1"/>
  <c r="I430" i="1"/>
  <c r="I136" i="7" s="1"/>
  <c r="J430" i="1"/>
  <c r="J136" i="7" s="1"/>
  <c r="K136" i="7"/>
  <c r="L136" i="7"/>
  <c r="M136" i="7"/>
  <c r="N136" i="7"/>
  <c r="O136" i="7"/>
  <c r="P136" i="7"/>
  <c r="Q136" i="7"/>
  <c r="D138" i="7"/>
  <c r="S138" i="7"/>
  <c r="G142" i="7"/>
  <c r="I142" i="7"/>
  <c r="K142" i="7"/>
  <c r="M142" i="7"/>
  <c r="O142" i="7"/>
  <c r="Q142" i="7"/>
  <c r="C148" i="7"/>
  <c r="S149" i="7"/>
  <c r="F150" i="7"/>
  <c r="H150" i="7"/>
  <c r="I150" i="7"/>
  <c r="J150" i="7"/>
  <c r="K150" i="7"/>
  <c r="L150" i="7"/>
  <c r="M150" i="7"/>
  <c r="N150" i="7"/>
  <c r="O150" i="7"/>
  <c r="P150" i="7"/>
  <c r="Q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D434" i="1"/>
  <c r="M434" i="1"/>
  <c r="S155" i="7" s="1"/>
  <c r="B457" i="1"/>
  <c r="B178" i="7" s="1"/>
  <c r="B458" i="1"/>
  <c r="B179" i="7" s="1"/>
  <c r="B459" i="1"/>
  <c r="B180" i="7" s="1"/>
  <c r="B460" i="1"/>
  <c r="B181" i="7" s="1"/>
  <c r="B461" i="1"/>
  <c r="B182" i="7" s="1"/>
  <c r="F485" i="1"/>
  <c r="F206" i="7" s="1"/>
  <c r="G485" i="1"/>
  <c r="G206" i="7" s="1"/>
  <c r="H485" i="1"/>
  <c r="H206" i="7" s="1"/>
  <c r="I485" i="1"/>
  <c r="I206" i="7" s="1"/>
  <c r="J485" i="1"/>
  <c r="J206" i="7" s="1"/>
  <c r="K206" i="7"/>
  <c r="L206" i="7"/>
  <c r="M206" i="7"/>
  <c r="N206" i="7"/>
  <c r="O206" i="7"/>
  <c r="P206" i="7"/>
  <c r="Q206" i="7"/>
  <c r="F493" i="1"/>
  <c r="F214" i="7" s="1"/>
  <c r="G493" i="1"/>
  <c r="G214" i="7" s="1"/>
  <c r="H493" i="1"/>
  <c r="H214" i="7" s="1"/>
  <c r="I493" i="1"/>
  <c r="I214" i="7" s="1"/>
  <c r="J493" i="1"/>
  <c r="J214" i="7" s="1"/>
  <c r="K214" i="7"/>
  <c r="L214" i="7"/>
  <c r="M214" i="7"/>
  <c r="N214" i="7"/>
  <c r="O214" i="7"/>
  <c r="P214" i="7"/>
  <c r="Q214" i="7"/>
  <c r="D550" i="1"/>
  <c r="D551" i="1"/>
  <c r="D552" i="1"/>
  <c r="D553" i="1"/>
  <c r="D554" i="1"/>
  <c r="D555" i="1"/>
  <c r="D556" i="1"/>
  <c r="D557" i="1"/>
  <c r="D559" i="1"/>
  <c r="D560" i="1"/>
  <c r="D561" i="1"/>
  <c r="D562" i="1"/>
  <c r="F562" i="1"/>
  <c r="D563" i="1"/>
  <c r="F563" i="1"/>
  <c r="D564" i="1"/>
  <c r="D565" i="1"/>
  <c r="D566" i="1"/>
  <c r="D567" i="1"/>
  <c r="I593" i="1"/>
  <c r="A273" i="7"/>
  <c r="A280" i="7"/>
  <c r="C593" i="1"/>
  <c r="C280" i="7" s="1"/>
  <c r="A281" i="7"/>
  <c r="C281" i="7"/>
  <c r="G376" i="7"/>
  <c r="A282" i="7"/>
  <c r="C282" i="7"/>
  <c r="G282" i="7"/>
  <c r="H380" i="7"/>
  <c r="I282" i="7"/>
  <c r="J380" i="7"/>
  <c r="K282" i="7"/>
  <c r="L380" i="7"/>
  <c r="M282" i="7"/>
  <c r="N380" i="7"/>
  <c r="O282" i="7"/>
  <c r="P380" i="7"/>
  <c r="Q282" i="7"/>
  <c r="A283" i="7"/>
  <c r="C283" i="7"/>
  <c r="F283" i="7"/>
  <c r="H283" i="7"/>
  <c r="I384" i="7"/>
  <c r="J283" i="7"/>
  <c r="K384" i="7"/>
  <c r="M384" i="7"/>
  <c r="N283" i="7"/>
  <c r="O384" i="7"/>
  <c r="P283" i="7"/>
  <c r="Q384" i="7"/>
  <c r="A284" i="7"/>
  <c r="C284" i="7"/>
  <c r="G284" i="7"/>
  <c r="H388" i="7"/>
  <c r="I284" i="7"/>
  <c r="J388" i="7"/>
  <c r="K284" i="7"/>
  <c r="L388" i="7"/>
  <c r="M284" i="7"/>
  <c r="N388" i="7"/>
  <c r="O284" i="7"/>
  <c r="P388" i="7"/>
  <c r="Q284" i="7"/>
  <c r="A285" i="7"/>
  <c r="C285" i="7"/>
  <c r="F285" i="7"/>
  <c r="H285" i="7"/>
  <c r="I392" i="7"/>
  <c r="J285" i="7"/>
  <c r="K392" i="7"/>
  <c r="L285" i="7"/>
  <c r="M392" i="7"/>
  <c r="N285" i="7"/>
  <c r="O392" i="7"/>
  <c r="P285" i="7"/>
  <c r="Q392" i="7"/>
  <c r="C286" i="7"/>
  <c r="F286" i="7"/>
  <c r="J286" i="7"/>
  <c r="L286" i="7"/>
  <c r="N286" i="7"/>
  <c r="C287" i="7"/>
  <c r="A600" i="1"/>
  <c r="F601" i="1"/>
  <c r="A619" i="1"/>
  <c r="A293" i="7" s="1"/>
  <c r="D619" i="1"/>
  <c r="D620" i="1"/>
  <c r="D294" i="7" s="1"/>
  <c r="D621" i="1"/>
  <c r="D295" i="7" s="1"/>
  <c r="D622" i="1"/>
  <c r="D296" i="7" s="1"/>
  <c r="D623" i="1"/>
  <c r="D297" i="7" s="1"/>
  <c r="D624" i="1"/>
  <c r="D298" i="7" s="1"/>
  <c r="D625" i="1"/>
  <c r="D299" i="7" s="1"/>
  <c r="D626" i="1"/>
  <c r="D300" i="7" s="1"/>
  <c r="A301" i="7"/>
  <c r="D301" i="7"/>
  <c r="D302" i="7"/>
  <c r="D303" i="7"/>
  <c r="D304" i="7"/>
  <c r="D305" i="7"/>
  <c r="D306" i="7"/>
  <c r="D307" i="7"/>
  <c r="D308" i="7"/>
  <c r="A309" i="7"/>
  <c r="D309" i="7"/>
  <c r="D310" i="7"/>
  <c r="D311" i="7"/>
  <c r="D312" i="7"/>
  <c r="D313" i="7"/>
  <c r="D314" i="7"/>
  <c r="D315" i="7"/>
  <c r="D316" i="7"/>
  <c r="A317" i="7"/>
  <c r="D317" i="7"/>
  <c r="D318" i="7"/>
  <c r="D319" i="7"/>
  <c r="D320" i="7"/>
  <c r="D321" i="7"/>
  <c r="D322" i="7"/>
  <c r="D323" i="7"/>
  <c r="D324" i="7"/>
  <c r="A325" i="7"/>
  <c r="D325" i="7"/>
  <c r="D326" i="7"/>
  <c r="D327" i="7"/>
  <c r="D328" i="7"/>
  <c r="D329" i="7"/>
  <c r="D330" i="7"/>
  <c r="D331" i="7"/>
  <c r="D332" i="7"/>
  <c r="A333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A648" i="1"/>
  <c r="A370" i="7" s="1"/>
  <c r="C649" i="1"/>
  <c r="C371" i="7" s="1"/>
  <c r="C650" i="1"/>
  <c r="C372" i="7" s="1"/>
  <c r="C651" i="1"/>
  <c r="C373" i="7" s="1"/>
  <c r="A374" i="7"/>
  <c r="C375" i="7"/>
  <c r="C376" i="7"/>
  <c r="K376" i="7"/>
  <c r="O376" i="7"/>
  <c r="C377" i="7"/>
  <c r="A378" i="7"/>
  <c r="C379" i="7"/>
  <c r="C380" i="7"/>
  <c r="O380" i="7"/>
  <c r="C381" i="7"/>
  <c r="A382" i="7"/>
  <c r="C383" i="7"/>
  <c r="C384" i="7"/>
  <c r="C385" i="7"/>
  <c r="A386" i="7"/>
  <c r="C387" i="7"/>
  <c r="C388" i="7"/>
  <c r="M388" i="7"/>
  <c r="C389" i="7"/>
  <c r="A390" i="7"/>
  <c r="C391" i="7"/>
  <c r="P428" i="7"/>
  <c r="C392" i="7"/>
  <c r="C393" i="7"/>
  <c r="C395" i="7"/>
  <c r="C396" i="7"/>
  <c r="C397" i="7"/>
  <c r="C399" i="7"/>
  <c r="C400" i="7"/>
  <c r="C401" i="7"/>
  <c r="A661" i="1"/>
  <c r="A407" i="7" s="1"/>
  <c r="A409" i="7"/>
  <c r="A413" i="7"/>
  <c r="A417" i="7"/>
  <c r="A421" i="7"/>
  <c r="A425" i="7"/>
  <c r="A670" i="1"/>
  <c r="A671" i="1"/>
  <c r="F672" i="1"/>
  <c r="A689" i="1"/>
  <c r="A690" i="1"/>
  <c r="D690" i="1"/>
  <c r="B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B704" i="1"/>
  <c r="D704" i="1"/>
  <c r="A740" i="1"/>
  <c r="D743" i="1"/>
  <c r="F744" i="1"/>
  <c r="D746" i="1"/>
  <c r="D747" i="1"/>
  <c r="D748" i="1"/>
  <c r="D749" i="1"/>
  <c r="D750" i="1"/>
  <c r="D751" i="1"/>
  <c r="D752" i="1"/>
  <c r="D753" i="1"/>
  <c r="B754" i="1"/>
  <c r="D754" i="1"/>
  <c r="D787" i="1"/>
  <c r="F790" i="1"/>
  <c r="D811" i="1"/>
  <c r="F814" i="1"/>
  <c r="D820" i="1"/>
  <c r="F823" i="1"/>
  <c r="D829" i="1"/>
  <c r="F832" i="1"/>
  <c r="D867" i="1"/>
  <c r="D449" i="7" s="1"/>
  <c r="F868" i="1"/>
  <c r="F450" i="7" s="1"/>
  <c r="D870" i="1"/>
  <c r="D452" i="7" s="1"/>
  <c r="D880" i="1"/>
  <c r="D462" i="7" s="1"/>
  <c r="F881" i="1"/>
  <c r="F463" i="7" s="1"/>
  <c r="D883" i="1"/>
  <c r="D465" i="7" s="1"/>
  <c r="D891" i="1"/>
  <c r="D473" i="7" s="1"/>
  <c r="F892" i="1"/>
  <c r="F474" i="7" s="1"/>
  <c r="D894" i="1"/>
  <c r="D476" i="7" s="1"/>
  <c r="D902" i="1"/>
  <c r="D484" i="7" s="1"/>
  <c r="F904" i="1"/>
  <c r="F486" i="7" s="1"/>
  <c r="D906" i="1"/>
  <c r="D488" i="7" s="1"/>
  <c r="E945" i="1"/>
  <c r="E522" i="7" s="1"/>
  <c r="E949" i="1"/>
  <c r="E526" i="7" s="1"/>
  <c r="F950" i="1"/>
  <c r="F527" i="7" s="1"/>
  <c r="G950" i="1"/>
  <c r="G527" i="7" s="1"/>
  <c r="H950" i="1"/>
  <c r="H527" i="7" s="1"/>
  <c r="I950" i="1"/>
  <c r="I527" i="7" s="1"/>
  <c r="J950" i="1"/>
  <c r="J527" i="7" s="1"/>
  <c r="K527" i="7"/>
  <c r="L527" i="7"/>
  <c r="M527" i="7"/>
  <c r="N527" i="7"/>
  <c r="O527" i="7"/>
  <c r="P527" i="7"/>
  <c r="Q527" i="7"/>
  <c r="E953" i="1"/>
  <c r="E530" i="7" s="1"/>
  <c r="B535" i="7"/>
  <c r="E962" i="1"/>
  <c r="E539" i="7" s="1"/>
  <c r="E965" i="1"/>
  <c r="E542" i="7" s="1"/>
  <c r="B970" i="1"/>
  <c r="B547" i="7" s="1"/>
  <c r="E974" i="1"/>
  <c r="E551" i="7" s="1"/>
  <c r="E977" i="1"/>
  <c r="E554" i="7" s="1"/>
  <c r="E980" i="1"/>
  <c r="E557" i="7" s="1"/>
  <c r="E988" i="1"/>
  <c r="E565" i="7" s="1"/>
  <c r="D1009" i="1"/>
  <c r="D586" i="7" s="1"/>
  <c r="M1009" i="1"/>
  <c r="S586" i="7" s="1"/>
  <c r="D1010" i="1"/>
  <c r="D587" i="7" s="1"/>
  <c r="M1010" i="1"/>
  <c r="S587" i="7" s="1"/>
  <c r="D1011" i="1"/>
  <c r="D588" i="7" s="1"/>
  <c r="M1011" i="1"/>
  <c r="S588" i="7" s="1"/>
  <c r="D1012" i="1"/>
  <c r="D589" i="7" s="1"/>
  <c r="M1012" i="1"/>
  <c r="S589" i="7" s="1"/>
  <c r="D1013" i="1"/>
  <c r="D590" i="7" s="1"/>
  <c r="M1013" i="1"/>
  <c r="S590" i="7" s="1"/>
  <c r="M1015" i="1"/>
  <c r="S592" i="7" s="1"/>
  <c r="F1016" i="1"/>
  <c r="F593" i="7" s="1"/>
  <c r="G1016" i="1"/>
  <c r="G593" i="7" s="1"/>
  <c r="H1016" i="1"/>
  <c r="H593" i="7" s="1"/>
  <c r="I1016" i="1"/>
  <c r="I593" i="7" s="1"/>
  <c r="J1016" i="1"/>
  <c r="J593" i="7" s="1"/>
  <c r="K593" i="7"/>
  <c r="L593" i="7"/>
  <c r="M593" i="7"/>
  <c r="N593" i="7"/>
  <c r="O593" i="7"/>
  <c r="P593" i="7"/>
  <c r="Q593" i="7"/>
  <c r="M1018" i="1"/>
  <c r="S595" i="7" s="1"/>
  <c r="F1019" i="1"/>
  <c r="F596" i="7" s="1"/>
  <c r="G1019" i="1"/>
  <c r="G596" i="7" s="1"/>
  <c r="H1019" i="1"/>
  <c r="H596" i="7" s="1"/>
  <c r="I1019" i="1"/>
  <c r="I596" i="7" s="1"/>
  <c r="J1019" i="1"/>
  <c r="J596" i="7" s="1"/>
  <c r="K596" i="7"/>
  <c r="L596" i="7"/>
  <c r="M596" i="7"/>
  <c r="N596" i="7"/>
  <c r="O596" i="7"/>
  <c r="P596" i="7"/>
  <c r="Q596" i="7"/>
  <c r="F1021" i="1"/>
  <c r="F598" i="7" s="1"/>
  <c r="G1021" i="1"/>
  <c r="G1112" i="1" s="1"/>
  <c r="H1021" i="1"/>
  <c r="H598" i="7" s="1"/>
  <c r="I1021" i="1"/>
  <c r="I598" i="7" s="1"/>
  <c r="J1021" i="1"/>
  <c r="J598" i="7" s="1"/>
  <c r="K598" i="7"/>
  <c r="L598" i="7"/>
  <c r="M598" i="7"/>
  <c r="N598" i="7"/>
  <c r="O598" i="7"/>
  <c r="P598" i="7"/>
  <c r="Q598" i="7"/>
  <c r="F1031" i="1"/>
  <c r="F606" i="7" s="1"/>
  <c r="M1032" i="1"/>
  <c r="S607" i="7" s="1"/>
  <c r="F1042" i="1"/>
  <c r="F617" i="7" s="1"/>
  <c r="D1045" i="1"/>
  <c r="D620" i="7" s="1"/>
  <c r="M1045" i="1"/>
  <c r="S620" i="7" s="1"/>
  <c r="D1046" i="1"/>
  <c r="D621" i="7" s="1"/>
  <c r="M1046" i="1"/>
  <c r="S621" i="7" s="1"/>
  <c r="D1047" i="1"/>
  <c r="D622" i="7" s="1"/>
  <c r="D1048" i="1"/>
  <c r="D623" i="7" s="1"/>
  <c r="D1050" i="1"/>
  <c r="D625" i="7" s="1"/>
  <c r="F1050" i="1"/>
  <c r="F625" i="7" s="1"/>
  <c r="D1051" i="1"/>
  <c r="D626" i="7" s="1"/>
  <c r="D1052" i="1"/>
  <c r="D627" i="7" s="1"/>
  <c r="F1110" i="1"/>
  <c r="F92" i="8" s="1"/>
  <c r="F91" i="8" s="1"/>
  <c r="G1110" i="1"/>
  <c r="H1110" i="1"/>
  <c r="I1110" i="1"/>
  <c r="J1110" i="1"/>
  <c r="F1111" i="1"/>
  <c r="F94" i="8" s="1"/>
  <c r="F93" i="8" s="1"/>
  <c r="G1111" i="1"/>
  <c r="H1111" i="1"/>
  <c r="I1111" i="1"/>
  <c r="J1111" i="1"/>
  <c r="F1149" i="1"/>
  <c r="G1149" i="1"/>
  <c r="H1149" i="1"/>
  <c r="I1149" i="1"/>
  <c r="J1149" i="1"/>
  <c r="M1207" i="1"/>
  <c r="M1209" i="1"/>
  <c r="E1221" i="1"/>
  <c r="E1286" i="1"/>
  <c r="E812" i="7" s="1"/>
  <c r="F1399" i="1"/>
  <c r="G1399" i="1" s="1"/>
  <c r="F1420" i="1"/>
  <c r="F1592" i="1"/>
  <c r="F997" i="7" s="1"/>
  <c r="F1606" i="1"/>
  <c r="F1011" i="7" s="1"/>
  <c r="F1607" i="1"/>
  <c r="F1012" i="7" s="1"/>
  <c r="B1631" i="1"/>
  <c r="B1036" i="7" s="1"/>
  <c r="B1632" i="1"/>
  <c r="B1037" i="7" s="1"/>
  <c r="B1665" i="1"/>
  <c r="F1665" i="1" s="1"/>
  <c r="F1680" i="1"/>
  <c r="B1736" i="1"/>
  <c r="F1736" i="1" s="1"/>
  <c r="B1807" i="1"/>
  <c r="B1069" i="7" s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M1855" i="1"/>
  <c r="M1860" i="1"/>
  <c r="B1870" i="1"/>
  <c r="F1870" i="1" s="1"/>
  <c r="B1936" i="1"/>
  <c r="B1937" i="1" s="1"/>
  <c r="B1938" i="1" s="1"/>
  <c r="B1939" i="1" s="1"/>
  <c r="B1940" i="1" s="1"/>
  <c r="B1941" i="1" s="1"/>
  <c r="B1942" i="1" s="1"/>
  <c r="E3" i="9"/>
  <c r="F12" i="8"/>
  <c r="A545" i="1" l="1"/>
  <c r="A903" i="1"/>
  <c r="A485" i="7" s="1"/>
  <c r="A908" i="1"/>
  <c r="F910" i="1"/>
  <c r="G910" i="1"/>
  <c r="A806" i="1"/>
  <c r="A838" i="1"/>
  <c r="A805" i="1"/>
  <c r="A837" i="1"/>
  <c r="C803" i="1"/>
  <c r="C835" i="1"/>
  <c r="A803" i="1"/>
  <c r="A835" i="1"/>
  <c r="A804" i="1"/>
  <c r="A836" i="1"/>
  <c r="F838" i="1"/>
  <c r="F834" i="1"/>
  <c r="G834" i="1"/>
  <c r="H834" i="1"/>
  <c r="G838" i="1"/>
  <c r="I834" i="1"/>
  <c r="J834" i="1"/>
  <c r="K834" i="1"/>
  <c r="A375" i="1"/>
  <c r="A325" i="1"/>
  <c r="A379" i="1"/>
  <c r="A329" i="1"/>
  <c r="A389" i="1"/>
  <c r="A339" i="1"/>
  <c r="A374" i="1"/>
  <c r="A324" i="1"/>
  <c r="A378" i="1"/>
  <c r="A328" i="1"/>
  <c r="A388" i="1"/>
  <c r="A338" i="1"/>
  <c r="C325" i="1"/>
  <c r="C324" i="1"/>
  <c r="A390" i="1"/>
  <c r="A340" i="1"/>
  <c r="A370" i="1"/>
  <c r="A323" i="1"/>
  <c r="C370" i="1"/>
  <c r="C323" i="1"/>
  <c r="A387" i="1"/>
  <c r="A337" i="1"/>
  <c r="A385" i="1"/>
  <c r="A335" i="1"/>
  <c r="A369" i="1"/>
  <c r="A322" i="1"/>
  <c r="A386" i="1"/>
  <c r="A336" i="1"/>
  <c r="A383" i="1"/>
  <c r="A333" i="1"/>
  <c r="A384" i="1"/>
  <c r="A334" i="1"/>
  <c r="A382" i="1"/>
  <c r="A332" i="1"/>
  <c r="A368" i="1"/>
  <c r="A321" i="1"/>
  <c r="C377" i="1"/>
  <c r="C327" i="1"/>
  <c r="B340" i="1"/>
  <c r="B326" i="1"/>
  <c r="A377" i="1"/>
  <c r="A327" i="1"/>
  <c r="A381" i="1"/>
  <c r="A331" i="1"/>
  <c r="A376" i="1"/>
  <c r="A326" i="1"/>
  <c r="A380" i="1"/>
  <c r="A330" i="1"/>
  <c r="A1043" i="1"/>
  <c r="A618" i="7" s="1"/>
  <c r="A1042" i="1"/>
  <c r="A617" i="7" s="1"/>
  <c r="A1048" i="1"/>
  <c r="A623" i="7" s="1"/>
  <c r="A1041" i="1"/>
  <c r="A616" i="7" s="1"/>
  <c r="A1050" i="1"/>
  <c r="A625" i="7" s="1"/>
  <c r="A1049" i="1"/>
  <c r="A624" i="7" s="1"/>
  <c r="A1040" i="1"/>
  <c r="A615" i="7" s="1"/>
  <c r="C1040" i="1"/>
  <c r="C615" i="7" s="1"/>
  <c r="G1607" i="1"/>
  <c r="G1012" i="7" s="1"/>
  <c r="A1032" i="1"/>
  <c r="A607" i="7" s="1"/>
  <c r="F802" i="1"/>
  <c r="F797" i="1"/>
  <c r="F806" i="1"/>
  <c r="F801" i="1"/>
  <c r="F796" i="1"/>
  <c r="A1035" i="1"/>
  <c r="A610" i="7" s="1"/>
  <c r="A1113" i="1"/>
  <c r="K802" i="1"/>
  <c r="J802" i="1"/>
  <c r="I802" i="1"/>
  <c r="H802" i="1"/>
  <c r="G802" i="1"/>
  <c r="G806" i="1"/>
  <c r="A795" i="1"/>
  <c r="A800" i="1"/>
  <c r="C793" i="1"/>
  <c r="C798" i="1"/>
  <c r="A796" i="1"/>
  <c r="A801" i="1"/>
  <c r="A793" i="1"/>
  <c r="A798" i="1"/>
  <c r="A794" i="1"/>
  <c r="A799" i="1"/>
  <c r="G797" i="1"/>
  <c r="K797" i="1"/>
  <c r="J797" i="1"/>
  <c r="H797" i="1"/>
  <c r="I797" i="1"/>
  <c r="G801" i="1"/>
  <c r="F792" i="1"/>
  <c r="K792" i="1"/>
  <c r="J792" i="1"/>
  <c r="G792" i="1"/>
  <c r="I792" i="1"/>
  <c r="H792" i="1"/>
  <c r="G796" i="1"/>
  <c r="K530" i="1"/>
  <c r="K529" i="1"/>
  <c r="Q250" i="7" s="1"/>
  <c r="K521" i="1"/>
  <c r="Q242" i="7" s="1"/>
  <c r="K528" i="1"/>
  <c r="Q249" i="7" s="1"/>
  <c r="K526" i="1"/>
  <c r="K506" i="1"/>
  <c r="Q227" i="7" s="1"/>
  <c r="K505" i="1"/>
  <c r="Q226" i="7" s="1"/>
  <c r="K504" i="1"/>
  <c r="Q225" i="7" s="1"/>
  <c r="K474" i="1"/>
  <c r="K480" i="1"/>
  <c r="Q201" i="7" s="1"/>
  <c r="K479" i="1"/>
  <c r="G454" i="8"/>
  <c r="G453" i="8" s="1"/>
  <c r="G164" i="8"/>
  <c r="G163" i="8" s="1"/>
  <c r="G96" i="8"/>
  <c r="G95" i="8" s="1"/>
  <c r="G92" i="8"/>
  <c r="G91" i="8" s="1"/>
  <c r="G51" i="8"/>
  <c r="G50" i="8" s="1"/>
  <c r="G113" i="8"/>
  <c r="G112" i="8" s="1"/>
  <c r="G94" i="8"/>
  <c r="G93" i="8" s="1"/>
  <c r="K518" i="1"/>
  <c r="Q239" i="7" s="1"/>
  <c r="K517" i="1"/>
  <c r="Q238" i="7" s="1"/>
  <c r="K492" i="1"/>
  <c r="Q213" i="7" s="1"/>
  <c r="K491" i="1"/>
  <c r="Q212" i="7" s="1"/>
  <c r="K820" i="1"/>
  <c r="K787" i="1"/>
  <c r="A717" i="1"/>
  <c r="A766" i="1"/>
  <c r="A765" i="1"/>
  <c r="A716" i="1"/>
  <c r="A764" i="1"/>
  <c r="A715" i="1"/>
  <c r="A760" i="1"/>
  <c r="A680" i="1"/>
  <c r="A609" i="1"/>
  <c r="A718" i="1"/>
  <c r="A767" i="1"/>
  <c r="B367" i="1"/>
  <c r="B755" i="1"/>
  <c r="B677" i="1"/>
  <c r="B762" i="1"/>
  <c r="B613" i="1"/>
  <c r="F610" i="1" s="1"/>
  <c r="B683" i="1"/>
  <c r="A683" i="1"/>
  <c r="A762" i="1"/>
  <c r="A759" i="1"/>
  <c r="A679" i="1"/>
  <c r="A608" i="1"/>
  <c r="G609" i="1"/>
  <c r="F609" i="1"/>
  <c r="G607" i="1" s="1"/>
  <c r="F680" i="1"/>
  <c r="F760" i="1"/>
  <c r="G757" i="1" s="1"/>
  <c r="G758" i="1" s="1"/>
  <c r="G760" i="1"/>
  <c r="G680" i="1"/>
  <c r="A720" i="1"/>
  <c r="A769" i="1"/>
  <c r="A719" i="1"/>
  <c r="A768" i="1"/>
  <c r="C720" i="1"/>
  <c r="C769" i="1"/>
  <c r="C707" i="1"/>
  <c r="B376" i="1"/>
  <c r="K378" i="1" s="1"/>
  <c r="K376" i="1" s="1"/>
  <c r="B390" i="1"/>
  <c r="K390" i="1" s="1"/>
  <c r="C374" i="1"/>
  <c r="C375" i="1"/>
  <c r="B25" i="8"/>
  <c r="C100" i="8" s="1"/>
  <c r="C1695" i="1"/>
  <c r="C1913" i="1" s="1"/>
  <c r="C1124" i="7" s="1"/>
  <c r="F77" i="1"/>
  <c r="F423" i="1"/>
  <c r="F129" i="7" s="1"/>
  <c r="F820" i="8"/>
  <c r="I280" i="7"/>
  <c r="I649" i="1"/>
  <c r="C812" i="1"/>
  <c r="G868" i="1"/>
  <c r="G450" i="7" s="1"/>
  <c r="G832" i="1"/>
  <c r="G833" i="1" s="1"/>
  <c r="G823" i="1"/>
  <c r="G824" i="1" s="1"/>
  <c r="G814" i="1"/>
  <c r="G815" i="1" s="1"/>
  <c r="G790" i="1"/>
  <c r="G791" i="1" s="1"/>
  <c r="G904" i="1"/>
  <c r="G892" i="1"/>
  <c r="G1680" i="1"/>
  <c r="G1143" i="1"/>
  <c r="G158" i="8" s="1"/>
  <c r="G881" i="1"/>
  <c r="G463" i="7" s="1"/>
  <c r="G744" i="1"/>
  <c r="G745" i="1" s="1"/>
  <c r="G672" i="1"/>
  <c r="G673" i="1" s="1"/>
  <c r="E1054" i="1"/>
  <c r="E629" i="7" s="1"/>
  <c r="M685" i="7"/>
  <c r="I1143" i="1"/>
  <c r="I685" i="7" s="1"/>
  <c r="A379" i="7"/>
  <c r="A347" i="7"/>
  <c r="A343" i="7"/>
  <c r="B661" i="1"/>
  <c r="B407" i="7" s="1"/>
  <c r="A746" i="1"/>
  <c r="A388" i="7"/>
  <c r="B1210" i="1"/>
  <c r="K1210" i="1" s="1"/>
  <c r="F745" i="1"/>
  <c r="G742" i="1" s="1"/>
  <c r="I1112" i="1"/>
  <c r="Q251" i="7"/>
  <c r="L249" i="7"/>
  <c r="F508" i="1"/>
  <c r="D74" i="7"/>
  <c r="G26" i="7"/>
  <c r="F473" i="1"/>
  <c r="F1263" i="1" s="1"/>
  <c r="H33" i="8"/>
  <c r="F566" i="1"/>
  <c r="F580" i="1" s="1"/>
  <c r="B747" i="1"/>
  <c r="B1208" i="1"/>
  <c r="K1208" i="1" s="1"/>
  <c r="K118" i="1" s="1"/>
  <c r="B883" i="1"/>
  <c r="B465" i="7" s="1"/>
  <c r="F673" i="1"/>
  <c r="G474" i="1"/>
  <c r="G195" i="7" s="1"/>
  <c r="G563" i="1"/>
  <c r="G565" i="1" s="1"/>
  <c r="G579" i="1" s="1"/>
  <c r="O201" i="7"/>
  <c r="F833" i="1"/>
  <c r="G831" i="1" s="1"/>
  <c r="H831" i="1" s="1"/>
  <c r="F824" i="1"/>
  <c r="G531" i="1"/>
  <c r="G1104" i="1" s="1"/>
  <c r="G82" i="8" s="1"/>
  <c r="B13" i="1"/>
  <c r="B464" i="1"/>
  <c r="B185" i="7" s="1"/>
  <c r="H428" i="7"/>
  <c r="P801" i="7"/>
  <c r="H1275" i="1"/>
  <c r="N239" i="7"/>
  <c r="A72" i="8"/>
  <c r="A187" i="8"/>
  <c r="A51" i="8"/>
  <c r="C104" i="1"/>
  <c r="P227" i="7"/>
  <c r="N212" i="7"/>
  <c r="G35" i="8"/>
  <c r="H35" i="8" s="1"/>
  <c r="I35" i="8" s="1"/>
  <c r="C993" i="1"/>
  <c r="C570" i="7" s="1"/>
  <c r="M422" i="7"/>
  <c r="L251" i="7"/>
  <c r="G562" i="1"/>
  <c r="G577" i="1" s="1"/>
  <c r="G553" i="1"/>
  <c r="O226" i="7"/>
  <c r="F491" i="1"/>
  <c r="F212" i="7" s="1"/>
  <c r="L200" i="7"/>
  <c r="G480" i="1"/>
  <c r="G201" i="7" s="1"/>
  <c r="N801" i="7"/>
  <c r="J1275" i="1"/>
  <c r="J801" i="7" s="1"/>
  <c r="F1275" i="1"/>
  <c r="F801" i="7" s="1"/>
  <c r="M213" i="7"/>
  <c r="A722" i="1"/>
  <c r="A744" i="8"/>
  <c r="A670" i="8"/>
  <c r="A669" i="8"/>
  <c r="A44" i="8"/>
  <c r="A405" i="1"/>
  <c r="A111" i="7" s="1"/>
  <c r="A349" i="1"/>
  <c r="A79" i="7" s="1"/>
  <c r="A535" i="1"/>
  <c r="A256" i="7" s="1"/>
  <c r="C269" i="1"/>
  <c r="A945" i="1"/>
  <c r="A522" i="7" s="1"/>
  <c r="A744" i="1"/>
  <c r="H10" i="9"/>
  <c r="H17" i="9"/>
  <c r="H8" i="9"/>
  <c r="H16" i="9"/>
  <c r="H7" i="9"/>
  <c r="H15" i="9"/>
  <c r="H18" i="9"/>
  <c r="H9" i="9"/>
  <c r="H11" i="9"/>
  <c r="H13" i="9"/>
  <c r="H12" i="9"/>
  <c r="H14" i="9"/>
  <c r="C397" i="1"/>
  <c r="C103" i="7" s="1"/>
  <c r="C248" i="1"/>
  <c r="A823" i="1"/>
  <c r="C994" i="1"/>
  <c r="C571" i="7" s="1"/>
  <c r="A905" i="1"/>
  <c r="A487" i="7" s="1"/>
  <c r="A892" i="1"/>
  <c r="A474" i="7" s="1"/>
  <c r="A815" i="1"/>
  <c r="A1425" i="1"/>
  <c r="A955" i="7" s="1"/>
  <c r="A1413" i="1"/>
  <c r="A943" i="7" s="1"/>
  <c r="M1127" i="1"/>
  <c r="S669" i="7" s="1"/>
  <c r="A1099" i="1"/>
  <c r="A975" i="1"/>
  <c r="A552" i="7" s="1"/>
  <c r="C969" i="1"/>
  <c r="C546" i="7" s="1"/>
  <c r="M858" i="1"/>
  <c r="S440" i="7" s="1"/>
  <c r="M1660" i="1"/>
  <c r="C821" i="1"/>
  <c r="A949" i="1"/>
  <c r="A526" i="7" s="1"/>
  <c r="A870" i="1"/>
  <c r="A452" i="7" s="1"/>
  <c r="A844" i="1"/>
  <c r="A778" i="1"/>
  <c r="B1014" i="1"/>
  <c r="B591" i="7" s="1"/>
  <c r="A1672" i="1"/>
  <c r="A1749" i="1"/>
  <c r="A1703" i="1"/>
  <c r="A1498" i="1"/>
  <c r="A978" i="7" s="1"/>
  <c r="A1253" i="1"/>
  <c r="A779" i="7" s="1"/>
  <c r="M1205" i="1"/>
  <c r="A992" i="1"/>
  <c r="A569" i="7" s="1"/>
  <c r="A953" i="1"/>
  <c r="A530" i="7" s="1"/>
  <c r="A926" i="1"/>
  <c r="A503" i="7" s="1"/>
  <c r="A894" i="1"/>
  <c r="A476" i="7" s="1"/>
  <c r="A882" i="1"/>
  <c r="A464" i="7" s="1"/>
  <c r="A868" i="1"/>
  <c r="A450" i="7" s="1"/>
  <c r="A833" i="1"/>
  <c r="A790" i="1"/>
  <c r="C788" i="1"/>
  <c r="M783" i="1"/>
  <c r="A771" i="1"/>
  <c r="C754" i="1"/>
  <c r="A752" i="1"/>
  <c r="A742" i="1"/>
  <c r="A1885" i="1"/>
  <c r="A1096" i="7" s="1"/>
  <c r="A1818" i="1"/>
  <c r="A1080" i="7" s="1"/>
  <c r="A1764" i="1"/>
  <c r="A1686" i="1"/>
  <c r="A1615" i="1"/>
  <c r="A1020" i="7" s="1"/>
  <c r="B1603" i="1"/>
  <c r="B1008" i="7" s="1"/>
  <c r="A1509" i="1"/>
  <c r="A989" i="7" s="1"/>
  <c r="A1488" i="1"/>
  <c r="A968" i="7" s="1"/>
  <c r="A1270" i="1"/>
  <c r="A796" i="7" s="1"/>
  <c r="A1140" i="1"/>
  <c r="A682" i="7" s="1"/>
  <c r="A1065" i="1"/>
  <c r="A640" i="7" s="1"/>
  <c r="A433" i="7"/>
  <c r="P685" i="7"/>
  <c r="N685" i="7"/>
  <c r="L685" i="7"/>
  <c r="J1143" i="1"/>
  <c r="H1143" i="1"/>
  <c r="F1143" i="1"/>
  <c r="F158" i="8" s="1"/>
  <c r="F157" i="8" s="1"/>
  <c r="L428" i="7"/>
  <c r="G414" i="7"/>
  <c r="F815" i="1"/>
  <c r="G813" i="1" s="1"/>
  <c r="F791" i="1"/>
  <c r="F602" i="1"/>
  <c r="G600" i="1" s="1"/>
  <c r="B1776" i="1"/>
  <c r="P225" i="7"/>
  <c r="A748" i="1"/>
  <c r="A774" i="1"/>
  <c r="A733" i="1"/>
  <c r="A700" i="1"/>
  <c r="A697" i="1"/>
  <c r="A725" i="1"/>
  <c r="A692" i="1"/>
  <c r="A651" i="1"/>
  <c r="A373" i="7" s="1"/>
  <c r="A401" i="7"/>
  <c r="A313" i="7"/>
  <c r="A321" i="7"/>
  <c r="A329" i="7"/>
  <c r="A337" i="7"/>
  <c r="A501" i="1"/>
  <c r="A222" i="7" s="1"/>
  <c r="A453" i="1"/>
  <c r="A174" i="7" s="1"/>
  <c r="C348" i="1"/>
  <c r="C78" i="7" s="1"/>
  <c r="C353" i="1"/>
  <c r="C83" i="7" s="1"/>
  <c r="M687" i="1"/>
  <c r="M659" i="1"/>
  <c r="S405" i="7" s="1"/>
  <c r="A893" i="8"/>
  <c r="A745" i="1"/>
  <c r="A819" i="8"/>
  <c r="C704" i="1"/>
  <c r="A1913" i="1"/>
  <c r="A1124" i="7" s="1"/>
  <c r="A1887" i="1"/>
  <c r="A1098" i="7" s="1"/>
  <c r="M1881" i="1"/>
  <c r="S1092" i="7" s="1"/>
  <c r="M1830" i="1"/>
  <c r="A1810" i="1"/>
  <c r="A1072" i="7" s="1"/>
  <c r="M1804" i="1"/>
  <c r="S1066" i="7" s="1"/>
  <c r="A1771" i="1"/>
  <c r="A1754" i="1"/>
  <c r="A1745" i="1"/>
  <c r="M1733" i="1"/>
  <c r="A1695" i="1"/>
  <c r="A1678" i="1"/>
  <c r="C1622" i="1"/>
  <c r="C1027" i="7" s="1"/>
  <c r="B1600" i="1"/>
  <c r="B1005" i="7" s="1"/>
  <c r="M1587" i="1"/>
  <c r="S992" i="7" s="1"/>
  <c r="A1505" i="1"/>
  <c r="A985" i="7" s="1"/>
  <c r="A1493" i="1"/>
  <c r="A973" i="7" s="1"/>
  <c r="A1430" i="1"/>
  <c r="A960" i="7" s="1"/>
  <c r="A1403" i="1"/>
  <c r="A933" i="7" s="1"/>
  <c r="A1396" i="1"/>
  <c r="A926" i="7" s="1"/>
  <c r="A1277" i="1"/>
  <c r="A803" i="7" s="1"/>
  <c r="A1264" i="1"/>
  <c r="A790" i="7" s="1"/>
  <c r="M1249" i="1"/>
  <c r="S775" i="7" s="1"/>
  <c r="A1150" i="1"/>
  <c r="A692" i="7" s="1"/>
  <c r="A1131" i="1"/>
  <c r="A673" i="7" s="1"/>
  <c r="A1110" i="1"/>
  <c r="M1095" i="1"/>
  <c r="M1028" i="1"/>
  <c r="S603" i="7" s="1"/>
  <c r="M1005" i="1"/>
  <c r="S582" i="7" s="1"/>
  <c r="C989" i="1"/>
  <c r="C566" i="7" s="1"/>
  <c r="C952" i="1"/>
  <c r="C529" i="7" s="1"/>
  <c r="C948" i="1"/>
  <c r="C525" i="7" s="1"/>
  <c r="C944" i="1"/>
  <c r="C521" i="7" s="1"/>
  <c r="M940" i="1"/>
  <c r="S517" i="7" s="1"/>
  <c r="A928" i="1"/>
  <c r="A505" i="7" s="1"/>
  <c r="A904" i="1"/>
  <c r="A486" i="7" s="1"/>
  <c r="A893" i="1"/>
  <c r="A475" i="7" s="1"/>
  <c r="A881" i="1"/>
  <c r="A463" i="7" s="1"/>
  <c r="A869" i="1"/>
  <c r="A451" i="7" s="1"/>
  <c r="A863" i="1"/>
  <c r="A445" i="7" s="1"/>
  <c r="C855" i="1"/>
  <c r="A842" i="1"/>
  <c r="A832" i="1"/>
  <c r="C830" i="1"/>
  <c r="A824" i="1"/>
  <c r="A814" i="1"/>
  <c r="A791" i="1"/>
  <c r="A780" i="1"/>
  <c r="A776" i="1"/>
  <c r="A729" i="1"/>
  <c r="A675" i="1"/>
  <c r="A673" i="1"/>
  <c r="A391" i="7"/>
  <c r="A636" i="1"/>
  <c r="A358" i="7" s="1"/>
  <c r="A490" i="1"/>
  <c r="A211" i="7" s="1"/>
  <c r="K802" i="7"/>
  <c r="O802" i="7"/>
  <c r="G1276" i="1"/>
  <c r="G802" i="7" s="1"/>
  <c r="Q388" i="7"/>
  <c r="I388" i="7"/>
  <c r="G380" i="7"/>
  <c r="K250" i="7"/>
  <c r="F518" i="1"/>
  <c r="F239" i="7" s="1"/>
  <c r="I517" i="1"/>
  <c r="I238" i="7" s="1"/>
  <c r="H506" i="1"/>
  <c r="H227" i="7" s="1"/>
  <c r="G505" i="1"/>
  <c r="G226" i="7" s="1"/>
  <c r="I492" i="1"/>
  <c r="I213" i="7" s="1"/>
  <c r="J491" i="1"/>
  <c r="J212" i="7" s="1"/>
  <c r="K201" i="7"/>
  <c r="P200" i="7"/>
  <c r="H479" i="1"/>
  <c r="H200" i="7" s="1"/>
  <c r="B463" i="1"/>
  <c r="B184" i="7" s="1"/>
  <c r="A479" i="8"/>
  <c r="H80" i="1"/>
  <c r="H909" i="1" s="1"/>
  <c r="H910" i="1" s="1"/>
  <c r="D9" i="7"/>
  <c r="A438" i="8"/>
  <c r="A1918" i="1"/>
  <c r="A1129" i="7" s="1"/>
  <c r="A1907" i="1"/>
  <c r="A1118" i="7" s="1"/>
  <c r="A1883" i="1"/>
  <c r="A1094" i="7" s="1"/>
  <c r="A1857" i="1"/>
  <c r="A1855" i="1"/>
  <c r="A1824" i="1"/>
  <c r="A1086" i="7" s="1"/>
  <c r="A1814" i="1"/>
  <c r="A1076" i="7" s="1"/>
  <c r="C1766" i="1"/>
  <c r="C1918" i="1" s="1"/>
  <c r="C1129" i="7" s="1"/>
  <c r="A1759" i="1"/>
  <c r="A1751" i="1"/>
  <c r="A1747" i="1"/>
  <c r="A1741" i="1"/>
  <c r="A1698" i="1"/>
  <c r="A1691" i="1"/>
  <c r="A1680" i="1"/>
  <c r="A1674" i="1"/>
  <c r="A1670" i="1"/>
  <c r="A1662" i="1"/>
  <c r="A1660" i="1"/>
  <c r="A1632" i="1"/>
  <c r="A1037" i="7" s="1"/>
  <c r="A1630" i="1"/>
  <c r="A1035" i="7" s="1"/>
  <c r="A1620" i="1"/>
  <c r="A1025" i="7" s="1"/>
  <c r="A1610" i="1"/>
  <c r="A1015" i="7" s="1"/>
  <c r="B1605" i="1"/>
  <c r="B1010" i="7" s="1"/>
  <c r="B1601" i="1"/>
  <c r="B1006" i="7" s="1"/>
  <c r="C1589" i="1"/>
  <c r="C994" i="7" s="1"/>
  <c r="A1536" i="1"/>
  <c r="A1507" i="1"/>
  <c r="A987" i="7" s="1"/>
  <c r="A1502" i="1"/>
  <c r="A982" i="7" s="1"/>
  <c r="A1496" i="1"/>
  <c r="A976" i="7" s="1"/>
  <c r="A1490" i="1"/>
  <c r="A970" i="7" s="1"/>
  <c r="A1486" i="1"/>
  <c r="A966" i="7" s="1"/>
  <c r="A1427" i="1"/>
  <c r="A957" i="7" s="1"/>
  <c r="A1421" i="1"/>
  <c r="A951" i="7" s="1"/>
  <c r="A1417" i="1"/>
  <c r="A947" i="7" s="1"/>
  <c r="A1407" i="1"/>
  <c r="A937" i="7" s="1"/>
  <c r="A1392" i="1"/>
  <c r="A922" i="7" s="1"/>
  <c r="A1282" i="1"/>
  <c r="A808" i="7" s="1"/>
  <c r="A1267" i="1"/>
  <c r="A793" i="7" s="1"/>
  <c r="A1257" i="1"/>
  <c r="A783" i="7" s="1"/>
  <c r="A1215" i="1"/>
  <c r="A1144" i="1"/>
  <c r="A686" i="7" s="1"/>
  <c r="A1135" i="1"/>
  <c r="A677" i="7" s="1"/>
  <c r="A1031" i="1"/>
  <c r="A606" i="7" s="1"/>
  <c r="A1023" i="1"/>
  <c r="A600" i="7" s="1"/>
  <c r="A1015" i="1"/>
  <c r="A592" i="7" s="1"/>
  <c r="B866" i="1"/>
  <c r="B448" i="7" s="1"/>
  <c r="B740" i="1"/>
  <c r="C396" i="1"/>
  <c r="C102" i="7" s="1"/>
  <c r="C350" i="1"/>
  <c r="C80" i="7" s="1"/>
  <c r="A220" i="1"/>
  <c r="A185" i="1"/>
  <c r="C582" i="8"/>
  <c r="A773" i="8"/>
  <c r="A1972" i="1"/>
  <c r="A1931" i="1"/>
  <c r="K195" i="7"/>
  <c r="A494" i="1"/>
  <c r="A215" i="7" s="1"/>
  <c r="A477" i="1"/>
  <c r="A198" i="7" s="1"/>
  <c r="A483" i="1"/>
  <c r="A204" i="7" s="1"/>
  <c r="A417" i="1"/>
  <c r="A123" i="7" s="1"/>
  <c r="A150" i="7"/>
  <c r="A538" i="1"/>
  <c r="A259" i="7" s="1"/>
  <c r="A521" i="1"/>
  <c r="A242" i="7" s="1"/>
  <c r="A433" i="1"/>
  <c r="A154" i="7" s="1"/>
  <c r="B1775" i="1"/>
  <c r="M802" i="7"/>
  <c r="I1276" i="1"/>
  <c r="I802" i="7" s="1"/>
  <c r="F81" i="1"/>
  <c r="G82" i="1" s="1"/>
  <c r="A495" i="8"/>
  <c r="A471" i="8"/>
  <c r="A298" i="8"/>
  <c r="A154" i="8"/>
  <c r="A108" i="8"/>
  <c r="B366" i="1"/>
  <c r="K366" i="1" s="1"/>
  <c r="K507" i="1" s="1"/>
  <c r="B1979" i="1"/>
  <c r="A1916" i="1"/>
  <c r="A1127" i="7" s="1"/>
  <c r="A1911" i="1"/>
  <c r="A1122" i="7" s="1"/>
  <c r="A1905" i="1"/>
  <c r="A1116" i="7" s="1"/>
  <c r="A1894" i="1"/>
  <c r="A1105" i="7" s="1"/>
  <c r="A1827" i="1"/>
  <c r="A1089" i="7" s="1"/>
  <c r="A1821" i="1"/>
  <c r="A1083" i="7" s="1"/>
  <c r="A1816" i="1"/>
  <c r="A1078" i="7" s="1"/>
  <c r="A1811" i="1"/>
  <c r="A1073" i="7" s="1"/>
  <c r="A1808" i="1"/>
  <c r="A1070" i="7" s="1"/>
  <c r="A1806" i="1"/>
  <c r="A1068" i="7" s="1"/>
  <c r="A1804" i="1"/>
  <c r="A1066" i="7" s="1"/>
  <c r="A1776" i="1"/>
  <c r="A1774" i="1"/>
  <c r="A1769" i="1"/>
  <c r="A1766" i="1"/>
  <c r="A1762" i="1"/>
  <c r="A1757" i="1"/>
  <c r="B1751" i="1"/>
  <c r="B1750" i="1"/>
  <c r="B1747" i="1"/>
  <c r="B1746" i="1"/>
  <c r="A1743" i="1"/>
  <c r="A1737" i="1"/>
  <c r="A1735" i="1"/>
  <c r="A1733" i="1"/>
  <c r="A1700" i="1"/>
  <c r="A1693" i="1"/>
  <c r="A1688" i="1"/>
  <c r="A1683" i="1"/>
  <c r="B1678" i="1"/>
  <c r="A1676" i="1"/>
  <c r="B1673" i="1"/>
  <c r="B1671" i="1"/>
  <c r="A1666" i="1"/>
  <c r="A1664" i="1"/>
  <c r="A1625" i="1"/>
  <c r="A1030" i="7" s="1"/>
  <c r="A1622" i="1"/>
  <c r="A1027" i="7" s="1"/>
  <c r="A1618" i="1"/>
  <c r="A1023" i="7" s="1"/>
  <c r="A1613" i="1"/>
  <c r="A1018" i="7" s="1"/>
  <c r="A1607" i="1"/>
  <c r="A1012" i="7" s="1"/>
  <c r="B1606" i="1"/>
  <c r="B1011" i="7" s="1"/>
  <c r="A1605" i="1"/>
  <c r="A1010" i="7" s="1"/>
  <c r="B1602" i="1"/>
  <c r="B1007" i="7" s="1"/>
  <c r="A1589" i="1"/>
  <c r="A994" i="7" s="1"/>
  <c r="A1587" i="1"/>
  <c r="A992" i="7" s="1"/>
  <c r="A1217" i="1"/>
  <c r="A1694" i="1"/>
  <c r="B1680" i="1"/>
  <c r="B1679" i="1"/>
  <c r="B1672" i="1"/>
  <c r="A1665" i="1"/>
  <c r="C1663" i="1"/>
  <c r="A1123" i="1"/>
  <c r="B969" i="1"/>
  <c r="B546" i="7" s="1"/>
  <c r="A779" i="1"/>
  <c r="A777" i="1"/>
  <c r="A775" i="1"/>
  <c r="A773" i="1"/>
  <c r="K380" i="7"/>
  <c r="A507" i="1"/>
  <c r="A228" i="7" s="1"/>
  <c r="A430" i="1"/>
  <c r="A136" i="7" s="1"/>
  <c r="B1597" i="1"/>
  <c r="B1002" i="7" s="1"/>
  <c r="A1596" i="1"/>
  <c r="A1001" i="7" s="1"/>
  <c r="A1561" i="1"/>
  <c r="A1511" i="1"/>
  <c r="A1508" i="1"/>
  <c r="A988" i="7" s="1"/>
  <c r="C1506" i="1"/>
  <c r="C986" i="7" s="1"/>
  <c r="A1120" i="1"/>
  <c r="A845" i="1"/>
  <c r="A843" i="1"/>
  <c r="B1749" i="1"/>
  <c r="B1748" i="1"/>
  <c r="B1745" i="1"/>
  <c r="B1744" i="1"/>
  <c r="B1741" i="1"/>
  <c r="A1740" i="1"/>
  <c r="B1604" i="1"/>
  <c r="B1009" i="7" s="1"/>
  <c r="A1118" i="1"/>
  <c r="A1621" i="1"/>
  <c r="A1026" i="7" s="1"/>
  <c r="A1619" i="1"/>
  <c r="A1024" i="7" s="1"/>
  <c r="A1614" i="1"/>
  <c r="A1019" i="7" s="1"/>
  <c r="A1611" i="1"/>
  <c r="A1016" i="7" s="1"/>
  <c r="A1609" i="1"/>
  <c r="A1014" i="7" s="1"/>
  <c r="A490" i="8"/>
  <c r="A1419" i="1"/>
  <c r="A949" i="7" s="1"/>
  <c r="A482" i="8"/>
  <c r="A1415" i="1"/>
  <c r="A945" i="7" s="1"/>
  <c r="A472" i="8"/>
  <c r="A1409" i="1"/>
  <c r="A939" i="7" s="1"/>
  <c r="A466" i="8"/>
  <c r="A1406" i="1"/>
  <c r="A936" i="7" s="1"/>
  <c r="A455" i="8"/>
  <c r="A1400" i="1"/>
  <c r="A930" i="7" s="1"/>
  <c r="A451" i="8"/>
  <c r="A1398" i="1"/>
  <c r="A928" i="7" s="1"/>
  <c r="A443" i="8"/>
  <c r="A1394" i="1"/>
  <c r="A924" i="7" s="1"/>
  <c r="A329" i="8"/>
  <c r="A1285" i="1"/>
  <c r="A811" i="7" s="1"/>
  <c r="A319" i="8"/>
  <c r="A1279" i="1"/>
  <c r="A805" i="7" s="1"/>
  <c r="A309" i="8"/>
  <c r="A1274" i="1"/>
  <c r="A800" i="7" s="1"/>
  <c r="A283" i="8"/>
  <c r="A1259" i="1"/>
  <c r="A785" i="7" s="1"/>
  <c r="A275" i="8"/>
  <c r="A1255" i="1"/>
  <c r="A781" i="7" s="1"/>
  <c r="A269" i="8"/>
  <c r="A1252" i="1"/>
  <c r="A778" i="7" s="1"/>
  <c r="A184" i="8"/>
  <c r="A1220" i="1"/>
  <c r="A180" i="8"/>
  <c r="A1213" i="1"/>
  <c r="A169" i="8"/>
  <c r="A1152" i="1"/>
  <c r="A694" i="7" s="1"/>
  <c r="A175" i="8"/>
  <c r="A1216" i="1"/>
  <c r="A161" i="8"/>
  <c r="A1148" i="1"/>
  <c r="A690" i="7" s="1"/>
  <c r="A157" i="8"/>
  <c r="A1143" i="1"/>
  <c r="A685" i="7" s="1"/>
  <c r="A141" i="8"/>
  <c r="A1138" i="1"/>
  <c r="A680" i="7" s="1"/>
  <c r="A131" i="8"/>
  <c r="A1133" i="1"/>
  <c r="A675" i="7" s="1"/>
  <c r="A124" i="8"/>
  <c r="A1129" i="1"/>
  <c r="A671" i="7" s="1"/>
  <c r="A119" i="8"/>
  <c r="A1124" i="1"/>
  <c r="A107" i="8"/>
  <c r="A1119" i="1"/>
  <c r="A100" i="8"/>
  <c r="A1115" i="1"/>
  <c r="A83" i="8"/>
  <c r="A1269" i="1"/>
  <c r="A795" i="7" s="1"/>
  <c r="A75" i="8"/>
  <c r="A1101" i="1"/>
  <c r="A1266" i="1"/>
  <c r="A792" i="7" s="1"/>
  <c r="A68" i="8"/>
  <c r="A1097" i="1"/>
  <c r="A1051" i="1"/>
  <c r="A626" i="7" s="1"/>
  <c r="A1057" i="1"/>
  <c r="A632" i="7" s="1"/>
  <c r="A1036" i="1"/>
  <c r="A611" i="7" s="1"/>
  <c r="A1052" i="1"/>
  <c r="A627" i="7" s="1"/>
  <c r="A97" i="8"/>
  <c r="A1045" i="1"/>
  <c r="A620" i="7" s="1"/>
  <c r="A118" i="8"/>
  <c r="A1024" i="1"/>
  <c r="A1066" i="1"/>
  <c r="A93" i="8"/>
  <c r="A1111" i="1"/>
  <c r="A89" i="8"/>
  <c r="A1109" i="1"/>
  <c r="A934" i="1"/>
  <c r="A511" i="7" s="1"/>
  <c r="A937" i="1"/>
  <c r="A514" i="7" s="1"/>
  <c r="A883" i="1"/>
  <c r="A465" i="7" s="1"/>
  <c r="A906" i="1"/>
  <c r="A488" i="7" s="1"/>
  <c r="A788" i="1"/>
  <c r="A812" i="1"/>
  <c r="A821" i="1"/>
  <c r="A830" i="1"/>
  <c r="A704" i="1"/>
  <c r="A735" i="1"/>
  <c r="A754" i="1"/>
  <c r="A702" i="1"/>
  <c r="A731" i="1"/>
  <c r="A750" i="1"/>
  <c r="A695" i="1"/>
  <c r="A727" i="1"/>
  <c r="A694" i="1"/>
  <c r="A723" i="1"/>
  <c r="A383" i="7"/>
  <c r="A387" i="7"/>
  <c r="A649" i="1"/>
  <c r="A371" i="7" s="1"/>
  <c r="A623" i="1"/>
  <c r="A297" i="7" s="1"/>
  <c r="A353" i="7"/>
  <c r="A640" i="1"/>
  <c r="A362" i="7" s="1"/>
  <c r="A603" i="1"/>
  <c r="A1904" i="1"/>
  <c r="A1115" i="7" s="1"/>
  <c r="A1897" i="1"/>
  <c r="A1108" i="7" s="1"/>
  <c r="A1891" i="1"/>
  <c r="A1102" i="7" s="1"/>
  <c r="A1705" i="1"/>
  <c r="A1627" i="1"/>
  <c r="A1032" i="7" s="1"/>
  <c r="A1603" i="1"/>
  <c r="A1008" i="7" s="1"/>
  <c r="A420" i="1"/>
  <c r="A126" i="7" s="1"/>
  <c r="A523" i="1"/>
  <c r="A244" i="7" s="1"/>
  <c r="A363" i="1"/>
  <c r="A93" i="7" s="1"/>
  <c r="A446" i="1"/>
  <c r="A167" i="7" s="1"/>
  <c r="A79" i="1"/>
  <c r="M646" i="1"/>
  <c r="S368" i="7" s="1"/>
  <c r="A514" i="1"/>
  <c r="A235" i="7" s="1"/>
  <c r="A511" i="1"/>
  <c r="A232" i="7" s="1"/>
  <c r="A141" i="7"/>
  <c r="A421" i="1"/>
  <c r="A127" i="7" s="1"/>
  <c r="A1146" i="1"/>
  <c r="A688" i="7" s="1"/>
  <c r="A703" i="1"/>
  <c r="A701" i="1"/>
  <c r="A699" i="1"/>
  <c r="A698" i="1"/>
  <c r="A696" i="1"/>
  <c r="A693" i="1"/>
  <c r="A650" i="1"/>
  <c r="A372" i="7" s="1"/>
  <c r="A1908" i="1"/>
  <c r="A1119" i="7" s="1"/>
  <c r="A1906" i="1"/>
  <c r="A1117" i="7" s="1"/>
  <c r="A1775" i="1"/>
  <c r="A1772" i="1"/>
  <c r="A1278" i="1"/>
  <c r="A804" i="7" s="1"/>
  <c r="A1276" i="1"/>
  <c r="A802" i="7" s="1"/>
  <c r="A1268" i="1"/>
  <c r="A794" i="7" s="1"/>
  <c r="A1261" i="1"/>
  <c r="A787" i="7" s="1"/>
  <c r="A1258" i="1"/>
  <c r="A784" i="7" s="1"/>
  <c r="A1256" i="1"/>
  <c r="A782" i="7" s="1"/>
  <c r="A1254" i="1"/>
  <c r="A780" i="7" s="1"/>
  <c r="A1136" i="1"/>
  <c r="A678" i="7" s="1"/>
  <c r="A1134" i="1"/>
  <c r="A676" i="7" s="1"/>
  <c r="A1132" i="1"/>
  <c r="A674" i="7" s="1"/>
  <c r="A1102" i="1"/>
  <c r="A1046" i="1"/>
  <c r="A621" i="7" s="1"/>
  <c r="A1025" i="1"/>
  <c r="A930" i="1"/>
  <c r="A507" i="7" s="1"/>
  <c r="A486" i="1"/>
  <c r="A207" i="7" s="1"/>
  <c r="C172" i="1"/>
  <c r="A1" i="1"/>
  <c r="A377" i="7"/>
  <c r="A381" i="7"/>
  <c r="A385" i="7"/>
  <c r="A389" i="7"/>
  <c r="A393" i="7"/>
  <c r="A397" i="7"/>
  <c r="A375" i="7"/>
  <c r="A395" i="7"/>
  <c r="A399" i="7"/>
  <c r="A307" i="7"/>
  <c r="A625" i="1"/>
  <c r="A299" i="7" s="1"/>
  <c r="A315" i="7"/>
  <c r="A323" i="7"/>
  <c r="A331" i="7"/>
  <c r="A339" i="7"/>
  <c r="A355" i="7"/>
  <c r="A642" i="1"/>
  <c r="A364" i="7" s="1"/>
  <c r="A305" i="7"/>
  <c r="A345" i="7"/>
  <c r="A303" i="7"/>
  <c r="A621" i="1"/>
  <c r="A295" i="7" s="1"/>
  <c r="A311" i="7"/>
  <c r="A319" i="7"/>
  <c r="A327" i="7"/>
  <c r="A335" i="7"/>
  <c r="A351" i="7"/>
  <c r="A638" i="1"/>
  <c r="A360" i="7" s="1"/>
  <c r="B603" i="1"/>
  <c r="A605" i="1"/>
  <c r="A457" i="1"/>
  <c r="A178" i="7" s="1"/>
  <c r="A467" i="1"/>
  <c r="A188" i="7" s="1"/>
  <c r="A539" i="1"/>
  <c r="A260" i="7" s="1"/>
  <c r="A503" i="1"/>
  <c r="A224" i="7" s="1"/>
  <c r="A516" i="1"/>
  <c r="A237" i="7" s="1"/>
  <c r="A527" i="1"/>
  <c r="A248" i="7" s="1"/>
  <c r="A360" i="1"/>
  <c r="A90" i="7" s="1"/>
  <c r="A407" i="1"/>
  <c r="A113" i="7" s="1"/>
  <c r="A444" i="1"/>
  <c r="A165" i="7" s="1"/>
  <c r="A419" i="1"/>
  <c r="A125" i="7" s="1"/>
  <c r="A489" i="1"/>
  <c r="A210" i="7" s="1"/>
  <c r="A502" i="1"/>
  <c r="A223" i="7" s="1"/>
  <c r="A515" i="1"/>
  <c r="A236" i="7" s="1"/>
  <c r="A526" i="1"/>
  <c r="A247" i="7" s="1"/>
  <c r="A399" i="1"/>
  <c r="A105" i="7" s="1"/>
  <c r="A397" i="1"/>
  <c r="A103" i="7" s="1"/>
  <c r="A450" i="1"/>
  <c r="A171" i="7" s="1"/>
  <c r="A537" i="1"/>
  <c r="A258" i="7" s="1"/>
  <c r="A488" i="1"/>
  <c r="A209" i="7" s="1"/>
  <c r="A451" i="1"/>
  <c r="A172" i="7" s="1"/>
  <c r="A498" i="1"/>
  <c r="A219" i="7" s="1"/>
  <c r="A358" i="1"/>
  <c r="A88" i="7" s="1"/>
  <c r="A356" i="1"/>
  <c r="A86" i="7" s="1"/>
  <c r="A423" i="1"/>
  <c r="A129" i="7" s="1"/>
  <c r="A440" i="1"/>
  <c r="A161" i="7" s="1"/>
  <c r="A307" i="1"/>
  <c r="A58" i="7" s="1"/>
  <c r="A401" i="1"/>
  <c r="A107" i="7" s="1"/>
  <c r="A509" i="1"/>
  <c r="A230" i="7" s="1"/>
  <c r="A532" i="1"/>
  <c r="A253" i="7" s="1"/>
  <c r="A496" i="1"/>
  <c r="A217" i="7" s="1"/>
  <c r="A345" i="1"/>
  <c r="A75" i="7" s="1"/>
  <c r="A395" i="1"/>
  <c r="A101" i="7" s="1"/>
  <c r="A344" i="1"/>
  <c r="A74" i="7" s="1"/>
  <c r="A434" i="1"/>
  <c r="A155" i="7" s="1"/>
  <c r="C347" i="1"/>
  <c r="C77" i="7" s="1"/>
  <c r="M281" i="1"/>
  <c r="S32" i="7" s="1"/>
  <c r="M122" i="8"/>
  <c r="M543" i="1"/>
  <c r="M591" i="1"/>
  <c r="S278" i="7" s="1"/>
  <c r="M583" i="1"/>
  <c r="S264" i="7" s="1"/>
  <c r="M617" i="1"/>
  <c r="S291" i="7" s="1"/>
  <c r="A255" i="1"/>
  <c r="A246" i="1"/>
  <c r="A235" i="1"/>
  <c r="A428" i="1"/>
  <c r="A134" i="7" s="1"/>
  <c r="A491" i="1"/>
  <c r="A212" i="7" s="1"/>
  <c r="A517" i="1"/>
  <c r="A238" i="7" s="1"/>
  <c r="A528" i="1"/>
  <c r="A249" i="7" s="1"/>
  <c r="A317" i="1"/>
  <c r="A68" i="7" s="1"/>
  <c r="A411" i="1"/>
  <c r="A117" i="7" s="1"/>
  <c r="A479" i="1"/>
  <c r="A200" i="7" s="1"/>
  <c r="A505" i="1"/>
  <c r="A226" i="7" s="1"/>
  <c r="A207" i="1"/>
  <c r="A226" i="1"/>
  <c r="A223" i="1"/>
  <c r="A204" i="1"/>
  <c r="A187" i="1"/>
  <c r="A58" i="8"/>
  <c r="A54" i="8"/>
  <c r="A183" i="1"/>
  <c r="A219" i="1"/>
  <c r="A175" i="1"/>
  <c r="A46" i="8"/>
  <c r="A171" i="1"/>
  <c r="A213" i="1"/>
  <c r="A166" i="1"/>
  <c r="A206" i="1"/>
  <c r="A167" i="1"/>
  <c r="A155" i="1"/>
  <c r="A745" i="8"/>
  <c r="A602" i="1"/>
  <c r="A892" i="8"/>
  <c r="A601" i="1"/>
  <c r="A672" i="1"/>
  <c r="A47" i="1"/>
  <c r="A460" i="1"/>
  <c r="A181" i="7" s="1"/>
  <c r="A465" i="1"/>
  <c r="A186" i="7" s="1"/>
  <c r="A41" i="1"/>
  <c r="A46" i="1"/>
  <c r="A463" i="1"/>
  <c r="A184" i="7" s="1"/>
  <c r="A40" i="1"/>
  <c r="C691" i="1"/>
  <c r="A93" i="1"/>
  <c r="A88" i="1"/>
  <c r="A1884" i="1"/>
  <c r="A1095" i="7" s="1"/>
  <c r="A1809" i="1"/>
  <c r="A1071" i="7" s="1"/>
  <c r="B1743" i="1"/>
  <c r="B1742" i="1"/>
  <c r="A1736" i="1"/>
  <c r="A1697" i="1"/>
  <c r="B1676" i="1"/>
  <c r="A708" i="8"/>
  <c r="A1626" i="1"/>
  <c r="A1031" i="7" s="1"/>
  <c r="A698" i="8"/>
  <c r="A1689" i="1"/>
  <c r="A691" i="8"/>
  <c r="A1623" i="1"/>
  <c r="A1028" i="7" s="1"/>
  <c r="A1682" i="1"/>
  <c r="A688" i="8"/>
  <c r="A1606" i="1"/>
  <c r="A1011" i="7" s="1"/>
  <c r="A1679" i="1"/>
  <c r="A830" i="8"/>
  <c r="A1600" i="1"/>
  <c r="A1005" i="7" s="1"/>
  <c r="A1673" i="1"/>
  <c r="A676" i="8"/>
  <c r="A1594" i="1"/>
  <c r="A999" i="7" s="1"/>
  <c r="A1667" i="1"/>
  <c r="A1590" i="1"/>
  <c r="A995" i="7" s="1"/>
  <c r="A1663" i="1"/>
  <c r="B686" i="8"/>
  <c r="B680" i="8"/>
  <c r="B756" i="8"/>
  <c r="B1607" i="1"/>
  <c r="B1012" i="7" s="1"/>
  <c r="A577" i="8"/>
  <c r="A1497" i="1"/>
  <c r="A977" i="7" s="1"/>
  <c r="A572" i="8"/>
  <c r="A1492" i="1"/>
  <c r="A972" i="7" s="1"/>
  <c r="A569" i="8"/>
  <c r="A1489" i="1"/>
  <c r="A969" i="7" s="1"/>
  <c r="A567" i="8"/>
  <c r="A1487" i="1"/>
  <c r="A967" i="7" s="1"/>
  <c r="A488" i="8"/>
  <c r="A1418" i="1"/>
  <c r="A948" i="7" s="1"/>
  <c r="A475" i="8"/>
  <c r="A1411" i="1"/>
  <c r="A941" i="7" s="1"/>
  <c r="A458" i="8"/>
  <c r="A1402" i="1"/>
  <c r="A932" i="7" s="1"/>
  <c r="A937" i="8"/>
  <c r="A1284" i="1"/>
  <c r="A810" i="7" s="1"/>
  <c r="A306" i="8"/>
  <c r="A1272" i="1"/>
  <c r="A798" i="7" s="1"/>
  <c r="A186" i="8"/>
  <c r="A1221" i="1"/>
  <c r="A167" i="8"/>
  <c r="A1151" i="1"/>
  <c r="A693" i="7" s="1"/>
  <c r="A163" i="8"/>
  <c r="A1149" i="1"/>
  <c r="A691" i="7" s="1"/>
  <c r="A147" i="8"/>
  <c r="A1141" i="1"/>
  <c r="A683" i="7" s="1"/>
  <c r="A789" i="1"/>
  <c r="A822" i="1"/>
  <c r="A831" i="1"/>
  <c r="A867" i="1"/>
  <c r="A449" i="7" s="1"/>
  <c r="A902" i="1"/>
  <c r="A484" i="7" s="1"/>
  <c r="A487" i="1"/>
  <c r="A208" i="7" s="1"/>
  <c r="A500" i="1"/>
  <c r="A221" i="7" s="1"/>
  <c r="A536" i="1"/>
  <c r="A257" i="7" s="1"/>
  <c r="A425" i="1"/>
  <c r="A131" i="7" s="1"/>
  <c r="A442" i="1"/>
  <c r="A163" i="7" s="1"/>
  <c r="A146" i="7"/>
  <c r="A534" i="1"/>
  <c r="A255" i="7" s="1"/>
  <c r="A272" i="1"/>
  <c r="A415" i="1"/>
  <c r="A121" i="7" s="1"/>
  <c r="A504" i="1"/>
  <c r="A225" i="7" s="1"/>
  <c r="A347" i="1"/>
  <c r="A77" i="7" s="1"/>
  <c r="A413" i="1"/>
  <c r="A119" i="7" s="1"/>
  <c r="A151" i="7"/>
  <c r="A519" i="1"/>
  <c r="A240" i="7" s="1"/>
  <c r="A530" i="1"/>
  <c r="A251" i="7" s="1"/>
  <c r="A409" i="1"/>
  <c r="A115" i="7" s="1"/>
  <c r="A353" i="1"/>
  <c r="A83" i="7" s="1"/>
  <c r="A400" i="1"/>
  <c r="A106" i="7" s="1"/>
  <c r="A351" i="1"/>
  <c r="A81" i="7" s="1"/>
  <c r="A304" i="1"/>
  <c r="A55" i="7" s="1"/>
  <c r="A398" i="1"/>
  <c r="A104" i="7" s="1"/>
  <c r="A293" i="1"/>
  <c r="A44" i="7" s="1"/>
  <c r="A312" i="1"/>
  <c r="A63" i="7" s="1"/>
  <c r="A406" i="1"/>
  <c r="A112" i="7" s="1"/>
  <c r="A147" i="7"/>
  <c r="A499" i="1"/>
  <c r="A220" i="7" s="1"/>
  <c r="A512" i="1"/>
  <c r="A233" i="7" s="1"/>
  <c r="A525" i="1"/>
  <c r="A246" i="7" s="1"/>
  <c r="A359" i="1"/>
  <c r="A89" i="7" s="1"/>
  <c r="A426" i="1"/>
  <c r="A132" i="7" s="1"/>
  <c r="A443" i="1"/>
  <c r="A164" i="7" s="1"/>
  <c r="A291" i="1"/>
  <c r="A42" i="7" s="1"/>
  <c r="A310" i="1"/>
  <c r="A61" i="7" s="1"/>
  <c r="A404" i="1"/>
  <c r="A110" i="7" s="1"/>
  <c r="A145" i="7"/>
  <c r="A452" i="1"/>
  <c r="A173" i="7" s="1"/>
  <c r="A475" i="1"/>
  <c r="A196" i="7" s="1"/>
  <c r="A497" i="1"/>
  <c r="A218" i="7" s="1"/>
  <c r="A510" i="1"/>
  <c r="A231" i="7" s="1"/>
  <c r="A357" i="1"/>
  <c r="A87" i="7" s="1"/>
  <c r="A422" i="1"/>
  <c r="A128" i="7" s="1"/>
  <c r="A289" i="1"/>
  <c r="A40" i="7" s="1"/>
  <c r="A355" i="1"/>
  <c r="A85" i="7" s="1"/>
  <c r="A402" i="1"/>
  <c r="A108" i="7" s="1"/>
  <c r="A346" i="1"/>
  <c r="A76" i="7" s="1"/>
  <c r="A396" i="1"/>
  <c r="A102" i="7" s="1"/>
  <c r="A418" i="1"/>
  <c r="A124" i="7" s="1"/>
  <c r="A139" i="7"/>
  <c r="A435" i="1"/>
  <c r="A156" i="7" s="1"/>
  <c r="A302" i="1"/>
  <c r="A53" i="7" s="1"/>
  <c r="A285" i="1"/>
  <c r="A36" i="7" s="1"/>
  <c r="A138" i="7"/>
  <c r="C287" i="1"/>
  <c r="C38" i="7" s="1"/>
  <c r="C449" i="1"/>
  <c r="C170" i="7" s="1"/>
  <c r="C418" i="1"/>
  <c r="C124" i="7" s="1"/>
  <c r="C435" i="1"/>
  <c r="C156" i="7" s="1"/>
  <c r="A318" i="1"/>
  <c r="A69" i="7" s="1"/>
  <c r="A276" i="1"/>
  <c r="A296" i="1"/>
  <c r="A47" i="7" s="1"/>
  <c r="A429" i="1"/>
  <c r="A135" i="7" s="1"/>
  <c r="A480" i="1"/>
  <c r="A201" i="7" s="1"/>
  <c r="A492" i="1"/>
  <c r="A213" i="7" s="1"/>
  <c r="A506" i="1"/>
  <c r="A227" i="7" s="1"/>
  <c r="A518" i="1"/>
  <c r="A239" i="7" s="1"/>
  <c r="A236" i="1"/>
  <c r="A365" i="1"/>
  <c r="A95" i="7" s="1"/>
  <c r="A529" i="1"/>
  <c r="A250" i="7" s="1"/>
  <c r="A234" i="1"/>
  <c r="A258" i="1"/>
  <c r="A273" i="1"/>
  <c r="A261" i="1"/>
  <c r="A243" i="1"/>
  <c r="A252" i="1"/>
  <c r="B256" i="1"/>
  <c r="B238" i="1"/>
  <c r="B247" i="1"/>
  <c r="B265" i="1"/>
  <c r="A151" i="1"/>
  <c r="A163" i="1"/>
  <c r="C112" i="1"/>
  <c r="C107" i="1"/>
  <c r="C108" i="1"/>
  <c r="C142" i="1"/>
  <c r="C146" i="1"/>
  <c r="C161" i="1"/>
  <c r="C196" i="1"/>
  <c r="C214" i="1"/>
  <c r="C225" i="1"/>
  <c r="C206" i="1"/>
  <c r="A205" i="1"/>
  <c r="A224" i="1"/>
  <c r="C585" i="8"/>
  <c r="C200" i="1"/>
  <c r="C1502" i="1"/>
  <c r="C982" i="7" s="1"/>
  <c r="C1508" i="1"/>
  <c r="C988" i="7" s="1"/>
  <c r="C1509" i="1"/>
  <c r="C989" i="7" s="1"/>
  <c r="C1624" i="1"/>
  <c r="C1029" i="7" s="1"/>
  <c r="A52" i="8"/>
  <c r="A181" i="1"/>
  <c r="A48" i="8"/>
  <c r="A177" i="1"/>
  <c r="A174" i="1"/>
  <c r="A184" i="1"/>
  <c r="A186" i="1"/>
  <c r="A176" i="1"/>
  <c r="A182" i="1"/>
  <c r="A188" i="1"/>
  <c r="A202" i="1"/>
  <c r="A216" i="1"/>
  <c r="A471" i="1"/>
  <c r="A192" i="7" s="1"/>
  <c r="A178" i="1"/>
  <c r="A180" i="1"/>
  <c r="A172" i="1"/>
  <c r="A196" i="1"/>
  <c r="A214" i="1"/>
  <c r="A225" i="1"/>
  <c r="A42" i="1"/>
  <c r="A461" i="1"/>
  <c r="A182" i="7" s="1"/>
  <c r="A466" i="1"/>
  <c r="A187" i="7" s="1"/>
  <c r="A48" i="1"/>
  <c r="A39" i="1"/>
  <c r="A459" i="1"/>
  <c r="A180" i="7" s="1"/>
  <c r="A45" i="1"/>
  <c r="A44" i="1"/>
  <c r="B36" i="1"/>
  <c r="B284" i="1"/>
  <c r="B35" i="7" s="1"/>
  <c r="B343" i="1"/>
  <c r="B73" i="7" s="1"/>
  <c r="B416" i="1"/>
  <c r="B122" i="7" s="1"/>
  <c r="B137" i="7"/>
  <c r="B433" i="1"/>
  <c r="B154" i="7" s="1"/>
  <c r="A546" i="1"/>
  <c r="B670" i="1"/>
  <c r="B299" i="1"/>
  <c r="B50" i="7" s="1"/>
  <c r="B393" i="1"/>
  <c r="B99" i="7" s="1"/>
  <c r="B599" i="1"/>
  <c r="B786" i="1"/>
  <c r="B819" i="1"/>
  <c r="B828" i="1"/>
  <c r="B879" i="1"/>
  <c r="B461" i="7" s="1"/>
  <c r="B890" i="1"/>
  <c r="B472" i="7" s="1"/>
  <c r="B1206" i="1"/>
  <c r="F36" i="8"/>
  <c r="F890" i="8" s="1"/>
  <c r="F30" i="1"/>
  <c r="F27" i="7" s="1"/>
  <c r="B24" i="8"/>
  <c r="B11" i="1"/>
  <c r="B8" i="7" s="1"/>
  <c r="C243" i="1"/>
  <c r="C252" i="1"/>
  <c r="C261" i="1"/>
  <c r="C266" i="1"/>
  <c r="C303" i="1"/>
  <c r="C54" i="7" s="1"/>
  <c r="C304" i="1"/>
  <c r="C55" i="7" s="1"/>
  <c r="C239" i="1"/>
  <c r="C257" i="1"/>
  <c r="C351" i="1"/>
  <c r="C81" i="7" s="1"/>
  <c r="C436" i="1"/>
  <c r="C157" i="7" s="1"/>
  <c r="C450" i="1"/>
  <c r="C171" i="7" s="1"/>
  <c r="C398" i="1"/>
  <c r="C104" i="7" s="1"/>
  <c r="E23" i="8"/>
  <c r="B10" i="1"/>
  <c r="B7" i="7" s="1"/>
  <c r="A1917" i="1"/>
  <c r="A1128" i="7" s="1"/>
  <c r="A1914" i="1"/>
  <c r="A1125" i="7" s="1"/>
  <c r="A1912" i="1"/>
  <c r="A1123" i="7" s="1"/>
  <c r="A1910" i="1"/>
  <c r="A1121" i="7" s="1"/>
  <c r="A1900" i="1"/>
  <c r="A1111" i="7" s="1"/>
  <c r="A1863" i="1"/>
  <c r="A1861" i="1"/>
  <c r="A1825" i="1"/>
  <c r="A1087" i="7" s="1"/>
  <c r="A1823" i="1"/>
  <c r="A1085" i="7" s="1"/>
  <c r="A1819" i="1"/>
  <c r="A1081" i="7" s="1"/>
  <c r="A1817" i="1"/>
  <c r="A1079" i="7" s="1"/>
  <c r="A1815" i="1"/>
  <c r="A1077" i="7" s="1"/>
  <c r="A1812" i="1"/>
  <c r="A1074" i="7" s="1"/>
  <c r="A1807" i="1"/>
  <c r="A1069" i="7" s="1"/>
  <c r="A1768" i="1"/>
  <c r="A1765" i="1"/>
  <c r="A1760" i="1"/>
  <c r="A1753" i="1"/>
  <c r="A1750" i="1"/>
  <c r="A1744" i="1"/>
  <c r="A1738" i="1"/>
  <c r="A1704" i="1"/>
  <c r="A1701" i="1"/>
  <c r="A1699" i="1"/>
  <c r="C1697" i="1"/>
  <c r="C1914" i="1" s="1"/>
  <c r="C1125" i="7" s="1"/>
  <c r="A1696" i="1"/>
  <c r="B1677" i="1"/>
  <c r="B1674" i="1"/>
  <c r="B1670" i="1"/>
  <c r="A1669" i="1"/>
  <c r="C1662" i="1"/>
  <c r="A1624" i="1"/>
  <c r="A1029" i="7" s="1"/>
  <c r="B1599" i="1"/>
  <c r="B1004" i="7" s="1"/>
  <c r="B1598" i="1"/>
  <c r="B1003" i="7" s="1"/>
  <c r="A1592" i="1"/>
  <c r="A997" i="7" s="1"/>
  <c r="C1590" i="1"/>
  <c r="C995" i="7" s="1"/>
  <c r="C1505" i="1"/>
  <c r="C985" i="7" s="1"/>
  <c r="A1503" i="1"/>
  <c r="A983" i="7" s="1"/>
  <c r="A1431" i="1"/>
  <c r="A961" i="7" s="1"/>
  <c r="A1428" i="1"/>
  <c r="A958" i="7" s="1"/>
  <c r="A1426" i="1"/>
  <c r="A956" i="7" s="1"/>
  <c r="A1423" i="1"/>
  <c r="A953" i="7" s="1"/>
  <c r="A1405" i="1"/>
  <c r="A935" i="7" s="1"/>
  <c r="A1399" i="1"/>
  <c r="A929" i="7" s="1"/>
  <c r="A1397" i="1"/>
  <c r="A927" i="7" s="1"/>
  <c r="A1395" i="1"/>
  <c r="A925" i="7" s="1"/>
  <c r="A1393" i="1"/>
  <c r="A923" i="7" s="1"/>
  <c r="A1391" i="1"/>
  <c r="A921" i="7" s="1"/>
  <c r="A1210" i="1"/>
  <c r="A1142" i="1"/>
  <c r="A684" i="7" s="1"/>
  <c r="A1112" i="1"/>
  <c r="A1107" i="1"/>
  <c r="A1104" i="1"/>
  <c r="A1034" i="1"/>
  <c r="A609" i="7" s="1"/>
  <c r="A1019" i="1"/>
  <c r="A596" i="7" s="1"/>
  <c r="B1017" i="1"/>
  <c r="B594" i="7" s="1"/>
  <c r="B1008" i="1"/>
  <c r="B585" i="7" s="1"/>
  <c r="A995" i="1"/>
  <c r="A572" i="7" s="1"/>
  <c r="A933" i="1"/>
  <c r="A510" i="7" s="1"/>
  <c r="B901" i="1"/>
  <c r="B483" i="7" s="1"/>
  <c r="A813" i="1"/>
  <c r="B810" i="1"/>
  <c r="A747" i="1"/>
  <c r="A533" i="1"/>
  <c r="A254" i="7" s="1"/>
  <c r="A524" i="1"/>
  <c r="A245" i="7" s="1"/>
  <c r="A522" i="1"/>
  <c r="A243" i="7" s="1"/>
  <c r="A441" i="1"/>
  <c r="A162" i="7" s="1"/>
  <c r="A439" i="1"/>
  <c r="A160" i="7" s="1"/>
  <c r="A143" i="7"/>
  <c r="C139" i="7"/>
  <c r="A424" i="1"/>
  <c r="A130" i="7" s="1"/>
  <c r="A412" i="1"/>
  <c r="A118" i="7" s="1"/>
  <c r="C199" i="1"/>
  <c r="A701" i="8"/>
  <c r="A1692" i="1"/>
  <c r="A696" i="8"/>
  <c r="A1687" i="1"/>
  <c r="A693" i="8"/>
  <c r="A1684" i="1"/>
  <c r="A761" i="8"/>
  <c r="A1604" i="1"/>
  <c r="A1009" i="7" s="1"/>
  <c r="A1677" i="1"/>
  <c r="A832" i="8"/>
  <c r="A1602" i="1"/>
  <c r="A1007" i="7" s="1"/>
  <c r="A1675" i="1"/>
  <c r="A828" i="8"/>
  <c r="A1598" i="1"/>
  <c r="A1003" i="7" s="1"/>
  <c r="A1671" i="1"/>
  <c r="A586" i="8"/>
  <c r="A1506" i="1"/>
  <c r="A986" i="7" s="1"/>
  <c r="A580" i="8"/>
  <c r="A1500" i="1"/>
  <c r="A980" i="7" s="1"/>
  <c r="A574" i="8"/>
  <c r="A1494" i="1"/>
  <c r="A974" i="7" s="1"/>
  <c r="A492" i="8"/>
  <c r="A69" i="1"/>
  <c r="A1420" i="1"/>
  <c r="A950" i="7" s="1"/>
  <c r="A484" i="8"/>
  <c r="A1416" i="1"/>
  <c r="A946" i="7" s="1"/>
  <c r="A480" i="8"/>
  <c r="A1414" i="1"/>
  <c r="A944" i="7" s="1"/>
  <c r="A470" i="8"/>
  <c r="A1408" i="1"/>
  <c r="A938" i="7" s="1"/>
  <c r="A462" i="8"/>
  <c r="A1404" i="1"/>
  <c r="A934" i="7" s="1"/>
  <c r="A331" i="8"/>
  <c r="A1286" i="1"/>
  <c r="A812" i="7" s="1"/>
  <c r="A321" i="8"/>
  <c r="A1280" i="1"/>
  <c r="A806" i="7" s="1"/>
  <c r="A311" i="8"/>
  <c r="A1275" i="1"/>
  <c r="A801" i="7" s="1"/>
  <c r="A267" i="8"/>
  <c r="A1251" i="1"/>
  <c r="A777" i="7" s="1"/>
  <c r="A182" i="8"/>
  <c r="A1219" i="1"/>
  <c r="A139" i="8"/>
  <c r="A1137" i="1"/>
  <c r="A679" i="7" s="1"/>
  <c r="A159" i="8"/>
  <c r="A1147" i="1"/>
  <c r="A689" i="7" s="1"/>
  <c r="A153" i="8"/>
  <c r="A1145" i="1"/>
  <c r="A687" i="7" s="1"/>
  <c r="A143" i="8"/>
  <c r="A1139" i="1"/>
  <c r="A681" i="7" s="1"/>
  <c r="A126" i="8"/>
  <c r="A1130" i="1"/>
  <c r="A672" i="7" s="1"/>
  <c r="A293" i="8"/>
  <c r="A1103" i="1"/>
  <c r="A1265" i="1"/>
  <c r="A791" i="7" s="1"/>
  <c r="A73" i="8"/>
  <c r="A1263" i="1"/>
  <c r="A789" i="7" s="1"/>
  <c r="A103" i="8"/>
  <c r="A1033" i="1"/>
  <c r="A608" i="7" s="1"/>
  <c r="A1047" i="1"/>
  <c r="A622" i="7" s="1"/>
  <c r="A1117" i="1"/>
  <c r="A743" i="1"/>
  <c r="A772" i="1"/>
  <c r="A734" i="1"/>
  <c r="A753" i="1"/>
  <c r="A732" i="1"/>
  <c r="A751" i="1"/>
  <c r="A730" i="1"/>
  <c r="A749" i="1"/>
  <c r="A728" i="1"/>
  <c r="A946" i="1"/>
  <c r="A523" i="7" s="1"/>
  <c r="A950" i="1"/>
  <c r="A527" i="7" s="1"/>
  <c r="A954" i="1"/>
  <c r="A531" i="7" s="1"/>
  <c r="A726" i="1"/>
  <c r="A724" i="1"/>
  <c r="A691" i="1"/>
  <c r="A676" i="1"/>
  <c r="A674" i="1"/>
  <c r="B409" i="7"/>
  <c r="B413" i="7"/>
  <c r="B417" i="7"/>
  <c r="B421" i="7"/>
  <c r="B425" i="7"/>
  <c r="B429" i="7"/>
  <c r="B433" i="7"/>
  <c r="A376" i="7"/>
  <c r="A384" i="7"/>
  <c r="A392" i="7"/>
  <c r="A396" i="7"/>
  <c r="A400" i="7"/>
  <c r="A380" i="7"/>
  <c r="A308" i="7"/>
  <c r="A626" i="1"/>
  <c r="A300" i="7" s="1"/>
  <c r="A316" i="7"/>
  <c r="A324" i="7"/>
  <c r="A332" i="7"/>
  <c r="A340" i="7"/>
  <c r="A356" i="7"/>
  <c r="A348" i="7"/>
  <c r="A643" i="1"/>
  <c r="A365" i="7" s="1"/>
  <c r="A306" i="7"/>
  <c r="A624" i="1"/>
  <c r="A298" i="7" s="1"/>
  <c r="A314" i="7"/>
  <c r="A322" i="7"/>
  <c r="A330" i="7"/>
  <c r="A338" i="7"/>
  <c r="A354" i="7"/>
  <c r="A346" i="7"/>
  <c r="A641" i="1"/>
  <c r="A363" i="7" s="1"/>
  <c r="A304" i="7"/>
  <c r="A622" i="1"/>
  <c r="A296" i="7" s="1"/>
  <c r="A312" i="7"/>
  <c r="A320" i="7"/>
  <c r="A328" i="7"/>
  <c r="A336" i="7"/>
  <c r="A352" i="7"/>
  <c r="A344" i="7"/>
  <c r="A639" i="1"/>
  <c r="A361" i="7" s="1"/>
  <c r="A302" i="7"/>
  <c r="A620" i="1"/>
  <c r="A294" i="7" s="1"/>
  <c r="A310" i="7"/>
  <c r="A318" i="7"/>
  <c r="A326" i="7"/>
  <c r="A334" i="7"/>
  <c r="A350" i="7"/>
  <c r="A342" i="7"/>
  <c r="A637" i="1"/>
  <c r="A359" i="7" s="1"/>
  <c r="C603" i="1"/>
  <c r="A606" i="1"/>
  <c r="A604" i="1"/>
  <c r="A454" i="8"/>
  <c r="A316" i="8"/>
  <c r="A282" i="8"/>
  <c r="A168" i="8"/>
  <c r="A138" i="8"/>
  <c r="A90" i="8"/>
  <c r="H672" i="1"/>
  <c r="H673" i="1" s="1"/>
  <c r="A429" i="7"/>
  <c r="L396" i="7"/>
  <c r="A394" i="7"/>
  <c r="O388" i="7"/>
  <c r="K388" i="7"/>
  <c r="G388" i="7"/>
  <c r="Q380" i="7"/>
  <c r="M380" i="7"/>
  <c r="I380" i="7"/>
  <c r="A341" i="7"/>
  <c r="G601" i="1"/>
  <c r="G602" i="1" s="1"/>
  <c r="J518" i="1"/>
  <c r="J239" i="7" s="1"/>
  <c r="M238" i="7"/>
  <c r="L227" i="7"/>
  <c r="K226" i="7"/>
  <c r="H504" i="1"/>
  <c r="H225" i="7" s="1"/>
  <c r="O213" i="7"/>
  <c r="K213" i="7"/>
  <c r="G492" i="1"/>
  <c r="G213" i="7" s="1"/>
  <c r="P212" i="7"/>
  <c r="L212" i="7"/>
  <c r="H491" i="1"/>
  <c r="H212" i="7" s="1"/>
  <c r="O195" i="7"/>
  <c r="F92" i="1"/>
  <c r="G93" i="1" s="1"/>
  <c r="A505" i="8"/>
  <c r="A487" i="8"/>
  <c r="A463" i="8"/>
  <c r="A446" i="8"/>
  <c r="A325" i="8"/>
  <c r="A307" i="8"/>
  <c r="A290" i="8"/>
  <c r="A274" i="8"/>
  <c r="A178" i="8"/>
  <c r="A162" i="8"/>
  <c r="A146" i="8"/>
  <c r="A130" i="8"/>
  <c r="A98" i="8"/>
  <c r="A80" i="8"/>
  <c r="O432" i="7"/>
  <c r="O430" i="7"/>
  <c r="K432" i="7"/>
  <c r="K430" i="7"/>
  <c r="F1100" i="1"/>
  <c r="F74" i="8" s="1"/>
  <c r="F73" i="8" s="1"/>
  <c r="F1863" i="1"/>
  <c r="G1862" i="1"/>
  <c r="F1861" i="1"/>
  <c r="P392" i="7"/>
  <c r="N392" i="7"/>
  <c r="L392" i="7"/>
  <c r="J392" i="7"/>
  <c r="H392" i="7"/>
  <c r="F392" i="7"/>
  <c r="P251" i="7"/>
  <c r="H530" i="1"/>
  <c r="H251" i="7" s="1"/>
  <c r="O250" i="7"/>
  <c r="G529" i="1"/>
  <c r="G250" i="7" s="1"/>
  <c r="P249" i="7"/>
  <c r="H528" i="1"/>
  <c r="H249" i="7" s="1"/>
  <c r="O242" i="7"/>
  <c r="G521" i="1"/>
  <c r="G242" i="7" s="1"/>
  <c r="F520" i="1"/>
  <c r="M201" i="7"/>
  <c r="I480" i="1"/>
  <c r="I201" i="7" s="1"/>
  <c r="N200" i="7"/>
  <c r="J479" i="1"/>
  <c r="J200" i="7" s="1"/>
  <c r="F479" i="1"/>
  <c r="F200" i="7" s="1"/>
  <c r="Q195" i="7"/>
  <c r="M195" i="7"/>
  <c r="I474" i="1"/>
  <c r="I195" i="7" s="1"/>
  <c r="M430" i="1"/>
  <c r="S136" i="7" s="1"/>
  <c r="A1898" i="1"/>
  <c r="A1109" i="7" s="1"/>
  <c r="A1896" i="1"/>
  <c r="A1107" i="7" s="1"/>
  <c r="A1892" i="1"/>
  <c r="A1103" i="7" s="1"/>
  <c r="K414" i="7"/>
  <c r="P802" i="7"/>
  <c r="J1276" i="1"/>
  <c r="H1276" i="1"/>
  <c r="F1276" i="1"/>
  <c r="F802" i="7" s="1"/>
  <c r="M801" i="7"/>
  <c r="K801" i="7"/>
  <c r="I1275" i="1"/>
  <c r="I801" i="7" s="1"/>
  <c r="G1275" i="1"/>
  <c r="G312" i="8" s="1"/>
  <c r="O416" i="7"/>
  <c r="S284" i="7"/>
  <c r="N227" i="7"/>
  <c r="N225" i="7"/>
  <c r="F506" i="1"/>
  <c r="F227" i="7" s="1"/>
  <c r="F242" i="1"/>
  <c r="G242" i="1" s="1"/>
  <c r="H242" i="1" s="1"/>
  <c r="I242" i="1" s="1"/>
  <c r="J242" i="1" s="1"/>
  <c r="K242" i="1" s="1"/>
  <c r="F203" i="1"/>
  <c r="G165" i="1"/>
  <c r="H165" i="1" s="1"/>
  <c r="I165" i="1" s="1"/>
  <c r="J165" i="1" s="1"/>
  <c r="K165" i="1" s="1"/>
  <c r="F229" i="7"/>
  <c r="F1101" i="1"/>
  <c r="F76" i="8" s="1"/>
  <c r="F75" i="8" s="1"/>
  <c r="F485" i="7"/>
  <c r="G485" i="7"/>
  <c r="G474" i="7"/>
  <c r="G893" i="1"/>
  <c r="G475" i="7" s="1"/>
  <c r="F1858" i="1"/>
  <c r="G1857" i="1"/>
  <c r="F1856" i="1"/>
  <c r="B1705" i="1"/>
  <c r="B1704" i="1"/>
  <c r="F1593" i="1"/>
  <c r="F998" i="7" s="1"/>
  <c r="G1592" i="1"/>
  <c r="G997" i="7" s="1"/>
  <c r="G1031" i="1"/>
  <c r="G606" i="7" s="1"/>
  <c r="G598" i="7"/>
  <c r="M1021" i="1"/>
  <c r="S598" i="7" s="1"/>
  <c r="G486" i="7"/>
  <c r="G905" i="1"/>
  <c r="G487" i="7" s="1"/>
  <c r="Q432" i="7"/>
  <c r="Q430" i="7"/>
  <c r="M432" i="7"/>
  <c r="M430" i="7"/>
  <c r="I432" i="7"/>
  <c r="I430" i="7"/>
  <c r="P418" i="7"/>
  <c r="P420" i="7"/>
  <c r="P286" i="7"/>
  <c r="P396" i="7"/>
  <c r="H286" i="7"/>
  <c r="H396" i="7"/>
  <c r="L283" i="7"/>
  <c r="Q280" i="7"/>
  <c r="N251" i="7"/>
  <c r="J530" i="1"/>
  <c r="J251" i="7" s="1"/>
  <c r="F530" i="1"/>
  <c r="F251" i="7" s="1"/>
  <c r="M250" i="7"/>
  <c r="I529" i="1"/>
  <c r="I250" i="7" s="1"/>
  <c r="N249" i="7"/>
  <c r="J528" i="1"/>
  <c r="J249" i="7" s="1"/>
  <c r="F528" i="1"/>
  <c r="F249" i="7" s="1"/>
  <c r="M242" i="7"/>
  <c r="P239" i="7"/>
  <c r="L239" i="7"/>
  <c r="H518" i="1"/>
  <c r="H239" i="7" s="1"/>
  <c r="O238" i="7"/>
  <c r="K238" i="7"/>
  <c r="G517" i="1"/>
  <c r="G238" i="7" s="1"/>
  <c r="J506" i="1"/>
  <c r="J227" i="7" s="1"/>
  <c r="M226" i="7"/>
  <c r="I505" i="1"/>
  <c r="I226" i="7" s="1"/>
  <c r="D155" i="7"/>
  <c r="F531" i="1"/>
  <c r="F252" i="7" s="1"/>
  <c r="A349" i="7"/>
  <c r="B267" i="7"/>
  <c r="G593" i="1"/>
  <c r="G150" i="7"/>
  <c r="S150" i="7"/>
  <c r="D123" i="7"/>
  <c r="G520" i="1"/>
  <c r="F521" i="1"/>
  <c r="F242" i="7" s="1"/>
  <c r="H521" i="1"/>
  <c r="H242" i="7" s="1"/>
  <c r="J521" i="1"/>
  <c r="J242" i="7" s="1"/>
  <c r="L242" i="7"/>
  <c r="N242" i="7"/>
  <c r="P242" i="7"/>
  <c r="G528" i="1"/>
  <c r="G249" i="7" s="1"/>
  <c r="I528" i="1"/>
  <c r="I249" i="7" s="1"/>
  <c r="K249" i="7"/>
  <c r="M249" i="7"/>
  <c r="O249" i="7"/>
  <c r="F529" i="1"/>
  <c r="F250" i="7" s="1"/>
  <c r="H529" i="1"/>
  <c r="H250" i="7" s="1"/>
  <c r="J529" i="1"/>
  <c r="J250" i="7" s="1"/>
  <c r="L250" i="7"/>
  <c r="N250" i="7"/>
  <c r="P250" i="7"/>
  <c r="G530" i="1"/>
  <c r="G251" i="7" s="1"/>
  <c r="I530" i="1"/>
  <c r="I251" i="7" s="1"/>
  <c r="K251" i="7"/>
  <c r="M251" i="7"/>
  <c r="O251" i="7"/>
  <c r="D100" i="7"/>
  <c r="G508" i="1"/>
  <c r="G229" i="7" s="1"/>
  <c r="F517" i="1"/>
  <c r="F238" i="7" s="1"/>
  <c r="H517" i="1"/>
  <c r="H238" i="7" s="1"/>
  <c r="J517" i="1"/>
  <c r="J238" i="7" s="1"/>
  <c r="L238" i="7"/>
  <c r="N238" i="7"/>
  <c r="P238" i="7"/>
  <c r="G518" i="1"/>
  <c r="I518" i="1"/>
  <c r="I239" i="7" s="1"/>
  <c r="M239" i="7"/>
  <c r="L225" i="7"/>
  <c r="F505" i="1"/>
  <c r="F226" i="7" s="1"/>
  <c r="H505" i="1"/>
  <c r="H226" i="7" s="1"/>
  <c r="J505" i="1"/>
  <c r="J226" i="7" s="1"/>
  <c r="L226" i="7"/>
  <c r="N226" i="7"/>
  <c r="P226" i="7"/>
  <c r="G506" i="1"/>
  <c r="G227" i="7" s="1"/>
  <c r="I506" i="1"/>
  <c r="I227" i="7" s="1"/>
  <c r="K227" i="7"/>
  <c r="M227" i="7"/>
  <c r="O227" i="7"/>
  <c r="O225" i="7"/>
  <c r="G273" i="1"/>
  <c r="H273" i="1" s="1"/>
  <c r="F274" i="1"/>
  <c r="F143" i="1"/>
  <c r="G144" i="1"/>
  <c r="G143" i="1" s="1"/>
  <c r="B906" i="1"/>
  <c r="B488" i="7" s="1"/>
  <c r="B894" i="1"/>
  <c r="B476" i="7" s="1"/>
  <c r="B870" i="1"/>
  <c r="B452" i="7" s="1"/>
  <c r="B676" i="1"/>
  <c r="B606" i="1"/>
  <c r="B567" i="1"/>
  <c r="G567" i="1" s="1"/>
  <c r="B557" i="1"/>
  <c r="E550" i="1" s="1"/>
  <c r="E560" i="1" s="1"/>
  <c r="B437" i="1"/>
  <c r="K438" i="1" s="1"/>
  <c r="K437" i="1" s="1"/>
  <c r="K538" i="1" s="1"/>
  <c r="G118" i="7"/>
  <c r="M412" i="1"/>
  <c r="S118" i="7" s="1"/>
  <c r="F151" i="1"/>
  <c r="G155" i="1" s="1"/>
  <c r="G153" i="1"/>
  <c r="H153" i="1" s="1"/>
  <c r="H151" i="1" s="1"/>
  <c r="I155" i="1" s="1"/>
  <c r="M763" i="8"/>
  <c r="A510" i="8"/>
  <c r="A501" i="8"/>
  <c r="A491" i="8"/>
  <c r="A483" i="8"/>
  <c r="A467" i="8"/>
  <c r="A459" i="8"/>
  <c r="A450" i="8"/>
  <c r="A442" i="8"/>
  <c r="A330" i="8"/>
  <c r="A320" i="8"/>
  <c r="A312" i="8"/>
  <c r="A302" i="8"/>
  <c r="A294" i="8"/>
  <c r="A287" i="8"/>
  <c r="A278" i="8"/>
  <c r="A270" i="8"/>
  <c r="A183" i="8"/>
  <c r="A174" i="8"/>
  <c r="A164" i="8"/>
  <c r="A158" i="8"/>
  <c r="A150" i="8"/>
  <c r="A142" i="8"/>
  <c r="A134" i="8"/>
  <c r="A125" i="8"/>
  <c r="A116" i="8"/>
  <c r="A113" i="8"/>
  <c r="A104" i="8"/>
  <c r="A94" i="8"/>
  <c r="A84" i="8"/>
  <c r="A76" i="8"/>
  <c r="A62" i="8"/>
  <c r="A55" i="8"/>
  <c r="A47" i="8"/>
  <c r="B399" i="1"/>
  <c r="K401" i="1" s="1"/>
  <c r="K399" i="1" s="1"/>
  <c r="K515" i="1" s="1"/>
  <c r="B413" i="1"/>
  <c r="K413" i="1" s="1"/>
  <c r="K519" i="1" s="1"/>
  <c r="A28" i="8"/>
  <c r="A49" i="8"/>
  <c r="A53" i="8"/>
  <c r="A57" i="8"/>
  <c r="A59" i="8"/>
  <c r="A69" i="8"/>
  <c r="A74" i="8"/>
  <c r="A78" i="8"/>
  <c r="A82" i="8"/>
  <c r="A87" i="8"/>
  <c r="A92" i="8"/>
  <c r="A96" i="8"/>
  <c r="A101" i="8"/>
  <c r="A106" i="8"/>
  <c r="A110" i="8"/>
  <c r="A127" i="8"/>
  <c r="A132" i="8"/>
  <c r="A136" i="8"/>
  <c r="A140" i="8"/>
  <c r="A144" i="8"/>
  <c r="A148" i="8"/>
  <c r="A152" i="8"/>
  <c r="A156" i="8"/>
  <c r="A160" i="8"/>
  <c r="A166" i="8"/>
  <c r="A170" i="8"/>
  <c r="A176" i="8"/>
  <c r="A181" i="8"/>
  <c r="A185" i="8"/>
  <c r="A268" i="8"/>
  <c r="A272" i="8"/>
  <c r="A276" i="8"/>
  <c r="A280" i="8"/>
  <c r="A284" i="8"/>
  <c r="A292" i="8"/>
  <c r="A296" i="8"/>
  <c r="A300" i="8"/>
  <c r="A304" i="8"/>
  <c r="A310" i="8"/>
  <c r="A314" i="8"/>
  <c r="A318" i="8"/>
  <c r="A322" i="8"/>
  <c r="A328" i="8"/>
  <c r="A332" i="8"/>
  <c r="A440" i="8"/>
  <c r="A444" i="8"/>
  <c r="A448" i="8"/>
  <c r="A452" i="8"/>
  <c r="A456" i="8"/>
  <c r="A461" i="8"/>
  <c r="A465" i="8"/>
  <c r="A469" i="8"/>
  <c r="A473" i="8"/>
  <c r="A476" i="8"/>
  <c r="A481" i="8"/>
  <c r="A485" i="8"/>
  <c r="A489" i="8"/>
  <c r="A493" i="8"/>
  <c r="A498" i="8"/>
  <c r="A503" i="8"/>
  <c r="A507" i="8"/>
  <c r="J504" i="1"/>
  <c r="J225" i="7" s="1"/>
  <c r="F504" i="1"/>
  <c r="F225" i="7" s="1"/>
  <c r="G481" i="1"/>
  <c r="A851" i="8"/>
  <c r="A289" i="8"/>
  <c r="A1" i="8"/>
  <c r="F388" i="7"/>
  <c r="F380" i="7"/>
  <c r="B101" i="7"/>
  <c r="B465" i="1"/>
  <c r="B186" i="7" s="1"/>
  <c r="M225" i="7"/>
  <c r="K225" i="7"/>
  <c r="I504" i="1"/>
  <c r="I225" i="7" s="1"/>
  <c r="G504" i="1"/>
  <c r="G225" i="7" s="1"/>
  <c r="F74" i="7"/>
  <c r="M344" i="1"/>
  <c r="S74" i="7" s="1"/>
  <c r="G47" i="7"/>
  <c r="M296" i="1"/>
  <c r="S47" i="7" s="1"/>
  <c r="M276" i="1"/>
  <c r="E249" i="1"/>
  <c r="F252" i="1" s="1"/>
  <c r="F253" i="1" s="1"/>
  <c r="F249" i="1" s="1"/>
  <c r="G252" i="1" s="1"/>
  <c r="F222" i="1"/>
  <c r="B246" i="1"/>
  <c r="K246" i="1" s="1"/>
  <c r="B255" i="1"/>
  <c r="B264" i="1"/>
  <c r="K264" i="1" s="1"/>
  <c r="B305" i="1"/>
  <c r="K307" i="1" s="1"/>
  <c r="K305" i="1" s="1"/>
  <c r="B319" i="1"/>
  <c r="K319" i="1" s="1"/>
  <c r="B352" i="1"/>
  <c r="K354" i="1" s="1"/>
  <c r="K352" i="1" s="1"/>
  <c r="J95" i="1"/>
  <c r="K95" i="1" s="1"/>
  <c r="K98" i="1" s="1"/>
  <c r="I98" i="1"/>
  <c r="F59" i="1"/>
  <c r="F72" i="1" s="1"/>
  <c r="F35" i="1"/>
  <c r="F219" i="1"/>
  <c r="C352" i="7"/>
  <c r="C145" i="7"/>
  <c r="C146" i="7"/>
  <c r="C147" i="7"/>
  <c r="C149" i="7"/>
  <c r="G1863" i="1"/>
  <c r="F1862" i="1"/>
  <c r="G1861" i="1"/>
  <c r="G1858" i="1"/>
  <c r="F1857" i="1"/>
  <c r="G1856" i="1"/>
  <c r="G1061" i="1"/>
  <c r="G636" i="7" s="1"/>
  <c r="F1055" i="1"/>
  <c r="F1120" i="1" s="1"/>
  <c r="F110" i="8" s="1"/>
  <c r="F109" i="8" s="1"/>
  <c r="F1054" i="1"/>
  <c r="F1113" i="1" s="1"/>
  <c r="F98" i="8" s="1"/>
  <c r="F97" i="8" s="1"/>
  <c r="F1007" i="1"/>
  <c r="P426" i="7"/>
  <c r="L426" i="7"/>
  <c r="H426" i="7"/>
  <c r="Q424" i="7"/>
  <c r="M424" i="7"/>
  <c r="I424" i="7"/>
  <c r="Q414" i="7"/>
  <c r="I414" i="7"/>
  <c r="N396" i="7"/>
  <c r="J396" i="7"/>
  <c r="P384" i="7"/>
  <c r="N384" i="7"/>
  <c r="L384" i="7"/>
  <c r="J384" i="7"/>
  <c r="H384" i="7"/>
  <c r="F384" i="7"/>
  <c r="J383" i="7"/>
  <c r="I650" i="1"/>
  <c r="I372" i="7" s="1"/>
  <c r="J593" i="1"/>
  <c r="H593" i="1"/>
  <c r="F593" i="1"/>
  <c r="F650" i="1" s="1"/>
  <c r="F372" i="7" s="1"/>
  <c r="F142" i="7"/>
  <c r="F144" i="7"/>
  <c r="D51" i="7"/>
  <c r="G491" i="1"/>
  <c r="G212" i="7" s="1"/>
  <c r="I491" i="1"/>
  <c r="I212" i="7" s="1"/>
  <c r="K212" i="7"/>
  <c r="M212" i="7"/>
  <c r="O212" i="7"/>
  <c r="F492" i="1"/>
  <c r="F213" i="7" s="1"/>
  <c r="H492" i="1"/>
  <c r="H213" i="7" s="1"/>
  <c r="J492" i="1"/>
  <c r="J213" i="7" s="1"/>
  <c r="L213" i="7"/>
  <c r="N213" i="7"/>
  <c r="P213" i="7"/>
  <c r="B37" i="7"/>
  <c r="F290" i="1"/>
  <c r="D36" i="7"/>
  <c r="F474" i="1"/>
  <c r="F195" i="7" s="1"/>
  <c r="H474" i="1"/>
  <c r="H195" i="7" s="1"/>
  <c r="J474" i="1"/>
  <c r="J195" i="7" s="1"/>
  <c r="L195" i="7"/>
  <c r="N195" i="7"/>
  <c r="P195" i="7"/>
  <c r="G479" i="1"/>
  <c r="G200" i="7" s="1"/>
  <c r="I479" i="1"/>
  <c r="I200" i="7" s="1"/>
  <c r="K200" i="7"/>
  <c r="M200" i="7"/>
  <c r="O200" i="7"/>
  <c r="Q200" i="7"/>
  <c r="F480" i="1"/>
  <c r="F201" i="7" s="1"/>
  <c r="H480" i="1"/>
  <c r="H201" i="7" s="1"/>
  <c r="J480" i="1"/>
  <c r="J201" i="7" s="1"/>
  <c r="L201" i="7"/>
  <c r="N201" i="7"/>
  <c r="P201" i="7"/>
  <c r="B277" i="1"/>
  <c r="K277" i="1" s="1"/>
  <c r="M237" i="1"/>
  <c r="M236" i="1"/>
  <c r="A679" i="8"/>
  <c r="A827" i="8"/>
  <c r="A266" i="1"/>
  <c r="A432" i="1"/>
  <c r="A153" i="7" s="1"/>
  <c r="A348" i="1"/>
  <c r="A78" i="7" s="1"/>
  <c r="A410" i="1"/>
  <c r="A116" i="7" s="1"/>
  <c r="A427" i="1"/>
  <c r="A133" i="7" s="1"/>
  <c r="A148" i="7"/>
  <c r="A313" i="1"/>
  <c r="A64" i="7" s="1"/>
  <c r="A352" i="1"/>
  <c r="A82" i="7" s="1"/>
  <c r="A140" i="7"/>
  <c r="A437" i="1"/>
  <c r="A158" i="7" s="1"/>
  <c r="A350" i="1"/>
  <c r="A80" i="7" s="1"/>
  <c r="A436" i="1"/>
  <c r="A157" i="7" s="1"/>
  <c r="A361" i="1"/>
  <c r="A91" i="7" s="1"/>
  <c r="A408" i="1"/>
  <c r="A114" i="7" s="1"/>
  <c r="A445" i="1"/>
  <c r="A166" i="7" s="1"/>
  <c r="A478" i="1"/>
  <c r="A199" i="7" s="1"/>
  <c r="A311" i="1"/>
  <c r="A62" i="7" s="1"/>
  <c r="A476" i="1"/>
  <c r="A197" i="7" s="1"/>
  <c r="A484" i="1"/>
  <c r="A205" i="7" s="1"/>
  <c r="A403" i="1"/>
  <c r="A109" i="7" s="1"/>
  <c r="A144" i="7"/>
  <c r="A354" i="1"/>
  <c r="A84" i="7" s="1"/>
  <c r="A142" i="7"/>
  <c r="A438" i="1"/>
  <c r="A159" i="7" s="1"/>
  <c r="A474" i="1"/>
  <c r="A195" i="7" s="1"/>
  <c r="A482" i="1"/>
  <c r="A203" i="7" s="1"/>
  <c r="A286" i="1"/>
  <c r="A37" i="7" s="1"/>
  <c r="A301" i="1"/>
  <c r="A52" i="7" s="1"/>
  <c r="A394" i="1"/>
  <c r="A100" i="7" s="1"/>
  <c r="A50" i="7"/>
  <c r="A35" i="7"/>
  <c r="A393" i="1"/>
  <c r="A99" i="7" s="1"/>
  <c r="A416" i="1"/>
  <c r="A122" i="7" s="1"/>
  <c r="C400" i="1"/>
  <c r="C106" i="7" s="1"/>
  <c r="A250" i="1"/>
  <c r="A259" i="1"/>
  <c r="A295" i="1"/>
  <c r="A46" i="7" s="1"/>
  <c r="A364" i="1"/>
  <c r="A94" i="7" s="1"/>
  <c r="A149" i="7"/>
  <c r="A251" i="1"/>
  <c r="A260" i="1"/>
  <c r="F564" i="1"/>
  <c r="F578" i="1" s="1"/>
  <c r="I222" i="1"/>
  <c r="G222" i="1"/>
  <c r="F1266" i="1"/>
  <c r="F296" i="8" s="1"/>
  <c r="F295" i="8" s="1"/>
  <c r="G1210" i="1"/>
  <c r="J222" i="1"/>
  <c r="H222" i="1"/>
  <c r="A82" i="1"/>
  <c r="A681" i="8"/>
  <c r="A829" i="8"/>
  <c r="A316" i="1"/>
  <c r="A67" i="7" s="1"/>
  <c r="A305" i="1"/>
  <c r="A56" i="7" s="1"/>
  <c r="A303" i="1"/>
  <c r="A54" i="7" s="1"/>
  <c r="A294" i="1"/>
  <c r="A45" i="7" s="1"/>
  <c r="A314" i="1"/>
  <c r="A65" i="7" s="1"/>
  <c r="A292" i="1"/>
  <c r="A43" i="7" s="1"/>
  <c r="A290" i="1"/>
  <c r="A41" i="7" s="1"/>
  <c r="A309" i="1"/>
  <c r="A60" i="7" s="1"/>
  <c r="A288" i="1"/>
  <c r="A39" i="7" s="1"/>
  <c r="A300" i="1"/>
  <c r="A51" i="7" s="1"/>
  <c r="C306" i="1"/>
  <c r="C57" i="7" s="1"/>
  <c r="M39" i="8"/>
  <c r="M66" i="8"/>
  <c r="M667" i="8"/>
  <c r="M742" i="8"/>
  <c r="M817" i="8"/>
  <c r="M918" i="8"/>
  <c r="M231" i="1"/>
  <c r="A237" i="1"/>
  <c r="A264" i="1"/>
  <c r="A277" i="1"/>
  <c r="A241" i="1"/>
  <c r="A275" i="1"/>
  <c r="A244" i="1"/>
  <c r="A253" i="1"/>
  <c r="A270" i="1"/>
  <c r="A242" i="1"/>
  <c r="A268" i="1"/>
  <c r="M102" i="1"/>
  <c r="M890" i="8"/>
  <c r="M265" i="8"/>
  <c r="A195" i="1"/>
  <c r="A179" i="1"/>
  <c r="A81" i="1"/>
  <c r="A820" i="8"/>
  <c r="C779" i="8"/>
  <c r="C950" i="8" s="1"/>
  <c r="A945" i="8"/>
  <c r="B834" i="8"/>
  <c r="B764" i="8"/>
  <c r="B759" i="8"/>
  <c r="A751" i="8"/>
  <c r="A856" i="8"/>
  <c r="A841" i="8"/>
  <c r="A781" i="8"/>
  <c r="A763" i="8"/>
  <c r="A366" i="1"/>
  <c r="A96" i="7" s="1"/>
  <c r="A362" i="1"/>
  <c r="A92" i="7" s="1"/>
  <c r="C346" i="1"/>
  <c r="C76" i="7" s="1"/>
  <c r="A319" i="1"/>
  <c r="A70" i="7" s="1"/>
  <c r="A315" i="1"/>
  <c r="A66" i="7" s="1"/>
  <c r="A308" i="1"/>
  <c r="A59" i="7" s="1"/>
  <c r="A306" i="1"/>
  <c r="A57" i="7" s="1"/>
  <c r="C302" i="1"/>
  <c r="C53" i="7" s="1"/>
  <c r="A287" i="1"/>
  <c r="A38" i="7" s="1"/>
  <c r="A269" i="1"/>
  <c r="A267" i="1"/>
  <c r="A263" i="1"/>
  <c r="A254" i="1"/>
  <c r="A249" i="1"/>
  <c r="A245" i="1"/>
  <c r="A240" i="1"/>
  <c r="C154" i="1"/>
  <c r="C150" i="1"/>
  <c r="C139" i="1"/>
  <c r="A58" i="1"/>
  <c r="A951" i="8"/>
  <c r="A939" i="8"/>
  <c r="A926" i="8"/>
  <c r="A854" i="8"/>
  <c r="A846" i="8"/>
  <c r="A836" i="8"/>
  <c r="A824" i="8"/>
  <c r="A783" i="8"/>
  <c r="A778" i="8"/>
  <c r="A768" i="8"/>
  <c r="B758" i="8"/>
  <c r="B754" i="8"/>
  <c r="C748" i="8"/>
  <c r="C589" i="8"/>
  <c r="A327" i="8"/>
  <c r="A81" i="8"/>
  <c r="A79" i="8"/>
  <c r="F34" i="8"/>
  <c r="A713" i="8"/>
  <c r="A788" i="8"/>
  <c r="A710" i="8"/>
  <c r="A858" i="8"/>
  <c r="A776" i="8"/>
  <c r="A849" i="8"/>
  <c r="A943" i="8"/>
  <c r="A949" i="8"/>
  <c r="A954" i="8"/>
  <c r="A771" i="8"/>
  <c r="A844" i="8"/>
  <c r="A705" i="8"/>
  <c r="A766" i="8"/>
  <c r="A780" i="8"/>
  <c r="A839" i="8"/>
  <c r="A853" i="8"/>
  <c r="A686" i="8"/>
  <c r="A834" i="8"/>
  <c r="A684" i="8"/>
  <c r="A759" i="8"/>
  <c r="A682" i="8"/>
  <c r="A757" i="8"/>
  <c r="A680" i="8"/>
  <c r="A755" i="8"/>
  <c r="A753" i="8"/>
  <c r="A826" i="8"/>
  <c r="A749" i="8"/>
  <c r="A822" i="8"/>
  <c r="A895" i="8"/>
  <c r="A673" i="8"/>
  <c r="A748" i="8"/>
  <c r="C673" i="8"/>
  <c r="B679" i="8"/>
  <c r="B681" i="8"/>
  <c r="B689" i="8"/>
  <c r="B760" i="8"/>
  <c r="B761" i="8"/>
  <c r="B827" i="8"/>
  <c r="B828" i="8"/>
  <c r="B829" i="8"/>
  <c r="B830" i="8"/>
  <c r="B831" i="8"/>
  <c r="B835" i="8"/>
  <c r="A95" i="8"/>
  <c r="A313" i="8"/>
  <c r="C586" i="8"/>
  <c r="C588" i="8"/>
  <c r="C706" i="8"/>
  <c r="C945" i="8" s="1"/>
  <c r="C781" i="8"/>
  <c r="C951" i="8" s="1"/>
  <c r="C854" i="8"/>
  <c r="B23" i="8"/>
  <c r="E11" i="1"/>
  <c r="A861" i="8"/>
  <c r="A785" i="8"/>
  <c r="C304" i="7"/>
  <c r="C320" i="7"/>
  <c r="C336" i="7"/>
  <c r="C312" i="7"/>
  <c r="C328" i="7"/>
  <c r="C344" i="7"/>
  <c r="C356" i="7"/>
  <c r="C348" i="7"/>
  <c r="C340" i="7"/>
  <c r="C332" i="7"/>
  <c r="C324" i="7"/>
  <c r="C316" i="7"/>
  <c r="C308" i="7"/>
  <c r="C138" i="7"/>
  <c r="C140" i="7"/>
  <c r="C141" i="7"/>
  <c r="C142" i="7"/>
  <c r="C143" i="7"/>
  <c r="C144" i="7"/>
  <c r="C150" i="7"/>
  <c r="C151" i="7"/>
  <c r="C301" i="7"/>
  <c r="C303" i="7"/>
  <c r="C305" i="7"/>
  <c r="C307" i="7"/>
  <c r="C309" i="7"/>
  <c r="C311" i="7"/>
  <c r="C313" i="7"/>
  <c r="C315" i="7"/>
  <c r="C317" i="7"/>
  <c r="C319" i="7"/>
  <c r="C321" i="7"/>
  <c r="C323" i="7"/>
  <c r="C325" i="7"/>
  <c r="C327" i="7"/>
  <c r="C329" i="7"/>
  <c r="C331" i="7"/>
  <c r="C333" i="7"/>
  <c r="C335" i="7"/>
  <c r="C337" i="7"/>
  <c r="C339" i="7"/>
  <c r="C341" i="7"/>
  <c r="C343" i="7"/>
  <c r="C345" i="7"/>
  <c r="C347" i="7"/>
  <c r="C349" i="7"/>
  <c r="C351" i="7"/>
  <c r="C353" i="7"/>
  <c r="C355" i="7"/>
  <c r="C302" i="7"/>
  <c r="C306" i="7"/>
  <c r="C310" i="7"/>
  <c r="C314" i="7"/>
  <c r="C318" i="7"/>
  <c r="C322" i="7"/>
  <c r="C326" i="7"/>
  <c r="C330" i="7"/>
  <c r="C334" i="7"/>
  <c r="C338" i="7"/>
  <c r="C342" i="7"/>
  <c r="C346" i="7"/>
  <c r="C350" i="7"/>
  <c r="C354" i="7"/>
  <c r="A938" i="8"/>
  <c r="A924" i="8"/>
  <c r="A837" i="8"/>
  <c r="C704" i="8"/>
  <c r="C944" i="8" s="1"/>
  <c r="A689" i="8"/>
  <c r="B683" i="8"/>
  <c r="A672" i="8"/>
  <c r="A950" i="8"/>
  <c r="A948" i="8"/>
  <c r="A922" i="8"/>
  <c r="A912" i="8"/>
  <c r="B833" i="8"/>
  <c r="A779" i="8"/>
  <c r="A754" i="8"/>
  <c r="S282" i="7"/>
  <c r="A862" i="8"/>
  <c r="A857" i="8"/>
  <c r="C852" i="8"/>
  <c r="C955" i="8" s="1"/>
  <c r="B832" i="8"/>
  <c r="B762" i="8"/>
  <c r="A756" i="8"/>
  <c r="A709" i="8"/>
  <c r="B687" i="8"/>
  <c r="B682" i="8"/>
  <c r="G144" i="7"/>
  <c r="F140" i="7"/>
  <c r="A712" i="8"/>
  <c r="A787" i="8"/>
  <c r="A707" i="8"/>
  <c r="A782" i="8"/>
  <c r="A704" i="8"/>
  <c r="A852" i="8"/>
  <c r="A944" i="8"/>
  <c r="A702" i="8"/>
  <c r="A850" i="8"/>
  <c r="A700" i="8"/>
  <c r="A848" i="8"/>
  <c r="A942" i="8"/>
  <c r="A697" i="8"/>
  <c r="A845" i="8"/>
  <c r="A695" i="8"/>
  <c r="A843" i="8"/>
  <c r="A692" i="8"/>
  <c r="A840" i="8"/>
  <c r="A687" i="8"/>
  <c r="A762" i="8"/>
  <c r="A760" i="8"/>
  <c r="A833" i="8"/>
  <c r="A683" i="8"/>
  <c r="A758" i="8"/>
  <c r="A831" i="8"/>
  <c r="A675" i="8"/>
  <c r="A750" i="8"/>
  <c r="A823" i="8"/>
  <c r="A896" i="8"/>
  <c r="A714" i="8"/>
  <c r="A925" i="8"/>
  <c r="A923" i="8"/>
  <c r="B837" i="8"/>
  <c r="B836" i="8"/>
  <c r="B763" i="8"/>
  <c r="B757" i="8"/>
  <c r="B755" i="8"/>
  <c r="C747" i="8"/>
  <c r="B688" i="8"/>
  <c r="B685" i="8"/>
  <c r="B684" i="8"/>
  <c r="A301" i="8"/>
  <c r="A295" i="8"/>
  <c r="A291" i="8"/>
  <c r="J1112" i="1"/>
  <c r="H1112" i="1"/>
  <c r="F1112" i="1"/>
  <c r="F96" i="8" s="1"/>
  <c r="F95" i="8" s="1"/>
  <c r="F1061" i="1"/>
  <c r="G1055" i="1"/>
  <c r="G1054" i="1"/>
  <c r="G1042" i="1"/>
  <c r="F1036" i="1"/>
  <c r="F1033" i="1" s="1"/>
  <c r="F1035" i="1"/>
  <c r="F610" i="7" s="1"/>
  <c r="G1034" i="1"/>
  <c r="H1031" i="1"/>
  <c r="M1019" i="1"/>
  <c r="S596" i="7" s="1"/>
  <c r="G1007" i="1"/>
  <c r="E976" i="1"/>
  <c r="E553" i="7" s="1"/>
  <c r="E973" i="1"/>
  <c r="E964" i="1"/>
  <c r="E541" i="7" s="1"/>
  <c r="E961" i="1"/>
  <c r="E538" i="7" s="1"/>
  <c r="E951" i="1"/>
  <c r="E528" i="7" s="1"/>
  <c r="E947" i="1"/>
  <c r="E524" i="7" s="1"/>
  <c r="E943" i="1"/>
  <c r="F932" i="1"/>
  <c r="F509" i="7" s="1"/>
  <c r="F905" i="1"/>
  <c r="F487" i="7" s="1"/>
  <c r="F893" i="1"/>
  <c r="F882" i="1"/>
  <c r="F869" i="1"/>
  <c r="G432" i="7"/>
  <c r="B274" i="7"/>
  <c r="F691" i="7"/>
  <c r="F164" i="8"/>
  <c r="F163" i="8" s="1"/>
  <c r="F396" i="7"/>
  <c r="G392" i="7"/>
  <c r="S392" i="7"/>
  <c r="N391" i="7"/>
  <c r="N427" i="7"/>
  <c r="J391" i="7"/>
  <c r="J427" i="7"/>
  <c r="F391" i="7"/>
  <c r="O387" i="7"/>
  <c r="O423" i="7"/>
  <c r="K387" i="7"/>
  <c r="G387" i="7"/>
  <c r="G384" i="7"/>
  <c r="S384" i="7"/>
  <c r="N383" i="7"/>
  <c r="N419" i="7"/>
  <c r="J419" i="7"/>
  <c r="F383" i="7"/>
  <c r="O379" i="7"/>
  <c r="O415" i="7"/>
  <c r="K379" i="7"/>
  <c r="K415" i="7"/>
  <c r="G379" i="7"/>
  <c r="Q286" i="7"/>
  <c r="Q396" i="7"/>
  <c r="O286" i="7"/>
  <c r="O396" i="7"/>
  <c r="M286" i="7"/>
  <c r="M396" i="7"/>
  <c r="K286" i="7"/>
  <c r="K396" i="7"/>
  <c r="I286" i="7"/>
  <c r="I396" i="7"/>
  <c r="G286" i="7"/>
  <c r="S286" i="7"/>
  <c r="Q283" i="7"/>
  <c r="O283" i="7"/>
  <c r="M283" i="7"/>
  <c r="K283" i="7"/>
  <c r="I283" i="7"/>
  <c r="G283" i="7"/>
  <c r="S283" i="7"/>
  <c r="P282" i="7"/>
  <c r="N282" i="7"/>
  <c r="L282" i="7"/>
  <c r="J282" i="7"/>
  <c r="H282" i="7"/>
  <c r="F282" i="7"/>
  <c r="O281" i="7"/>
  <c r="K281" i="7"/>
  <c r="G281" i="7"/>
  <c r="A274" i="7"/>
  <c r="A398" i="7"/>
  <c r="B268" i="7"/>
  <c r="G430" i="7"/>
  <c r="Q395" i="7"/>
  <c r="Q431" i="7"/>
  <c r="O395" i="7"/>
  <c r="O431" i="7"/>
  <c r="M395" i="7"/>
  <c r="M431" i="7"/>
  <c r="K395" i="7"/>
  <c r="K431" i="7"/>
  <c r="I395" i="7"/>
  <c r="I431" i="7"/>
  <c r="G395" i="7"/>
  <c r="P391" i="7"/>
  <c r="P427" i="7"/>
  <c r="L391" i="7"/>
  <c r="L427" i="7"/>
  <c r="H391" i="7"/>
  <c r="Q387" i="7"/>
  <c r="Q423" i="7"/>
  <c r="M387" i="7"/>
  <c r="M423" i="7"/>
  <c r="I387" i="7"/>
  <c r="I423" i="7"/>
  <c r="P383" i="7"/>
  <c r="P419" i="7"/>
  <c r="L383" i="7"/>
  <c r="L419" i="7"/>
  <c r="H383" i="7"/>
  <c r="H419" i="7"/>
  <c r="Q379" i="7"/>
  <c r="Q415" i="7"/>
  <c r="M379" i="7"/>
  <c r="M415" i="7"/>
  <c r="I379" i="7"/>
  <c r="I415" i="7"/>
  <c r="D293" i="7"/>
  <c r="Q285" i="7"/>
  <c r="O285" i="7"/>
  <c r="M285" i="7"/>
  <c r="K285" i="7"/>
  <c r="I285" i="7"/>
  <c r="G285" i="7"/>
  <c r="S285" i="7"/>
  <c r="P284" i="7"/>
  <c r="N284" i="7"/>
  <c r="L284" i="7"/>
  <c r="J284" i="7"/>
  <c r="H284" i="7"/>
  <c r="F284" i="7"/>
  <c r="M493" i="1"/>
  <c r="S214" i="7" s="1"/>
  <c r="B456" i="1"/>
  <c r="B177" i="7" s="1"/>
  <c r="S151" i="7"/>
  <c r="M429" i="1"/>
  <c r="S135" i="7" s="1"/>
  <c r="G423" i="1"/>
  <c r="G129" i="7" s="1"/>
  <c r="F419" i="1"/>
  <c r="M365" i="1"/>
  <c r="S95" i="7" s="1"/>
  <c r="M318" i="1"/>
  <c r="S69" i="7" s="1"/>
  <c r="H197" i="1"/>
  <c r="G203" i="1"/>
  <c r="I91" i="1"/>
  <c r="H92" i="1"/>
  <c r="I93" i="1" s="1"/>
  <c r="I80" i="1"/>
  <c r="I909" i="1" s="1"/>
  <c r="I910" i="1" s="1"/>
  <c r="H81" i="1"/>
  <c r="I82" i="1" s="1"/>
  <c r="F577" i="1"/>
  <c r="E267" i="1"/>
  <c r="F269" i="1" s="1"/>
  <c r="F270" i="1" s="1"/>
  <c r="F267" i="1" s="1"/>
  <c r="G269" i="1" s="1"/>
  <c r="E258" i="1"/>
  <c r="F260" i="1"/>
  <c r="I33" i="8"/>
  <c r="H34" i="8"/>
  <c r="H689" i="8"/>
  <c r="H764" i="8"/>
  <c r="F243" i="1"/>
  <c r="F244" i="1" s="1"/>
  <c r="F240" i="1" s="1"/>
  <c r="G243" i="1" s="1"/>
  <c r="F171" i="1"/>
  <c r="G171" i="1" s="1"/>
  <c r="H171" i="1" s="1"/>
  <c r="I171" i="1" s="1"/>
  <c r="J171" i="1" s="1"/>
  <c r="K171" i="1" s="1"/>
  <c r="G167" i="1"/>
  <c r="G92" i="1"/>
  <c r="H93" i="1" s="1"/>
  <c r="G81" i="1"/>
  <c r="G30" i="1"/>
  <c r="G27" i="7" s="1"/>
  <c r="H29" i="1"/>
  <c r="G34" i="8"/>
  <c r="G1050" i="1"/>
  <c r="G625" i="7" s="1"/>
  <c r="F1049" i="1"/>
  <c r="F624" i="7" s="1"/>
  <c r="M1149" i="1"/>
  <c r="S691" i="7" s="1"/>
  <c r="M254" i="1"/>
  <c r="G564" i="1"/>
  <c r="G578" i="1" s="1"/>
  <c r="I366" i="1"/>
  <c r="I96" i="7" s="1"/>
  <c r="A286" i="7"/>
  <c r="F1807" i="1"/>
  <c r="F1069" i="7" s="1"/>
  <c r="F1285" i="1"/>
  <c r="F1901" i="1" s="1"/>
  <c r="F1112" i="7" s="1"/>
  <c r="M1110" i="1"/>
  <c r="Q140" i="7"/>
  <c r="M140" i="7"/>
  <c r="I140" i="7"/>
  <c r="I419" i="1"/>
  <c r="H144" i="7"/>
  <c r="O140" i="7"/>
  <c r="K140" i="7"/>
  <c r="G140" i="7"/>
  <c r="M421" i="1"/>
  <c r="G419" i="1"/>
  <c r="B12" i="1"/>
  <c r="B9" i="7" s="1"/>
  <c r="D45" i="8"/>
  <c r="D49" i="8"/>
  <c r="D53" i="8"/>
  <c r="D55" i="8"/>
  <c r="D57" i="8"/>
  <c r="D62" i="8"/>
  <c r="D72" i="8"/>
  <c r="D76" i="8"/>
  <c r="D78" i="8"/>
  <c r="D84" i="8"/>
  <c r="D90" i="8"/>
  <c r="D92" i="8"/>
  <c r="D96" i="8"/>
  <c r="D104" i="8"/>
  <c r="D108" i="8"/>
  <c r="D113" i="8"/>
  <c r="D125" i="8"/>
  <c r="D132" i="8"/>
  <c r="D136" i="8"/>
  <c r="D140" i="8"/>
  <c r="D144" i="8"/>
  <c r="D148" i="8"/>
  <c r="D152" i="8"/>
  <c r="D156" i="8"/>
  <c r="D162" i="8"/>
  <c r="D166" i="8"/>
  <c r="D170" i="8"/>
  <c r="D176" i="8"/>
  <c r="D181" i="8"/>
  <c r="D185" i="8"/>
  <c r="D187" i="8"/>
  <c r="D268" i="8"/>
  <c r="D272" i="8"/>
  <c r="D276" i="8"/>
  <c r="D280" i="8"/>
  <c r="D282" i="8"/>
  <c r="D287" i="8"/>
  <c r="D292" i="8"/>
  <c r="D296" i="8"/>
  <c r="D300" i="8"/>
  <c r="D304" i="8"/>
  <c r="D310" i="8"/>
  <c r="D314" i="8"/>
  <c r="D318" i="8"/>
  <c r="D322" i="8"/>
  <c r="D328" i="8"/>
  <c r="D440" i="8"/>
  <c r="D444" i="8"/>
  <c r="D448" i="8"/>
  <c r="D452" i="8"/>
  <c r="D456" i="8"/>
  <c r="D461" i="8"/>
  <c r="D465" i="8"/>
  <c r="D469" i="8"/>
  <c r="D473" i="8"/>
  <c r="D479" i="8"/>
  <c r="D483" i="8"/>
  <c r="D487" i="8"/>
  <c r="D491" i="8"/>
  <c r="D495" i="8"/>
  <c r="D501" i="8"/>
  <c r="D505" i="8"/>
  <c r="D510" i="8"/>
  <c r="D47" i="8"/>
  <c r="D69" i="8"/>
  <c r="D80" i="8"/>
  <c r="D87" i="8"/>
  <c r="D94" i="8"/>
  <c r="D98" i="8"/>
  <c r="D106" i="8"/>
  <c r="D116" i="8"/>
  <c r="D134" i="8"/>
  <c r="D142" i="8"/>
  <c r="D150" i="8"/>
  <c r="D158" i="8"/>
  <c r="D160" i="8"/>
  <c r="D174" i="8"/>
  <c r="D183" i="8"/>
  <c r="D274" i="8"/>
  <c r="D290" i="8"/>
  <c r="D294" i="8"/>
  <c r="D307" i="8"/>
  <c r="D320" i="8"/>
  <c r="D330" i="8"/>
  <c r="D442" i="8"/>
  <c r="D450" i="8"/>
  <c r="D459" i="8"/>
  <c r="D467" i="8"/>
  <c r="D476" i="8"/>
  <c r="D485" i="8"/>
  <c r="D493" i="8"/>
  <c r="D503" i="8"/>
  <c r="D51" i="8"/>
  <c r="D59" i="8"/>
  <c r="D74" i="8"/>
  <c r="D82" i="8"/>
  <c r="D101" i="8"/>
  <c r="D110" i="8"/>
  <c r="D127" i="8"/>
  <c r="D130" i="8"/>
  <c r="D138" i="8"/>
  <c r="D146" i="8"/>
  <c r="D154" i="8"/>
  <c r="D164" i="8"/>
  <c r="D168" i="8"/>
  <c r="D178" i="8"/>
  <c r="D270" i="8"/>
  <c r="D278" i="8"/>
  <c r="D284" i="8"/>
  <c r="D298" i="8"/>
  <c r="D302" i="8"/>
  <c r="D312" i="8"/>
  <c r="D316" i="8"/>
  <c r="D325" i="8"/>
  <c r="D332" i="8"/>
  <c r="D438" i="8"/>
  <c r="D446" i="8"/>
  <c r="D454" i="8"/>
  <c r="D463" i="8"/>
  <c r="D471" i="8"/>
  <c r="D481" i="8"/>
  <c r="D489" i="8"/>
  <c r="D498" i="8"/>
  <c r="D507" i="8"/>
  <c r="G1870" i="1"/>
  <c r="F1871" i="1"/>
  <c r="G1736" i="1"/>
  <c r="F1737" i="1"/>
  <c r="G1738" i="1" s="1"/>
  <c r="G1665" i="1"/>
  <c r="F1666" i="1"/>
  <c r="G1667" i="1" s="1"/>
  <c r="F950" i="7"/>
  <c r="F493" i="8"/>
  <c r="F492" i="8" s="1"/>
  <c r="G929" i="7"/>
  <c r="H802" i="7"/>
  <c r="Q801" i="7"/>
  <c r="P691" i="7"/>
  <c r="N691" i="7"/>
  <c r="L691" i="7"/>
  <c r="J691" i="7"/>
  <c r="H691" i="7"/>
  <c r="Q685" i="7"/>
  <c r="O685" i="7"/>
  <c r="K685" i="7"/>
  <c r="M1606" i="1"/>
  <c r="S1011" i="7" s="1"/>
  <c r="G1420" i="1"/>
  <c r="G493" i="8" s="1"/>
  <c r="H1399" i="1"/>
  <c r="F929" i="7"/>
  <c r="F454" i="8"/>
  <c r="F453" i="8" s="1"/>
  <c r="Q802" i="7"/>
  <c r="L801" i="7"/>
  <c r="H801" i="7"/>
  <c r="Q691" i="7"/>
  <c r="O691" i="7"/>
  <c r="M691" i="7"/>
  <c r="K691" i="7"/>
  <c r="I691" i="7"/>
  <c r="G691" i="7"/>
  <c r="J685" i="7"/>
  <c r="H685" i="7"/>
  <c r="M1111" i="1"/>
  <c r="M1016" i="1"/>
  <c r="S593" i="7" s="1"/>
  <c r="A287" i="7"/>
  <c r="G566" i="1"/>
  <c r="F565" i="1"/>
  <c r="F579" i="1" s="1"/>
  <c r="G79" i="7"/>
  <c r="M349" i="1"/>
  <c r="M263" i="1"/>
  <c r="M245" i="1"/>
  <c r="M180" i="1"/>
  <c r="I164" i="1"/>
  <c r="B822" i="8"/>
  <c r="B714" i="8"/>
  <c r="P142" i="7"/>
  <c r="P140" i="7"/>
  <c r="N142" i="7"/>
  <c r="N140" i="7"/>
  <c r="L142" i="7"/>
  <c r="L140" i="7"/>
  <c r="J142" i="7"/>
  <c r="J140" i="7"/>
  <c r="H142" i="7"/>
  <c r="H140" i="7"/>
  <c r="P127" i="7"/>
  <c r="N127" i="7"/>
  <c r="L127" i="7"/>
  <c r="J127" i="7"/>
  <c r="J419" i="1"/>
  <c r="H127" i="7"/>
  <c r="H419" i="1"/>
  <c r="G103" i="7"/>
  <c r="M397" i="1"/>
  <c r="S103" i="7" s="1"/>
  <c r="G39" i="7"/>
  <c r="M288" i="1"/>
  <c r="H88" i="1"/>
  <c r="G473" i="1"/>
  <c r="F28" i="7"/>
  <c r="G31" i="1"/>
  <c r="F32" i="1"/>
  <c r="M688" i="8"/>
  <c r="F674" i="8"/>
  <c r="B749" i="8"/>
  <c r="B895" i="8"/>
  <c r="F895" i="8" s="1"/>
  <c r="G669" i="8"/>
  <c r="F670" i="8"/>
  <c r="F744" i="8"/>
  <c r="F745" i="8" s="1"/>
  <c r="F892" i="8"/>
  <c r="F893" i="8" s="1"/>
  <c r="M130" i="1"/>
  <c r="C911" i="1" l="1"/>
  <c r="C908" i="1"/>
  <c r="C907" i="1"/>
  <c r="I805" i="1"/>
  <c r="I806" i="1" s="1"/>
  <c r="I837" i="1"/>
  <c r="I838" i="1" s="1"/>
  <c r="H805" i="1"/>
  <c r="H806" i="1" s="1"/>
  <c r="H837" i="1"/>
  <c r="H838" i="1" s="1"/>
  <c r="M834" i="1"/>
  <c r="C836" i="1"/>
  <c r="C834" i="1"/>
  <c r="J1745" i="1"/>
  <c r="C902" i="8"/>
  <c r="C311" i="8"/>
  <c r="I328" i="1"/>
  <c r="I326" i="1" s="1"/>
  <c r="H328" i="1"/>
  <c r="H326" i="1" s="1"/>
  <c r="G328" i="1"/>
  <c r="G326" i="1" s="1"/>
  <c r="F328" i="1"/>
  <c r="K328" i="1"/>
  <c r="K326" i="1" s="1"/>
  <c r="K489" i="1" s="1"/>
  <c r="J328" i="1"/>
  <c r="J326" i="1" s="1"/>
  <c r="B336" i="1"/>
  <c r="K340" i="1"/>
  <c r="K494" i="1" s="1"/>
  <c r="J340" i="1"/>
  <c r="I340" i="1"/>
  <c r="H340" i="1"/>
  <c r="F340" i="1"/>
  <c r="G340" i="1"/>
  <c r="C335" i="1"/>
  <c r="C334" i="1"/>
  <c r="C333" i="1"/>
  <c r="C332" i="1"/>
  <c r="C331" i="1"/>
  <c r="C330" i="1"/>
  <c r="C339" i="1"/>
  <c r="C337" i="1"/>
  <c r="C329" i="1"/>
  <c r="C338" i="1"/>
  <c r="C328" i="1"/>
  <c r="C321" i="1"/>
  <c r="C340" i="1"/>
  <c r="C336" i="1"/>
  <c r="C326" i="1"/>
  <c r="C322" i="1"/>
  <c r="C468" i="8"/>
  <c r="C272" i="8"/>
  <c r="C710" i="8"/>
  <c r="C1043" i="1"/>
  <c r="C618" i="7" s="1"/>
  <c r="E1060" i="1"/>
  <c r="E635" i="7" s="1"/>
  <c r="K502" i="1"/>
  <c r="C129" i="8"/>
  <c r="C124" i="8"/>
  <c r="C110" i="8"/>
  <c r="C53" i="8"/>
  <c r="C145" i="8"/>
  <c r="C49" i="8"/>
  <c r="C504" i="8"/>
  <c r="C167" i="8"/>
  <c r="C486" i="8"/>
  <c r="C763" i="8"/>
  <c r="C832" i="8"/>
  <c r="C331" i="8"/>
  <c r="C451" i="8"/>
  <c r="C925" i="8"/>
  <c r="C290" i="8"/>
  <c r="C802" i="1"/>
  <c r="C804" i="1"/>
  <c r="M802" i="1"/>
  <c r="I795" i="1"/>
  <c r="I796" i="1" s="1"/>
  <c r="I800" i="1"/>
  <c r="I801" i="1" s="1"/>
  <c r="H795" i="1"/>
  <c r="H796" i="1" s="1"/>
  <c r="H800" i="1"/>
  <c r="H801" i="1" s="1"/>
  <c r="M797" i="1"/>
  <c r="C797" i="1"/>
  <c r="C799" i="1"/>
  <c r="C134" i="8"/>
  <c r="C150" i="8"/>
  <c r="C174" i="8"/>
  <c r="C318" i="8"/>
  <c r="C682" i="8"/>
  <c r="C313" i="8"/>
  <c r="C283" i="8"/>
  <c r="C267" i="8"/>
  <c r="C96" i="8"/>
  <c r="C44" i="8"/>
  <c r="C68" i="8"/>
  <c r="C112" i="8"/>
  <c r="C503" i="8"/>
  <c r="C485" i="8"/>
  <c r="C467" i="8"/>
  <c r="C450" i="8"/>
  <c r="C833" i="8"/>
  <c r="C907" i="8"/>
  <c r="C933" i="8"/>
  <c r="C54" i="8"/>
  <c r="C836" i="8"/>
  <c r="C135" i="8"/>
  <c r="C151" i="8"/>
  <c r="C175" i="8"/>
  <c r="C319" i="8"/>
  <c r="C684" i="8"/>
  <c r="C310" i="8"/>
  <c r="C282" i="8"/>
  <c r="A189" i="8"/>
  <c r="C95" i="8"/>
  <c r="A214" i="8"/>
  <c r="C87" i="8"/>
  <c r="C756" i="8"/>
  <c r="C497" i="8"/>
  <c r="C480" i="8"/>
  <c r="C462" i="8"/>
  <c r="C445" i="8"/>
  <c r="C835" i="8"/>
  <c r="C909" i="8"/>
  <c r="C935" i="8"/>
  <c r="C79" i="8"/>
  <c r="C176" i="8"/>
  <c r="C495" i="8"/>
  <c r="C911" i="8"/>
  <c r="C80" i="8"/>
  <c r="K1146" i="1"/>
  <c r="Q688" i="7" s="1"/>
  <c r="C937" i="8"/>
  <c r="C137" i="8"/>
  <c r="C153" i="8"/>
  <c r="C291" i="8"/>
  <c r="C321" i="8"/>
  <c r="C688" i="8"/>
  <c r="C307" i="8"/>
  <c r="C280" i="8"/>
  <c r="C163" i="8"/>
  <c r="C91" i="8"/>
  <c r="C90" i="8"/>
  <c r="C689" i="8"/>
  <c r="C494" i="8"/>
  <c r="C478" i="8"/>
  <c r="C460" i="8"/>
  <c r="C443" i="8"/>
  <c r="C839" i="8"/>
  <c r="C912" i="8"/>
  <c r="C182" i="8"/>
  <c r="C136" i="8"/>
  <c r="C686" i="8"/>
  <c r="C281" i="8"/>
  <c r="C92" i="8"/>
  <c r="C89" i="8"/>
  <c r="C479" i="8"/>
  <c r="C444" i="8"/>
  <c r="G685" i="7"/>
  <c r="C57" i="8"/>
  <c r="C142" i="8"/>
  <c r="C158" i="8"/>
  <c r="C296" i="8"/>
  <c r="C328" i="8"/>
  <c r="C707" i="8"/>
  <c r="C301" i="8"/>
  <c r="C275" i="8"/>
  <c r="C127" i="8"/>
  <c r="C55" i="8"/>
  <c r="C93" i="8"/>
  <c r="C685" i="8"/>
  <c r="C493" i="8"/>
  <c r="C476" i="8"/>
  <c r="C459" i="8"/>
  <c r="C442" i="8"/>
  <c r="C755" i="8"/>
  <c r="C856" i="8"/>
  <c r="C922" i="8"/>
  <c r="C183" i="8"/>
  <c r="C792" i="1"/>
  <c r="C794" i="1"/>
  <c r="C152" i="8"/>
  <c r="C309" i="8"/>
  <c r="C164" i="8"/>
  <c r="C754" i="8"/>
  <c r="C461" i="8"/>
  <c r="C837" i="8"/>
  <c r="C58" i="8"/>
  <c r="C143" i="8"/>
  <c r="C165" i="8"/>
  <c r="C297" i="8"/>
  <c r="C329" i="8"/>
  <c r="C708" i="8"/>
  <c r="C300" i="8"/>
  <c r="C274" i="8"/>
  <c r="C126" i="8"/>
  <c r="C51" i="8"/>
  <c r="C108" i="8"/>
  <c r="C506" i="8"/>
  <c r="C488" i="8"/>
  <c r="C470" i="8"/>
  <c r="C453" i="8"/>
  <c r="C437" i="8"/>
  <c r="C759" i="8"/>
  <c r="C857" i="8"/>
  <c r="C923" i="8"/>
  <c r="C767" i="8"/>
  <c r="C834" i="8"/>
  <c r="C320" i="8"/>
  <c r="C59" i="8"/>
  <c r="C144" i="8"/>
  <c r="C166" i="8"/>
  <c r="C298" i="8"/>
  <c r="C330" i="8"/>
  <c r="C709" i="8"/>
  <c r="C299" i="8"/>
  <c r="C273" i="8"/>
  <c r="C125" i="8"/>
  <c r="C50" i="8"/>
  <c r="C109" i="8"/>
  <c r="C505" i="8"/>
  <c r="C487" i="8"/>
  <c r="C469" i="8"/>
  <c r="C452" i="8"/>
  <c r="A359" i="8"/>
  <c r="C761" i="8"/>
  <c r="C858" i="8"/>
  <c r="C924" i="8"/>
  <c r="C768" i="8"/>
  <c r="C762" i="8"/>
  <c r="M792" i="1"/>
  <c r="I255" i="1"/>
  <c r="K255" i="1"/>
  <c r="H674" i="1"/>
  <c r="H675" i="1" s="1"/>
  <c r="K674" i="1"/>
  <c r="K692" i="1"/>
  <c r="K1259" i="1"/>
  <c r="Q785" i="7" s="1"/>
  <c r="K122" i="1"/>
  <c r="K482" i="1"/>
  <c r="G314" i="8"/>
  <c r="G313" i="8" s="1"/>
  <c r="K496" i="1"/>
  <c r="K509" i="1"/>
  <c r="K532" i="1"/>
  <c r="K681" i="1"/>
  <c r="K708" i="1"/>
  <c r="I312" i="8"/>
  <c r="I311" i="8" s="1"/>
  <c r="I314" i="8"/>
  <c r="I313" i="8" s="1"/>
  <c r="I164" i="8"/>
  <c r="I163" i="8" s="1"/>
  <c r="I96" i="8"/>
  <c r="I92" i="8"/>
  <c r="I51" i="8"/>
  <c r="I50" i="8" s="1"/>
  <c r="I158" i="8"/>
  <c r="I157" i="8" s="1"/>
  <c r="I113" i="8"/>
  <c r="I112" i="8" s="1"/>
  <c r="I94" i="8"/>
  <c r="H454" i="8"/>
  <c r="H453" i="8" s="1"/>
  <c r="H314" i="8"/>
  <c r="H313" i="8" s="1"/>
  <c r="H164" i="8"/>
  <c r="H163" i="8" s="1"/>
  <c r="H96" i="8"/>
  <c r="H95" i="8" s="1"/>
  <c r="H92" i="8"/>
  <c r="H91" i="8" s="1"/>
  <c r="H51" i="8"/>
  <c r="H50" i="8" s="1"/>
  <c r="H312" i="8"/>
  <c r="H311" i="8" s="1"/>
  <c r="H158" i="8"/>
  <c r="H157" i="8" s="1"/>
  <c r="H113" i="8"/>
  <c r="H112" i="8" s="1"/>
  <c r="H94" i="8"/>
  <c r="H93" i="8" s="1"/>
  <c r="F1109" i="1"/>
  <c r="F90" i="8" s="1"/>
  <c r="F89" i="8" s="1"/>
  <c r="G761" i="1"/>
  <c r="C713" i="1"/>
  <c r="C712" i="1"/>
  <c r="C711" i="1"/>
  <c r="C710" i="1"/>
  <c r="C709" i="1"/>
  <c r="C708" i="1"/>
  <c r="C714" i="1"/>
  <c r="C757" i="1"/>
  <c r="C765" i="1"/>
  <c r="C764" i="1"/>
  <c r="C763" i="1"/>
  <c r="C762" i="1"/>
  <c r="C766" i="1"/>
  <c r="C761" i="1"/>
  <c r="C756" i="1"/>
  <c r="C719" i="1"/>
  <c r="C718" i="1"/>
  <c r="C768" i="1"/>
  <c r="C767" i="1"/>
  <c r="C758" i="1"/>
  <c r="C681" i="1"/>
  <c r="C630" i="1"/>
  <c r="C628" i="1"/>
  <c r="C716" i="1"/>
  <c r="C607" i="1"/>
  <c r="C682" i="1"/>
  <c r="C613" i="1"/>
  <c r="C678" i="1"/>
  <c r="C629" i="1"/>
  <c r="C627" i="1"/>
  <c r="C612" i="1"/>
  <c r="C717" i="1"/>
  <c r="C633" i="1"/>
  <c r="C632" i="1"/>
  <c r="C706" i="1"/>
  <c r="C715" i="1"/>
  <c r="C683" i="1"/>
  <c r="C634" i="1"/>
  <c r="C631" i="1"/>
  <c r="H681" i="1"/>
  <c r="G681" i="1"/>
  <c r="F681" i="1"/>
  <c r="I681" i="1"/>
  <c r="J681" i="1"/>
  <c r="I708" i="1"/>
  <c r="G708" i="1"/>
  <c r="J708" i="1"/>
  <c r="H708" i="1"/>
  <c r="F708" i="1"/>
  <c r="G610" i="1"/>
  <c r="H607" i="1"/>
  <c r="F611" i="1"/>
  <c r="F613" i="1" s="1"/>
  <c r="F628" i="1"/>
  <c r="H761" i="1"/>
  <c r="F761" i="1"/>
  <c r="F767" i="1" s="1"/>
  <c r="H759" i="1"/>
  <c r="H760" i="1" s="1"/>
  <c r="I757" i="1" s="1"/>
  <c r="H679" i="1"/>
  <c r="H680" i="1" s="1"/>
  <c r="H608" i="1"/>
  <c r="H609" i="1" s="1"/>
  <c r="I759" i="1"/>
  <c r="I760" i="1" s="1"/>
  <c r="I679" i="1"/>
  <c r="I680" i="1" s="1"/>
  <c r="I608" i="1"/>
  <c r="I609" i="1" s="1"/>
  <c r="H1745" i="1"/>
  <c r="C830" i="8"/>
  <c r="C61" i="8"/>
  <c r="C180" i="8"/>
  <c r="C760" i="8"/>
  <c r="C785" i="8"/>
  <c r="C105" i="8"/>
  <c r="C934" i="8"/>
  <c r="C52" i="8"/>
  <c r="C62" i="8"/>
  <c r="C181" i="8"/>
  <c r="C766" i="8"/>
  <c r="C828" i="8"/>
  <c r="C106" i="8"/>
  <c r="C130" i="8"/>
  <c r="C119" i="8"/>
  <c r="C502" i="8"/>
  <c r="C475" i="8"/>
  <c r="C466" i="8"/>
  <c r="C458" i="8"/>
  <c r="C449" i="8"/>
  <c r="C441" i="8"/>
  <c r="C764" i="8"/>
  <c r="C913" i="8"/>
  <c r="C926" i="8"/>
  <c r="C938" i="8"/>
  <c r="C71" i="8"/>
  <c r="C81" i="8"/>
  <c r="C184" i="8"/>
  <c r="C775" i="8"/>
  <c r="C942" i="8"/>
  <c r="C573" i="8"/>
  <c r="C757" i="8"/>
  <c r="C332" i="8"/>
  <c r="C131" i="8"/>
  <c r="C139" i="8"/>
  <c r="C147" i="8"/>
  <c r="C155" i="8"/>
  <c r="C169" i="8"/>
  <c r="C293" i="8"/>
  <c r="C315" i="8"/>
  <c r="C324" i="8"/>
  <c r="A409" i="8"/>
  <c r="C692" i="8"/>
  <c r="A384" i="8"/>
  <c r="C304" i="8"/>
  <c r="C287" i="8"/>
  <c r="C278" i="8"/>
  <c r="C270" i="8"/>
  <c r="C161" i="8"/>
  <c r="C118" i="8"/>
  <c r="C77" i="8"/>
  <c r="C47" i="8"/>
  <c r="C83" i="8"/>
  <c r="C97" i="8"/>
  <c r="C679" i="8"/>
  <c r="C510" i="8"/>
  <c r="C501" i="8"/>
  <c r="C491" i="8"/>
  <c r="C483" i="8"/>
  <c r="C473" i="8"/>
  <c r="C465" i="8"/>
  <c r="C456" i="8"/>
  <c r="C448" i="8"/>
  <c r="C440" i="8"/>
  <c r="C827" i="8"/>
  <c r="C841" i="8"/>
  <c r="C904" i="8"/>
  <c r="C915" i="8"/>
  <c r="C928" i="8"/>
  <c r="C939" i="8"/>
  <c r="C72" i="8"/>
  <c r="C82" i="8"/>
  <c r="C185" i="8"/>
  <c r="C782" i="8"/>
  <c r="C948" i="8"/>
  <c r="C101" i="8"/>
  <c r="C138" i="8"/>
  <c r="C154" i="8"/>
  <c r="C292" i="8"/>
  <c r="C322" i="8"/>
  <c r="C691" i="8"/>
  <c r="C306" i="8"/>
  <c r="C279" i="8"/>
  <c r="C162" i="8"/>
  <c r="C48" i="8"/>
  <c r="C94" i="8"/>
  <c r="C681" i="8"/>
  <c r="C492" i="8"/>
  <c r="C903" i="8"/>
  <c r="C132" i="8"/>
  <c r="C140" i="8"/>
  <c r="C148" i="8"/>
  <c r="C156" i="8"/>
  <c r="C170" i="8"/>
  <c r="C294" i="8"/>
  <c r="C316" i="8"/>
  <c r="C325" i="8"/>
  <c r="C583" i="8"/>
  <c r="C693" i="8"/>
  <c r="A334" i="8"/>
  <c r="C303" i="8"/>
  <c r="C286" i="8"/>
  <c r="C277" i="8"/>
  <c r="C269" i="8"/>
  <c r="C160" i="8"/>
  <c r="C116" i="8"/>
  <c r="C76" i="8"/>
  <c r="C46" i="8"/>
  <c r="C84" i="8"/>
  <c r="C98" i="8"/>
  <c r="C687" i="8"/>
  <c r="C509" i="8"/>
  <c r="C500" i="8"/>
  <c r="C490" i="8"/>
  <c r="C482" i="8"/>
  <c r="C472" i="8"/>
  <c r="C464" i="8"/>
  <c r="C455" i="8"/>
  <c r="C447" i="8"/>
  <c r="C439" i="8"/>
  <c r="C829" i="8"/>
  <c r="C848" i="8"/>
  <c r="C905" i="8"/>
  <c r="C920" i="8"/>
  <c r="C929" i="8"/>
  <c r="C73" i="8"/>
  <c r="C177" i="8"/>
  <c r="C186" i="8"/>
  <c r="C783" i="8"/>
  <c r="C103" i="8"/>
  <c r="C146" i="8"/>
  <c r="C168" i="8"/>
  <c r="C312" i="8"/>
  <c r="A239" i="8"/>
  <c r="C289" i="8"/>
  <c r="C271" i="8"/>
  <c r="C78" i="8"/>
  <c r="C69" i="8"/>
  <c r="C113" i="8"/>
  <c r="C484" i="8"/>
  <c r="C840" i="8"/>
  <c r="C56" i="8"/>
  <c r="C133" i="8"/>
  <c r="C141" i="8"/>
  <c r="C149" i="8"/>
  <c r="C157" i="8"/>
  <c r="C173" i="8"/>
  <c r="C295" i="8"/>
  <c r="C317" i="8"/>
  <c r="C327" i="8"/>
  <c r="C680" i="8"/>
  <c r="C700" i="8"/>
  <c r="C314" i="8"/>
  <c r="C302" i="8"/>
  <c r="C284" i="8"/>
  <c r="C276" i="8"/>
  <c r="C268" i="8"/>
  <c r="C159" i="8"/>
  <c r="C115" i="8"/>
  <c r="C75" i="8"/>
  <c r="C45" i="8"/>
  <c r="C86" i="8"/>
  <c r="C107" i="8"/>
  <c r="C758" i="8"/>
  <c r="C507" i="8"/>
  <c r="C498" i="8"/>
  <c r="C489" i="8"/>
  <c r="C481" i="8"/>
  <c r="C471" i="8"/>
  <c r="C463" i="8"/>
  <c r="C454" i="8"/>
  <c r="C446" i="8"/>
  <c r="C438" i="8"/>
  <c r="C683" i="8"/>
  <c r="C831" i="8"/>
  <c r="C855" i="8"/>
  <c r="C906" i="8"/>
  <c r="C921" i="8"/>
  <c r="C931" i="8"/>
  <c r="C74" i="8"/>
  <c r="C178" i="8"/>
  <c r="C187" i="8"/>
  <c r="C784" i="8"/>
  <c r="C104" i="8"/>
  <c r="B72" i="1"/>
  <c r="C388" i="1"/>
  <c r="C385" i="1"/>
  <c r="C381" i="1"/>
  <c r="C379" i="1"/>
  <c r="C378" i="1"/>
  <c r="C369" i="1"/>
  <c r="C386" i="1"/>
  <c r="C376" i="1"/>
  <c r="C383" i="1"/>
  <c r="C390" i="1"/>
  <c r="C389" i="1"/>
  <c r="C382" i="1"/>
  <c r="C384" i="1"/>
  <c r="C380" i="1"/>
  <c r="C368" i="1"/>
  <c r="C387" i="1"/>
  <c r="C373" i="1"/>
  <c r="J390" i="1"/>
  <c r="I390" i="1"/>
  <c r="H390" i="1"/>
  <c r="G390" i="1"/>
  <c r="F390" i="1"/>
  <c r="J378" i="1"/>
  <c r="J376" i="1" s="1"/>
  <c r="I378" i="1"/>
  <c r="I376" i="1" s="1"/>
  <c r="H378" i="1"/>
  <c r="H376" i="1" s="1"/>
  <c r="G378" i="1"/>
  <c r="G376" i="1" s="1"/>
  <c r="F378" i="1"/>
  <c r="J1208" i="1"/>
  <c r="J118" i="1" s="1"/>
  <c r="F1208" i="1"/>
  <c r="F118" i="1" s="1"/>
  <c r="I1208" i="1"/>
  <c r="I118" i="1" s="1"/>
  <c r="H1210" i="1"/>
  <c r="H122" i="1" s="1"/>
  <c r="I1210" i="1"/>
  <c r="J1210" i="1"/>
  <c r="H1208" i="1"/>
  <c r="H118" i="1" s="1"/>
  <c r="G1593" i="1"/>
  <c r="G998" i="7" s="1"/>
  <c r="H82" i="1"/>
  <c r="F451" i="7"/>
  <c r="G867" i="1"/>
  <c r="G870" i="1" s="1"/>
  <c r="G452" i="7" s="1"/>
  <c r="H600" i="1"/>
  <c r="H603" i="1" s="1"/>
  <c r="H604" i="1" s="1"/>
  <c r="H605" i="1" s="1"/>
  <c r="F464" i="7"/>
  <c r="G880" i="1"/>
  <c r="G883" i="1" s="1"/>
  <c r="G465" i="7" s="1"/>
  <c r="F475" i="7"/>
  <c r="G891" i="1"/>
  <c r="G894" i="1" s="1"/>
  <c r="G934" i="1" s="1"/>
  <c r="G882" i="1"/>
  <c r="G464" i="7" s="1"/>
  <c r="G163" i="1"/>
  <c r="H163" i="1"/>
  <c r="H162" i="1" s="1"/>
  <c r="F314" i="8"/>
  <c r="F313" i="8" s="1"/>
  <c r="G36" i="8"/>
  <c r="G742" i="8" s="1"/>
  <c r="H36" i="8"/>
  <c r="H39" i="8" s="1"/>
  <c r="F674" i="1"/>
  <c r="F676" i="1" s="1"/>
  <c r="F1210" i="1"/>
  <c r="F1259" i="1" s="1"/>
  <c r="F785" i="7" s="1"/>
  <c r="F883" i="1"/>
  <c r="G366" i="1"/>
  <c r="G96" i="7" s="1"/>
  <c r="O96" i="7"/>
  <c r="P96" i="7"/>
  <c r="N96" i="7"/>
  <c r="K96" i="7"/>
  <c r="H366" i="1"/>
  <c r="H96" i="7" s="1"/>
  <c r="M96" i="7"/>
  <c r="L96" i="7"/>
  <c r="G1594" i="1"/>
  <c r="G999" i="7" s="1"/>
  <c r="J366" i="1"/>
  <c r="J96" i="7" s="1"/>
  <c r="F366" i="1"/>
  <c r="F96" i="7" s="1"/>
  <c r="I153" i="1"/>
  <c r="J153" i="1" s="1"/>
  <c r="K153" i="1" s="1"/>
  <c r="K151" i="1" s="1"/>
  <c r="F438" i="1"/>
  <c r="F440" i="1" s="1"/>
  <c r="F685" i="7"/>
  <c r="F312" i="8"/>
  <c r="F311" i="8" s="1"/>
  <c r="G869" i="1"/>
  <c r="G451" i="7" s="1"/>
  <c r="H1592" i="1"/>
  <c r="F290" i="8"/>
  <c r="F289" i="8" s="1"/>
  <c r="F789" i="7"/>
  <c r="G274" i="1"/>
  <c r="F194" i="7"/>
  <c r="G252" i="7"/>
  <c r="G650" i="1"/>
  <c r="G372" i="7" s="1"/>
  <c r="G649" i="1"/>
  <c r="H650" i="1"/>
  <c r="H372" i="7" s="1"/>
  <c r="H649" i="1"/>
  <c r="J650" i="1"/>
  <c r="J372" i="7" s="1"/>
  <c r="J649" i="1"/>
  <c r="K372" i="7"/>
  <c r="P372" i="7"/>
  <c r="O372" i="7"/>
  <c r="N372" i="7"/>
  <c r="M280" i="7"/>
  <c r="L372" i="7"/>
  <c r="M1143" i="1"/>
  <c r="S685" i="7" s="1"/>
  <c r="I1745" i="1"/>
  <c r="L802" i="7"/>
  <c r="G1268" i="1"/>
  <c r="F551" i="1"/>
  <c r="L280" i="7"/>
  <c r="I413" i="1"/>
  <c r="I119" i="7" s="1"/>
  <c r="K56" i="7"/>
  <c r="F550" i="1"/>
  <c r="F560" i="1" s="1"/>
  <c r="F552" i="1" s="1"/>
  <c r="J264" i="1"/>
  <c r="M84" i="7"/>
  <c r="Q84" i="7"/>
  <c r="F264" i="1"/>
  <c r="P280" i="7"/>
  <c r="F1745" i="1"/>
  <c r="I371" i="7"/>
  <c r="N280" i="7"/>
  <c r="F280" i="7"/>
  <c r="C501" i="1"/>
  <c r="C222" i="7" s="1"/>
  <c r="C934" i="1"/>
  <c r="C511" i="7" s="1"/>
  <c r="J277" i="1"/>
  <c r="C1025" i="1"/>
  <c r="C59" i="1"/>
  <c r="C355" i="1"/>
  <c r="C85" i="7" s="1"/>
  <c r="C52" i="1"/>
  <c r="C126" i="1"/>
  <c r="C312" i="1"/>
  <c r="C63" i="7" s="1"/>
  <c r="J307" i="1"/>
  <c r="J58" i="7" s="1"/>
  <c r="H413" i="1"/>
  <c r="G438" i="1"/>
  <c r="G159" i="7" s="1"/>
  <c r="G674" i="1"/>
  <c r="G676" i="1" s="1"/>
  <c r="G1208" i="1"/>
  <c r="G118" i="1" s="1"/>
  <c r="G264" i="1"/>
  <c r="B105" i="7"/>
  <c r="B96" i="7"/>
  <c r="F277" i="1"/>
  <c r="H319" i="1"/>
  <c r="H70" i="7" s="1"/>
  <c r="J246" i="1"/>
  <c r="F603" i="1"/>
  <c r="F604" i="1" s="1"/>
  <c r="F605" i="1" s="1"/>
  <c r="G81" i="8"/>
  <c r="C268" i="1"/>
  <c r="C973" i="1"/>
  <c r="C550" i="7" s="1"/>
  <c r="C245" i="1"/>
  <c r="C144" i="1"/>
  <c r="C851" i="1"/>
  <c r="C479" i="1"/>
  <c r="C200" i="7" s="1"/>
  <c r="C407" i="1"/>
  <c r="C113" i="7" s="1"/>
  <c r="C70" i="1"/>
  <c r="C822" i="1"/>
  <c r="C600" i="1"/>
  <c r="M1275" i="1"/>
  <c r="S801" i="7" s="1"/>
  <c r="C218" i="1"/>
  <c r="C57" i="1"/>
  <c r="C291" i="1"/>
  <c r="C42" i="7" s="1"/>
  <c r="C1033" i="1"/>
  <c r="C608" i="7" s="1"/>
  <c r="C920" i="1"/>
  <c r="C497" i="7" s="1"/>
  <c r="C514" i="1"/>
  <c r="C235" i="7" s="1"/>
  <c r="C521" i="1"/>
  <c r="C242" i="7" s="1"/>
  <c r="C1055" i="1"/>
  <c r="C630" i="7" s="1"/>
  <c r="C730" i="1"/>
  <c r="C459" i="1"/>
  <c r="C180" i="7" s="1"/>
  <c r="C183" i="1"/>
  <c r="C118" i="1"/>
  <c r="C401" i="1"/>
  <c r="C107" i="7" s="1"/>
  <c r="C236" i="1"/>
  <c r="C1001" i="1"/>
  <c r="C578" i="7" s="1"/>
  <c r="C894" i="1"/>
  <c r="C476" i="7" s="1"/>
  <c r="C445" i="1"/>
  <c r="C166" i="7" s="1"/>
  <c r="C888" i="1"/>
  <c r="C470" i="7" s="1"/>
  <c r="C263" i="1"/>
  <c r="B10" i="7"/>
  <c r="C277" i="1"/>
  <c r="C254" i="1"/>
  <c r="C228" i="1"/>
  <c r="C198" i="1"/>
  <c r="C157" i="1"/>
  <c r="C58" i="1"/>
  <c r="C42" i="1"/>
  <c r="C48" i="1"/>
  <c r="C56" i="1"/>
  <c r="C123" i="1"/>
  <c r="C131" i="1"/>
  <c r="C409" i="1"/>
  <c r="C115" i="7" s="1"/>
  <c r="C363" i="1"/>
  <c r="C93" i="7" s="1"/>
  <c r="C318" i="1"/>
  <c r="C69" i="7" s="1"/>
  <c r="C294" i="1"/>
  <c r="C45" i="7" s="1"/>
  <c r="C260" i="1"/>
  <c r="C162" i="1"/>
  <c r="C1034" i="1"/>
  <c r="C609" i="7" s="1"/>
  <c r="C1007" i="1"/>
  <c r="C584" i="7" s="1"/>
  <c r="C974" i="1"/>
  <c r="C551" i="7" s="1"/>
  <c r="C935" i="1"/>
  <c r="C512" i="7" s="1"/>
  <c r="C922" i="1"/>
  <c r="C499" i="7" s="1"/>
  <c r="C899" i="1"/>
  <c r="C481" i="7" s="1"/>
  <c r="C853" i="1"/>
  <c r="C841" i="1"/>
  <c r="C696" i="1"/>
  <c r="C519" i="1"/>
  <c r="C240" i="7" s="1"/>
  <c r="C453" i="1"/>
  <c r="C174" i="7" s="1"/>
  <c r="C625" i="1"/>
  <c r="C299" i="7" s="1"/>
  <c r="C528" i="1"/>
  <c r="C249" i="7" s="1"/>
  <c r="C358" i="1"/>
  <c r="C88" i="7" s="1"/>
  <c r="C486" i="1"/>
  <c r="C207" i="7" s="1"/>
  <c r="C420" i="1"/>
  <c r="C126" i="7" s="1"/>
  <c r="C575" i="1"/>
  <c r="C1054" i="1"/>
  <c r="C629" i="7" s="1"/>
  <c r="C889" i="1"/>
  <c r="C471" i="7" s="1"/>
  <c r="C729" i="1"/>
  <c r="C253" i="1"/>
  <c r="C428" i="1"/>
  <c r="C134" i="7" s="1"/>
  <c r="C264" i="1"/>
  <c r="C242" i="1"/>
  <c r="C217" i="1"/>
  <c r="C181" i="1"/>
  <c r="C67" i="1"/>
  <c r="C51" i="1"/>
  <c r="C69" i="1"/>
  <c r="C62" i="1"/>
  <c r="C116" i="1"/>
  <c r="C119" i="1"/>
  <c r="C127" i="1"/>
  <c r="C399" i="1"/>
  <c r="C105" i="7" s="1"/>
  <c r="C354" i="1"/>
  <c r="C84" i="7" s="1"/>
  <c r="C311" i="1"/>
  <c r="C62" i="7" s="1"/>
  <c r="C290" i="1"/>
  <c r="C41" i="7" s="1"/>
  <c r="C207" i="1"/>
  <c r="C117" i="1"/>
  <c r="C1013" i="1"/>
  <c r="C590" i="7" s="1"/>
  <c r="C997" i="1"/>
  <c r="C574" i="7" s="1"/>
  <c r="C954" i="1"/>
  <c r="C531" i="7" s="1"/>
  <c r="C927" i="1"/>
  <c r="C504" i="7" s="1"/>
  <c r="C916" i="1"/>
  <c r="C493" i="7" s="1"/>
  <c r="C876" i="1"/>
  <c r="C458" i="7" s="1"/>
  <c r="C847" i="1"/>
  <c r="C751" i="1"/>
  <c r="C511" i="1"/>
  <c r="C232" i="7" s="1"/>
  <c r="C442" i="1"/>
  <c r="C163" i="7" s="1"/>
  <c r="C643" i="1"/>
  <c r="C365" i="7" s="1"/>
  <c r="C563" i="1"/>
  <c r="C469" i="1"/>
  <c r="C190" i="7" s="1"/>
  <c r="C497" i="1"/>
  <c r="C218" i="7" s="1"/>
  <c r="C475" i="1"/>
  <c r="C196" i="7" s="1"/>
  <c r="C395" i="1"/>
  <c r="C101" i="7" s="1"/>
  <c r="C750" i="1"/>
  <c r="C1877" i="1"/>
  <c r="C1052" i="1"/>
  <c r="C627" i="7" s="1"/>
  <c r="C1591" i="1"/>
  <c r="C1606" i="1" s="1"/>
  <c r="C1011" i="7" s="1"/>
  <c r="C286" i="1"/>
  <c r="C37" i="7" s="1"/>
  <c r="C255" i="1"/>
  <c r="C235" i="1"/>
  <c r="C201" i="1"/>
  <c r="C158" i="1"/>
  <c r="C61" i="1"/>
  <c r="C45" i="1"/>
  <c r="C41" i="1"/>
  <c r="C115" i="1"/>
  <c r="C122" i="1"/>
  <c r="C130" i="1"/>
  <c r="C410" i="1"/>
  <c r="C116" i="7" s="1"/>
  <c r="C364" i="1"/>
  <c r="C94" i="7" s="1"/>
  <c r="C344" i="1"/>
  <c r="C74" i="7" s="1"/>
  <c r="C295" i="1"/>
  <c r="C46" i="7" s="1"/>
  <c r="C270" i="1"/>
  <c r="C164" i="1"/>
  <c r="C1012" i="1"/>
  <c r="C589" i="7" s="1"/>
  <c r="C992" i="1"/>
  <c r="C569" i="7" s="1"/>
  <c r="C947" i="1"/>
  <c r="C524" i="7" s="1"/>
  <c r="C926" i="1"/>
  <c r="C503" i="7" s="1"/>
  <c r="C915" i="1"/>
  <c r="C492" i="7" s="1"/>
  <c r="C845" i="1"/>
  <c r="C749" i="1"/>
  <c r="C562" i="1"/>
  <c r="C506" i="1"/>
  <c r="C227" i="7" s="1"/>
  <c r="C437" i="1"/>
  <c r="C158" i="7" s="1"/>
  <c r="C638" i="1"/>
  <c r="C360" i="7" s="1"/>
  <c r="C552" i="1"/>
  <c r="C490" i="1"/>
  <c r="C211" i="7" s="1"/>
  <c r="C456" i="1"/>
  <c r="C177" i="7" s="1"/>
  <c r="C429" i="1"/>
  <c r="C135" i="7" s="1"/>
  <c r="C565" i="1"/>
  <c r="C789" i="1"/>
  <c r="C1878" i="1"/>
  <c r="C1056" i="1"/>
  <c r="C631" i="7" s="1"/>
  <c r="C1664" i="1"/>
  <c r="C1691" i="1" s="1"/>
  <c r="C1911" i="1" s="1"/>
  <c r="C1122" i="7" s="1"/>
  <c r="C532" i="1"/>
  <c r="C253" i="7" s="1"/>
  <c r="C1035" i="1"/>
  <c r="C610" i="7" s="1"/>
  <c r="C560" i="1"/>
  <c r="C427" i="1"/>
  <c r="C133" i="7" s="1"/>
  <c r="C309" i="1"/>
  <c r="C60" i="7" s="1"/>
  <c r="C234" i="1"/>
  <c r="C1823" i="1"/>
  <c r="C1085" i="7" s="1"/>
  <c r="C1209" i="1"/>
  <c r="C734" i="1"/>
  <c r="C726" i="1"/>
  <c r="C1060" i="1"/>
  <c r="C635" i="7" s="1"/>
  <c r="C772" i="1"/>
  <c r="C780" i="1"/>
  <c r="C976" i="1"/>
  <c r="C553" i="7" s="1"/>
  <c r="C1062" i="1"/>
  <c r="C637" i="7" s="1"/>
  <c r="C1860" i="1"/>
  <c r="C1816" i="1"/>
  <c r="C1078" i="7" s="1"/>
  <c r="C1015" i="1"/>
  <c r="C592" i="7" s="1"/>
  <c r="C864" i="1"/>
  <c r="C446" i="7" s="1"/>
  <c r="C675" i="1"/>
  <c r="C580" i="1"/>
  <c r="C572" i="1"/>
  <c r="C315" i="1"/>
  <c r="C66" i="7" s="1"/>
  <c r="C404" i="1"/>
  <c r="C110" i="7" s="1"/>
  <c r="C412" i="1"/>
  <c r="C118" i="7" s="1"/>
  <c r="C422" i="1"/>
  <c r="C128" i="7" s="1"/>
  <c r="C460" i="1"/>
  <c r="C181" i="7" s="1"/>
  <c r="C477" i="1"/>
  <c r="C198" i="7" s="1"/>
  <c r="C482" i="1"/>
  <c r="C203" i="7" s="1"/>
  <c r="C487" i="1"/>
  <c r="C208" i="7" s="1"/>
  <c r="C493" i="1"/>
  <c r="C214" i="7" s="1"/>
  <c r="C498" i="1"/>
  <c r="C219" i="7" s="1"/>
  <c r="C503" i="1"/>
  <c r="C224" i="7" s="1"/>
  <c r="C360" i="1"/>
  <c r="C90" i="7" s="1"/>
  <c r="C462" i="1"/>
  <c r="C183" i="7" s="1"/>
  <c r="C470" i="1"/>
  <c r="C191" i="7" s="1"/>
  <c r="C524" i="1"/>
  <c r="C245" i="7" s="1"/>
  <c r="C529" i="1"/>
  <c r="C250" i="7" s="1"/>
  <c r="C558" i="1"/>
  <c r="C566" i="1"/>
  <c r="C619" i="1"/>
  <c r="C293" i="7" s="1"/>
  <c r="C636" i="1"/>
  <c r="C358" i="7" s="1"/>
  <c r="C640" i="1"/>
  <c r="C362" i="7" s="1"/>
  <c r="C676" i="1"/>
  <c r="C690" i="1"/>
  <c r="C439" i="1"/>
  <c r="C160" i="7" s="1"/>
  <c r="C443" i="1"/>
  <c r="C164" i="7" s="1"/>
  <c r="C448" i="1"/>
  <c r="C169" i="7" s="1"/>
  <c r="C504" i="1"/>
  <c r="C225" i="7" s="1"/>
  <c r="C508" i="1"/>
  <c r="C229" i="7" s="1"/>
  <c r="C512" i="1"/>
  <c r="C233" i="7" s="1"/>
  <c r="C516" i="1"/>
  <c r="C237" i="7" s="1"/>
  <c r="C553" i="1"/>
  <c r="C620" i="1"/>
  <c r="C294" i="7" s="1"/>
  <c r="C694" i="1"/>
  <c r="C702" i="1"/>
  <c r="C746" i="1"/>
  <c r="C753" i="1"/>
  <c r="C831" i="1"/>
  <c r="C844" i="1"/>
  <c r="C849" i="1"/>
  <c r="C867" i="1"/>
  <c r="C449" i="7" s="1"/>
  <c r="C875" i="1"/>
  <c r="C457" i="7" s="1"/>
  <c r="C880" i="1"/>
  <c r="C462" i="7" s="1"/>
  <c r="C903" i="1"/>
  <c r="C485" i="7" s="1"/>
  <c r="C917" i="1"/>
  <c r="C494" i="7" s="1"/>
  <c r="C921" i="1"/>
  <c r="C498" i="7" s="1"/>
  <c r="C925" i="1"/>
  <c r="C502" i="7" s="1"/>
  <c r="C929" i="1"/>
  <c r="C506" i="7" s="1"/>
  <c r="C936" i="1"/>
  <c r="C513" i="7" s="1"/>
  <c r="C949" i="1"/>
  <c r="C526" i="7" s="1"/>
  <c r="C966" i="1"/>
  <c r="C543" i="7" s="1"/>
  <c r="C980" i="1"/>
  <c r="C557" i="7" s="1"/>
  <c r="C998" i="1"/>
  <c r="C575" i="7" s="1"/>
  <c r="C1002" i="1"/>
  <c r="C579" i="7" s="1"/>
  <c r="C1011" i="1"/>
  <c r="C588" i="7" s="1"/>
  <c r="C1019" i="1"/>
  <c r="C596" i="7" s="1"/>
  <c r="C536" i="1"/>
  <c r="C257" i="7" s="1"/>
  <c r="C424" i="1"/>
  <c r="C130" i="7" s="1"/>
  <c r="C308" i="1"/>
  <c r="C59" i="7" s="1"/>
  <c r="C136" i="1"/>
  <c r="C1821" i="1"/>
  <c r="C1083" i="7" s="1"/>
  <c r="C1208" i="1"/>
  <c r="C733" i="1"/>
  <c r="C725" i="1"/>
  <c r="C1059" i="1"/>
  <c r="C634" i="7" s="1"/>
  <c r="C773" i="1"/>
  <c r="C870" i="1"/>
  <c r="C452" i="7" s="1"/>
  <c r="C977" i="1"/>
  <c r="C554" i="7" s="1"/>
  <c r="C1065" i="1"/>
  <c r="C640" i="7" s="1"/>
  <c r="C1855" i="1"/>
  <c r="C1815" i="1"/>
  <c r="C1077" i="7" s="1"/>
  <c r="C965" i="1"/>
  <c r="C542" i="7" s="1"/>
  <c r="C863" i="1"/>
  <c r="C445" i="7" s="1"/>
  <c r="C579" i="1"/>
  <c r="C571" i="1"/>
  <c r="C316" i="1"/>
  <c r="C67" i="7" s="1"/>
  <c r="C405" i="1"/>
  <c r="C111" i="7" s="1"/>
  <c r="C417" i="1"/>
  <c r="C123" i="7" s="1"/>
  <c r="C423" i="1"/>
  <c r="C129" i="7" s="1"/>
  <c r="C465" i="1"/>
  <c r="C186" i="7" s="1"/>
  <c r="C478" i="1"/>
  <c r="C199" i="7" s="1"/>
  <c r="C483" i="1"/>
  <c r="C204" i="7" s="1"/>
  <c r="C489" i="1"/>
  <c r="C210" i="7" s="1"/>
  <c r="C494" i="1"/>
  <c r="C215" i="7" s="1"/>
  <c r="C499" i="1"/>
  <c r="C220" i="7" s="1"/>
  <c r="C349" i="1"/>
  <c r="C79" i="7" s="1"/>
  <c r="C361" i="1"/>
  <c r="C91" i="7" s="1"/>
  <c r="C466" i="1"/>
  <c r="C187" i="7" s="1"/>
  <c r="C520" i="1"/>
  <c r="C241" i="7" s="1"/>
  <c r="C525" i="1"/>
  <c r="C246" i="7" s="1"/>
  <c r="C530" i="1"/>
  <c r="C251" i="7" s="1"/>
  <c r="C559" i="1"/>
  <c r="C567" i="1"/>
  <c r="C621" i="1"/>
  <c r="C295" i="7" s="1"/>
  <c r="C637" i="1"/>
  <c r="C359" i="7" s="1"/>
  <c r="C641" i="1"/>
  <c r="C363" i="7" s="1"/>
  <c r="C692" i="1"/>
  <c r="C440" i="1"/>
  <c r="C161" i="7" s="1"/>
  <c r="C444" i="1"/>
  <c r="C165" i="7" s="1"/>
  <c r="C451" i="1"/>
  <c r="C172" i="7" s="1"/>
  <c r="C505" i="1"/>
  <c r="C226" i="7" s="1"/>
  <c r="C509" i="1"/>
  <c r="C230" i="7" s="1"/>
  <c r="C513" i="1"/>
  <c r="C234" i="7" s="1"/>
  <c r="C517" i="1"/>
  <c r="C238" i="7" s="1"/>
  <c r="C554" i="1"/>
  <c r="C624" i="1"/>
  <c r="C298" i="7" s="1"/>
  <c r="C276" i="1"/>
  <c r="C262" i="1"/>
  <c r="C251" i="1"/>
  <c r="C240" i="1"/>
  <c r="C226" i="1"/>
  <c r="C215" i="1"/>
  <c r="C187" i="1"/>
  <c r="C163" i="1"/>
  <c r="C155" i="1"/>
  <c r="C65" i="1"/>
  <c r="C55" i="1"/>
  <c r="C49" i="1"/>
  <c r="C40" i="1"/>
  <c r="C64" i="1"/>
  <c r="C50" i="1"/>
  <c r="C66" i="1"/>
  <c r="C39" i="1"/>
  <c r="C120" i="1"/>
  <c r="C124" i="1"/>
  <c r="C128" i="1"/>
  <c r="C403" i="1"/>
  <c r="C109" i="7" s="1"/>
  <c r="C394" i="1"/>
  <c r="C100" i="7" s="1"/>
  <c r="C362" i="1"/>
  <c r="C92" i="7" s="1"/>
  <c r="C352" i="1"/>
  <c r="C82" i="7" s="1"/>
  <c r="C314" i="1"/>
  <c r="C65" i="7" s="1"/>
  <c r="C310" i="1"/>
  <c r="C61" i="7" s="1"/>
  <c r="C293" i="1"/>
  <c r="C44" i="7" s="1"/>
  <c r="C289" i="1"/>
  <c r="C40" i="7" s="1"/>
  <c r="C258" i="1"/>
  <c r="C204" i="1"/>
  <c r="C151" i="1"/>
  <c r="C1021" i="1"/>
  <c r="C598" i="7" s="1"/>
  <c r="C1010" i="1"/>
  <c r="C587" i="7" s="1"/>
  <c r="C1000" i="1"/>
  <c r="C577" i="7" s="1"/>
  <c r="C988" i="1"/>
  <c r="C565" i="7" s="1"/>
  <c r="C962" i="1"/>
  <c r="C539" i="7" s="1"/>
  <c r="C946" i="1"/>
  <c r="C523" i="7" s="1"/>
  <c r="C933" i="1"/>
  <c r="C510" i="7" s="1"/>
  <c r="C924" i="1"/>
  <c r="C501" i="7" s="1"/>
  <c r="C919" i="1"/>
  <c r="C496" i="7" s="1"/>
  <c r="C914" i="1"/>
  <c r="C491" i="7" s="1"/>
  <c r="C878" i="1"/>
  <c r="C460" i="7" s="1"/>
  <c r="C850" i="1"/>
  <c r="C843" i="1"/>
  <c r="C811" i="1"/>
  <c r="C747" i="1"/>
  <c r="C700" i="1"/>
  <c r="C518" i="1"/>
  <c r="C239" i="7" s="1"/>
  <c r="C510" i="1"/>
  <c r="C231" i="7" s="1"/>
  <c r="C452" i="1"/>
  <c r="C173" i="7" s="1"/>
  <c r="C441" i="1"/>
  <c r="C162" i="7" s="1"/>
  <c r="C642" i="1"/>
  <c r="C364" i="7" s="1"/>
  <c r="C623" i="1"/>
  <c r="C297" i="7" s="1"/>
  <c r="C561" i="1"/>
  <c r="C526" i="1"/>
  <c r="C247" i="7" s="1"/>
  <c r="C468" i="1"/>
  <c r="C189" i="7" s="1"/>
  <c r="C357" i="1"/>
  <c r="C87" i="7" s="1"/>
  <c r="C495" i="1"/>
  <c r="C216" i="7" s="1"/>
  <c r="C485" i="1"/>
  <c r="C206" i="7" s="1"/>
  <c r="C474" i="1"/>
  <c r="C195" i="7" s="1"/>
  <c r="C419" i="1"/>
  <c r="C125" i="7" s="1"/>
  <c r="C317" i="1"/>
  <c r="C68" i="7" s="1"/>
  <c r="C576" i="1"/>
  <c r="C703" i="1"/>
  <c r="C564" i="1"/>
  <c r="C943" i="1"/>
  <c r="C520" i="7" s="1"/>
  <c r="C1819" i="1"/>
  <c r="C1081" i="7" s="1"/>
  <c r="C984" i="1"/>
  <c r="C561" i="7" s="1"/>
  <c r="C777" i="1"/>
  <c r="C1863" i="1"/>
  <c r="C742" i="1"/>
  <c r="C1827" i="1"/>
  <c r="C1089" i="7" s="1"/>
  <c r="C175" i="1"/>
  <c r="C267" i="1"/>
  <c r="C930" i="1"/>
  <c r="C507" i="7" s="1"/>
  <c r="C288" i="1"/>
  <c r="C39" i="7" s="1"/>
  <c r="C273" i="1"/>
  <c r="C259" i="1"/>
  <c r="C249" i="1"/>
  <c r="C237" i="1"/>
  <c r="C219" i="1"/>
  <c r="C203" i="1"/>
  <c r="C185" i="1"/>
  <c r="C159" i="1"/>
  <c r="C152" i="1"/>
  <c r="C63" i="1"/>
  <c r="C54" i="1"/>
  <c r="C47" i="1"/>
  <c r="C37" i="1"/>
  <c r="C43" i="1"/>
  <c r="C68" i="1"/>
  <c r="C53" i="1"/>
  <c r="C46" i="1"/>
  <c r="C121" i="1"/>
  <c r="C125" i="1"/>
  <c r="C129" i="1"/>
  <c r="C402" i="1"/>
  <c r="C108" i="7" s="1"/>
  <c r="C366" i="1"/>
  <c r="C96" i="7" s="1"/>
  <c r="C356" i="1"/>
  <c r="C86" i="7" s="1"/>
  <c r="C345" i="1"/>
  <c r="C75" i="7" s="1"/>
  <c r="C313" i="1"/>
  <c r="C64" i="7" s="1"/>
  <c r="C301" i="1"/>
  <c r="C52" i="7" s="1"/>
  <c r="C292" i="1"/>
  <c r="C43" i="7" s="1"/>
  <c r="C274" i="1"/>
  <c r="C241" i="1"/>
  <c r="C167" i="1"/>
  <c r="C147" i="1"/>
  <c r="C1041" i="1"/>
  <c r="C616" i="7" s="1"/>
  <c r="C1016" i="1"/>
  <c r="C593" i="7" s="1"/>
  <c r="C1009" i="1"/>
  <c r="C586" i="7" s="1"/>
  <c r="C999" i="1"/>
  <c r="C576" i="7" s="1"/>
  <c r="C978" i="1"/>
  <c r="C555" i="7" s="1"/>
  <c r="C961" i="1"/>
  <c r="C538" i="7" s="1"/>
  <c r="C937" i="1"/>
  <c r="C514" i="7" s="1"/>
  <c r="C928" i="1"/>
  <c r="C505" i="7" s="1"/>
  <c r="C923" i="1"/>
  <c r="C500" i="7" s="1"/>
  <c r="C918" i="1"/>
  <c r="C495" i="7" s="1"/>
  <c r="C900" i="1"/>
  <c r="C482" i="7" s="1"/>
  <c r="C877" i="1"/>
  <c r="C459" i="7" s="1"/>
  <c r="C848" i="1"/>
  <c r="C842" i="1"/>
  <c r="C787" i="1"/>
  <c r="C698" i="1"/>
  <c r="C605" i="1"/>
  <c r="C515" i="1"/>
  <c r="C236" i="7" s="1"/>
  <c r="C507" i="1"/>
  <c r="C228" i="7" s="1"/>
  <c r="C446" i="1"/>
  <c r="C167" i="7" s="1"/>
  <c r="C438" i="1"/>
  <c r="C159" i="7" s="1"/>
  <c r="C639" i="1"/>
  <c r="C361" i="7" s="1"/>
  <c r="C606" i="1"/>
  <c r="C555" i="1"/>
  <c r="C522" i="1"/>
  <c r="C243" i="7" s="1"/>
  <c r="C461" i="1"/>
  <c r="C182" i="7" s="1"/>
  <c r="C502" i="1"/>
  <c r="C223" i="7" s="1"/>
  <c r="C491" i="1"/>
  <c r="C212" i="7" s="1"/>
  <c r="C481" i="1"/>
  <c r="C202" i="7" s="1"/>
  <c r="C458" i="1"/>
  <c r="C179" i="7" s="1"/>
  <c r="C408" i="1"/>
  <c r="C114" i="7" s="1"/>
  <c r="C296" i="1"/>
  <c r="C47" i="7" s="1"/>
  <c r="C945" i="1"/>
  <c r="C522" i="7" s="1"/>
  <c r="C1847" i="1"/>
  <c r="C983" i="1"/>
  <c r="C560" i="7" s="1"/>
  <c r="C776" i="1"/>
  <c r="C743" i="1"/>
  <c r="C1856" i="1"/>
  <c r="C177" i="1"/>
  <c r="C411" i="1"/>
  <c r="C117" i="7" s="1"/>
  <c r="C951" i="1"/>
  <c r="C528" i="7" s="1"/>
  <c r="C540" i="1"/>
  <c r="C261" i="7" s="1"/>
  <c r="C222" i="1"/>
  <c r="C534" i="1"/>
  <c r="C255" i="7" s="1"/>
  <c r="C538" i="1"/>
  <c r="C259" i="7" s="1"/>
  <c r="C556" i="1"/>
  <c r="C932" i="1"/>
  <c r="C509" i="7" s="1"/>
  <c r="C531" i="1"/>
  <c r="C252" i="7" s="1"/>
  <c r="C1046" i="1"/>
  <c r="C621" i="7" s="1"/>
  <c r="C1023" i="1"/>
  <c r="C600" i="7" s="1"/>
  <c r="C906" i="1"/>
  <c r="C488" i="7" s="1"/>
  <c r="C425" i="1"/>
  <c r="C131" i="7" s="1"/>
  <c r="C275" i="1"/>
  <c r="C179" i="1"/>
  <c r="C143" i="1"/>
  <c r="C285" i="1"/>
  <c r="C36" i="7" s="1"/>
  <c r="C244" i="1"/>
  <c r="C1857" i="1"/>
  <c r="C1824" i="1"/>
  <c r="C1086" i="7" s="1"/>
  <c r="C1735" i="1"/>
  <c r="C1741" i="1" s="1"/>
  <c r="C1210" i="1"/>
  <c r="C748" i="1"/>
  <c r="C735" i="1"/>
  <c r="C731" i="1"/>
  <c r="C727" i="1"/>
  <c r="C1861" i="1"/>
  <c r="C1057" i="1"/>
  <c r="C632" i="7" s="1"/>
  <c r="C693" i="1"/>
  <c r="C771" i="1"/>
  <c r="C775" i="1"/>
  <c r="C779" i="1"/>
  <c r="C883" i="1"/>
  <c r="C465" i="7" s="1"/>
  <c r="C975" i="1"/>
  <c r="C552" i="7" s="1"/>
  <c r="C982" i="1"/>
  <c r="C559" i="7" s="1"/>
  <c r="C1049" i="1"/>
  <c r="C624" i="7" s="1"/>
  <c r="C1067" i="1"/>
  <c r="C1867" i="1"/>
  <c r="C1849" i="1"/>
  <c r="C1817" i="1"/>
  <c r="C1079" i="7" s="1"/>
  <c r="C1061" i="1"/>
  <c r="C636" i="7" s="1"/>
  <c r="C1048" i="1"/>
  <c r="C623" i="7" s="1"/>
  <c r="C963" i="1"/>
  <c r="C540" i="7" s="1"/>
  <c r="C865" i="1"/>
  <c r="C447" i="7" s="1"/>
  <c r="C829" i="1"/>
  <c r="C697" i="1"/>
  <c r="C699" i="1"/>
  <c r="C723" i="1"/>
  <c r="C671" i="1"/>
  <c r="C626" i="1"/>
  <c r="C300" i="7" s="1"/>
  <c r="C577" i="1"/>
  <c r="C573" i="1"/>
  <c r="C569" i="1"/>
  <c r="B15" i="1"/>
  <c r="C1425" i="1" s="1"/>
  <c r="C955" i="7" s="1"/>
  <c r="C535" i="1"/>
  <c r="C256" i="7" s="1"/>
  <c r="C539" i="1"/>
  <c r="C260" i="7" s="1"/>
  <c r="C813" i="1"/>
  <c r="C1032" i="1"/>
  <c r="C607" i="7" s="1"/>
  <c r="C1045" i="1"/>
  <c r="C620" i="7" s="1"/>
  <c r="C953" i="1"/>
  <c r="C530" i="7" s="1"/>
  <c r="C820" i="1"/>
  <c r="C220" i="1"/>
  <c r="C246" i="1"/>
  <c r="C221" i="1"/>
  <c r="C533" i="1"/>
  <c r="C254" i="7" s="1"/>
  <c r="C537" i="1"/>
  <c r="C258" i="7" s="1"/>
  <c r="C551" i="1"/>
  <c r="C931" i="1"/>
  <c r="C508" i="7" s="1"/>
  <c r="C1036" i="1"/>
  <c r="C611" i="7" s="1"/>
  <c r="C1018" i="1"/>
  <c r="C595" i="7" s="1"/>
  <c r="C1047" i="1"/>
  <c r="C622" i="7" s="1"/>
  <c r="C1024" i="1"/>
  <c r="C950" i="1"/>
  <c r="C527" i="7" s="1"/>
  <c r="C557" i="1"/>
  <c r="C464" i="1"/>
  <c r="C185" i="7" s="1"/>
  <c r="C426" i="1"/>
  <c r="C132" i="7" s="1"/>
  <c r="C307" i="1"/>
  <c r="C58" i="7" s="1"/>
  <c r="C173" i="1"/>
  <c r="C305" i="1"/>
  <c r="C56" i="7" s="1"/>
  <c r="C250" i="1"/>
  <c r="C1858" i="1"/>
  <c r="C1825" i="1"/>
  <c r="C1087" i="7" s="1"/>
  <c r="C1806" i="1"/>
  <c r="C1068" i="7" s="1"/>
  <c r="C1212" i="1"/>
  <c r="C1207" i="1"/>
  <c r="C741" i="1"/>
  <c r="C732" i="1"/>
  <c r="C728" i="1"/>
  <c r="C724" i="1"/>
  <c r="C1862" i="1"/>
  <c r="C1058" i="1"/>
  <c r="C633" i="7" s="1"/>
  <c r="C701" i="1"/>
  <c r="C752" i="1"/>
  <c r="C774" i="1"/>
  <c r="C778" i="1"/>
  <c r="C891" i="1"/>
  <c r="C473" i="7" s="1"/>
  <c r="C981" i="1"/>
  <c r="C558" i="7" s="1"/>
  <c r="C985" i="1"/>
  <c r="C562" i="7" s="1"/>
  <c r="C1066" i="1"/>
  <c r="C1868" i="1"/>
  <c r="C1850" i="1"/>
  <c r="C1818" i="1"/>
  <c r="C1080" i="7" s="1"/>
  <c r="C1814" i="1"/>
  <c r="C1076" i="7" s="1"/>
  <c r="C1051" i="1"/>
  <c r="C626" i="7" s="1"/>
  <c r="C964" i="1"/>
  <c r="C541" i="7" s="1"/>
  <c r="C902" i="1"/>
  <c r="C484" i="7" s="1"/>
  <c r="C862" i="1"/>
  <c r="C444" i="7" s="1"/>
  <c r="C622" i="1"/>
  <c r="C296" i="7" s="1"/>
  <c r="C695" i="1"/>
  <c r="C722" i="1"/>
  <c r="C674" i="1"/>
  <c r="C578" i="1"/>
  <c r="C574" i="1"/>
  <c r="C570" i="1"/>
  <c r="C300" i="1"/>
  <c r="C51" i="7" s="1"/>
  <c r="C365" i="1"/>
  <c r="C95" i="7" s="1"/>
  <c r="C406" i="1"/>
  <c r="C112" i="7" s="1"/>
  <c r="C413" i="1"/>
  <c r="C119" i="7" s="1"/>
  <c r="C421" i="1"/>
  <c r="C127" i="7" s="1"/>
  <c r="C430" i="1"/>
  <c r="C136" i="7" s="1"/>
  <c r="C434" i="1"/>
  <c r="C155" i="7" s="1"/>
  <c r="C463" i="1"/>
  <c r="C184" i="7" s="1"/>
  <c r="C476" i="1"/>
  <c r="C197" i="7" s="1"/>
  <c r="C480" i="1"/>
  <c r="C201" i="7" s="1"/>
  <c r="C484" i="1"/>
  <c r="C205" i="7" s="1"/>
  <c r="C488" i="1"/>
  <c r="C209" i="7" s="1"/>
  <c r="C492" i="1"/>
  <c r="C213" i="7" s="1"/>
  <c r="C496" i="1"/>
  <c r="C217" i="7" s="1"/>
  <c r="C500" i="1"/>
  <c r="C221" i="7" s="1"/>
  <c r="C319" i="1"/>
  <c r="C70" i="7" s="1"/>
  <c r="C359" i="1"/>
  <c r="C89" i="7" s="1"/>
  <c r="C457" i="1"/>
  <c r="C178" i="7" s="1"/>
  <c r="C467" i="1"/>
  <c r="C188" i="7" s="1"/>
  <c r="C473" i="1"/>
  <c r="C194" i="7" s="1"/>
  <c r="C523" i="1"/>
  <c r="C244" i="7" s="1"/>
  <c r="C527" i="1"/>
  <c r="C248" i="7" s="1"/>
  <c r="C550" i="1"/>
  <c r="G603" i="1"/>
  <c r="G604" i="1" s="1"/>
  <c r="G606" i="1" s="1"/>
  <c r="P215" i="7"/>
  <c r="N215" i="7"/>
  <c r="G319" i="1"/>
  <c r="G70" i="7" s="1"/>
  <c r="G801" i="7"/>
  <c r="I246" i="1"/>
  <c r="H246" i="1"/>
  <c r="I662" i="1"/>
  <c r="M517" i="1"/>
  <c r="S238" i="7" s="1"/>
  <c r="F649" i="1"/>
  <c r="H371" i="7"/>
  <c r="H280" i="7"/>
  <c r="F792" i="7"/>
  <c r="N203" i="7"/>
  <c r="J280" i="7"/>
  <c r="S395" i="7"/>
  <c r="G1674" i="1"/>
  <c r="G1266" i="1"/>
  <c r="G296" i="8" s="1"/>
  <c r="M530" i="1"/>
  <c r="S251" i="7" s="1"/>
  <c r="M504" i="1"/>
  <c r="S225" i="7" s="1"/>
  <c r="O424" i="7"/>
  <c r="Q422" i="7"/>
  <c r="K422" i="7"/>
  <c r="I422" i="7"/>
  <c r="G424" i="7"/>
  <c r="M529" i="1"/>
  <c r="S250" i="7" s="1"/>
  <c r="K423" i="7"/>
  <c r="S388" i="7"/>
  <c r="K424" i="7"/>
  <c r="S380" i="7"/>
  <c r="C1907" i="1"/>
  <c r="C1118" i="7" s="1"/>
  <c r="F435" i="8"/>
  <c r="F122" i="8"/>
  <c r="G277" i="1"/>
  <c r="I277" i="1"/>
  <c r="G255" i="1"/>
  <c r="M119" i="7"/>
  <c r="B119" i="7"/>
  <c r="J438" i="1"/>
  <c r="J437" i="1" s="1"/>
  <c r="F567" i="1"/>
  <c r="F574" i="1" s="1"/>
  <c r="F124" i="1" s="1"/>
  <c r="F870" i="1"/>
  <c r="F452" i="7" s="1"/>
  <c r="F1808" i="1"/>
  <c r="F1070" i="7" s="1"/>
  <c r="J413" i="1"/>
  <c r="J119" i="7" s="1"/>
  <c r="M416" i="7"/>
  <c r="K416" i="7"/>
  <c r="O414" i="7"/>
  <c r="I416" i="7"/>
  <c r="Q416" i="7"/>
  <c r="M518" i="1"/>
  <c r="S239" i="7" s="1"/>
  <c r="G572" i="1"/>
  <c r="G574" i="1"/>
  <c r="G124" i="1" s="1"/>
  <c r="G151" i="1"/>
  <c r="H155" i="1" s="1"/>
  <c r="M505" i="1"/>
  <c r="S226" i="7" s="1"/>
  <c r="M70" i="7"/>
  <c r="I319" i="1"/>
  <c r="I494" i="1" s="1"/>
  <c r="B70" i="7"/>
  <c r="O119" i="7"/>
  <c r="K119" i="7"/>
  <c r="G413" i="1"/>
  <c r="G119" i="7" s="1"/>
  <c r="P159" i="7"/>
  <c r="H438" i="1"/>
  <c r="H159" i="7" s="1"/>
  <c r="B158" i="7"/>
  <c r="M474" i="1"/>
  <c r="S195" i="7" s="1"/>
  <c r="M479" i="1"/>
  <c r="S200" i="7" s="1"/>
  <c r="G311" i="8"/>
  <c r="O801" i="7"/>
  <c r="J802" i="7"/>
  <c r="N802" i="7"/>
  <c r="L70" i="7"/>
  <c r="M491" i="1"/>
  <c r="S212" i="7" s="1"/>
  <c r="M528" i="1"/>
  <c r="S249" i="7" s="1"/>
  <c r="H144" i="1"/>
  <c r="I144" i="1" s="1"/>
  <c r="I143" i="1" s="1"/>
  <c r="J319" i="1"/>
  <c r="J70" i="7" s="1"/>
  <c r="H264" i="1"/>
  <c r="H277" i="1"/>
  <c r="F894" i="1"/>
  <c r="F476" i="7" s="1"/>
  <c r="F413" i="1"/>
  <c r="I438" i="1"/>
  <c r="M492" i="1"/>
  <c r="S213" i="7" s="1"/>
  <c r="M506" i="1"/>
  <c r="S227" i="7" s="1"/>
  <c r="F255" i="1"/>
  <c r="G307" i="1"/>
  <c r="G305" i="1" s="1"/>
  <c r="G489" i="1" s="1"/>
  <c r="G210" i="7" s="1"/>
  <c r="O56" i="7"/>
  <c r="I354" i="1"/>
  <c r="I84" i="7" s="1"/>
  <c r="H1674" i="1"/>
  <c r="H307" i="1"/>
  <c r="H58" i="7" s="1"/>
  <c r="G1101" i="1"/>
  <c r="G76" i="8" s="1"/>
  <c r="J354" i="1"/>
  <c r="H418" i="7"/>
  <c r="O422" i="7"/>
  <c r="H354" i="1"/>
  <c r="L688" i="7"/>
  <c r="H601" i="1"/>
  <c r="H602" i="1" s="1"/>
  <c r="H744" i="1"/>
  <c r="H745" i="1" s="1"/>
  <c r="I742" i="1" s="1"/>
  <c r="H790" i="1"/>
  <c r="H791" i="1" s="1"/>
  <c r="H814" i="1"/>
  <c r="H815" i="1" s="1"/>
  <c r="I813" i="1" s="1"/>
  <c r="H823" i="1"/>
  <c r="H824" i="1" s="1"/>
  <c r="H832" i="1"/>
  <c r="H833" i="1" s="1"/>
  <c r="H868" i="1"/>
  <c r="H881" i="1"/>
  <c r="H892" i="1"/>
  <c r="H904" i="1"/>
  <c r="M105" i="7"/>
  <c r="F1104" i="1"/>
  <c r="F82" i="8" s="1"/>
  <c r="F81" i="8" s="1"/>
  <c r="F1268" i="1"/>
  <c r="I1674" i="1"/>
  <c r="F817" i="8"/>
  <c r="F66" i="8"/>
  <c r="F564" i="8"/>
  <c r="F667" i="8"/>
  <c r="F742" i="8"/>
  <c r="F265" i="8"/>
  <c r="F39" i="8"/>
  <c r="F918" i="8"/>
  <c r="F330" i="8"/>
  <c r="I264" i="1"/>
  <c r="H1146" i="1"/>
  <c r="H156" i="8" s="1"/>
  <c r="P688" i="7"/>
  <c r="M688" i="7"/>
  <c r="G1745" i="1"/>
  <c r="G675" i="1"/>
  <c r="H420" i="7"/>
  <c r="I167" i="1"/>
  <c r="M593" i="1"/>
  <c r="S280" i="7" s="1"/>
  <c r="G1419" i="1"/>
  <c r="G491" i="8" s="1"/>
  <c r="F1674" i="1"/>
  <c r="J1674" i="1"/>
  <c r="F319" i="1"/>
  <c r="F70" i="7" s="1"/>
  <c r="I401" i="1"/>
  <c r="I399" i="1" s="1"/>
  <c r="I105" i="7" s="1"/>
  <c r="F1146" i="1"/>
  <c r="J1146" i="1"/>
  <c r="J688" i="7" s="1"/>
  <c r="N688" i="7"/>
  <c r="I1146" i="1"/>
  <c r="I156" i="8" s="1"/>
  <c r="H494" i="1"/>
  <c r="H215" i="7" s="1"/>
  <c r="Q372" i="7"/>
  <c r="M414" i="7"/>
  <c r="F401" i="1"/>
  <c r="F403" i="1" s="1"/>
  <c r="G1807" i="1"/>
  <c r="H1807" i="1" s="1"/>
  <c r="F1048" i="1"/>
  <c r="F623" i="7" s="1"/>
  <c r="J255" i="1"/>
  <c r="M480" i="1"/>
  <c r="S201" i="7" s="1"/>
  <c r="H255" i="1"/>
  <c r="I307" i="1"/>
  <c r="I305" i="1" s="1"/>
  <c r="I489" i="1" s="1"/>
  <c r="I210" i="7" s="1"/>
  <c r="M56" i="7"/>
  <c r="G354" i="1"/>
  <c r="G84" i="7" s="1"/>
  <c r="K84" i="7"/>
  <c r="E8" i="7"/>
  <c r="B315" i="1"/>
  <c r="B362" i="1"/>
  <c r="B92" i="7" s="1"/>
  <c r="G401" i="1"/>
  <c r="B409" i="1"/>
  <c r="B115" i="7" s="1"/>
  <c r="H401" i="1"/>
  <c r="J401" i="1"/>
  <c r="F241" i="7"/>
  <c r="F1102" i="1"/>
  <c r="F78" i="8" s="1"/>
  <c r="F77" i="8" s="1"/>
  <c r="F1267" i="1"/>
  <c r="J428" i="7"/>
  <c r="J426" i="7"/>
  <c r="N426" i="7"/>
  <c r="N428" i="7"/>
  <c r="G270" i="1"/>
  <c r="G267" i="1" s="1"/>
  <c r="H269" i="1" s="1"/>
  <c r="G244" i="1"/>
  <c r="G240" i="1" s="1"/>
  <c r="H243" i="1" s="1"/>
  <c r="S287" i="7"/>
  <c r="G416" i="7"/>
  <c r="G1049" i="1"/>
  <c r="G624" i="7" s="1"/>
  <c r="F1107" i="1"/>
  <c r="F87" i="8" s="1"/>
  <c r="F811" i="7"/>
  <c r="B468" i="1"/>
  <c r="B189" i="7" s="1"/>
  <c r="G202" i="7"/>
  <c r="G1099" i="1"/>
  <c r="G72" i="8" s="1"/>
  <c r="G1264" i="1"/>
  <c r="G292" i="8" s="1"/>
  <c r="O239" i="7"/>
  <c r="O688" i="7"/>
  <c r="K239" i="7"/>
  <c r="K688" i="7"/>
  <c r="G239" i="7"/>
  <c r="G1146" i="1"/>
  <c r="G156" i="8" s="1"/>
  <c r="K280" i="7"/>
  <c r="G241" i="7"/>
  <c r="G1102" i="1"/>
  <c r="G78" i="8" s="1"/>
  <c r="G1267" i="1"/>
  <c r="G298" i="8" s="1"/>
  <c r="O280" i="7"/>
  <c r="G280" i="7"/>
  <c r="L418" i="7"/>
  <c r="L420" i="7"/>
  <c r="J418" i="7"/>
  <c r="J420" i="7"/>
  <c r="F395" i="7"/>
  <c r="J395" i="7"/>
  <c r="J430" i="7"/>
  <c r="J431" i="7"/>
  <c r="J432" i="7"/>
  <c r="N395" i="7"/>
  <c r="N430" i="7"/>
  <c r="N431" i="7"/>
  <c r="N432" i="7"/>
  <c r="F584" i="7"/>
  <c r="F1274" i="1"/>
  <c r="F1425" i="1"/>
  <c r="F630" i="7"/>
  <c r="F1278" i="1"/>
  <c r="J98" i="1"/>
  <c r="G246" i="1"/>
  <c r="F246" i="1"/>
  <c r="F41" i="7"/>
  <c r="G290" i="1"/>
  <c r="N420" i="7"/>
  <c r="N418" i="7"/>
  <c r="H395" i="7"/>
  <c r="H430" i="7"/>
  <c r="L395" i="7"/>
  <c r="L430" i="7"/>
  <c r="L431" i="7"/>
  <c r="L432" i="7"/>
  <c r="P395" i="7"/>
  <c r="P430" i="7"/>
  <c r="P431" i="7"/>
  <c r="P432" i="7"/>
  <c r="F629" i="7"/>
  <c r="F1277" i="1"/>
  <c r="B82" i="7"/>
  <c r="F354" i="1"/>
  <c r="B56" i="7"/>
  <c r="M785" i="7"/>
  <c r="G122" i="1"/>
  <c r="G1259" i="1"/>
  <c r="G284" i="8" s="1"/>
  <c r="O785" i="7"/>
  <c r="K785" i="7"/>
  <c r="J122" i="1"/>
  <c r="J1259" i="1"/>
  <c r="J785" i="7" s="1"/>
  <c r="L785" i="7"/>
  <c r="P785" i="7"/>
  <c r="M1112" i="1"/>
  <c r="M419" i="1"/>
  <c r="S125" i="7" s="1"/>
  <c r="G125" i="7"/>
  <c r="S140" i="7"/>
  <c r="H423" i="1"/>
  <c r="C549" i="1"/>
  <c r="H890" i="8"/>
  <c r="F1047" i="1"/>
  <c r="F622" i="7" s="1"/>
  <c r="F1052" i="1"/>
  <c r="F1059" i="1" s="1"/>
  <c r="G918" i="8"/>
  <c r="G435" i="8"/>
  <c r="G667" i="8"/>
  <c r="G122" i="8"/>
  <c r="H122" i="8"/>
  <c r="H817" i="8"/>
  <c r="H564" i="8"/>
  <c r="H435" i="8"/>
  <c r="G817" i="8"/>
  <c r="G564" i="8"/>
  <c r="G265" i="8"/>
  <c r="H265" i="8"/>
  <c r="H742" i="8"/>
  <c r="G890" i="8"/>
  <c r="G39" i="8"/>
  <c r="G66" i="8"/>
  <c r="I689" i="8"/>
  <c r="I764" i="8"/>
  <c r="J33" i="8"/>
  <c r="I34" i="8"/>
  <c r="H667" i="8"/>
  <c r="H66" i="8"/>
  <c r="H918" i="8"/>
  <c r="N119" i="7"/>
  <c r="H274" i="1"/>
  <c r="I273" i="1"/>
  <c r="H743" i="1"/>
  <c r="H746" i="1" s="1"/>
  <c r="H747" i="1" s="1"/>
  <c r="J371" i="7"/>
  <c r="J662" i="1"/>
  <c r="L371" i="7"/>
  <c r="N371" i="7"/>
  <c r="I281" i="7"/>
  <c r="I376" i="7"/>
  <c r="Q281" i="7"/>
  <c r="Q376" i="7"/>
  <c r="I391" i="7"/>
  <c r="I426" i="7"/>
  <c r="I428" i="7"/>
  <c r="K391" i="7"/>
  <c r="K426" i="7"/>
  <c r="K428" i="7"/>
  <c r="K427" i="7"/>
  <c r="M391" i="7"/>
  <c r="M426" i="7"/>
  <c r="M428" i="7"/>
  <c r="M427" i="7"/>
  <c r="O391" i="7"/>
  <c r="O426" i="7"/>
  <c r="O428" i="7"/>
  <c r="O427" i="7"/>
  <c r="Q391" i="7"/>
  <c r="Q426" i="7"/>
  <c r="Q428" i="7"/>
  <c r="Q427" i="7"/>
  <c r="H427" i="7"/>
  <c r="G431" i="7"/>
  <c r="N281" i="7"/>
  <c r="N376" i="7"/>
  <c r="J281" i="7"/>
  <c r="J376" i="7"/>
  <c r="F281" i="7"/>
  <c r="S281" i="7"/>
  <c r="G375" i="7"/>
  <c r="K375" i="7"/>
  <c r="K410" i="7"/>
  <c r="K412" i="7"/>
  <c r="K411" i="7"/>
  <c r="O375" i="7"/>
  <c r="O410" i="7"/>
  <c r="O412" i="7"/>
  <c r="O411" i="7"/>
  <c r="F379" i="7"/>
  <c r="S379" i="7"/>
  <c r="H379" i="7"/>
  <c r="J379" i="7"/>
  <c r="J414" i="7"/>
  <c r="J416" i="7"/>
  <c r="J415" i="7"/>
  <c r="L379" i="7"/>
  <c r="L414" i="7"/>
  <c r="L416" i="7"/>
  <c r="L415" i="7"/>
  <c r="N379" i="7"/>
  <c r="N414" i="7"/>
  <c r="N416" i="7"/>
  <c r="N415" i="7"/>
  <c r="P379" i="7"/>
  <c r="P414" i="7"/>
  <c r="P416" i="7"/>
  <c r="P415" i="7"/>
  <c r="G383" i="7"/>
  <c r="S383" i="7"/>
  <c r="K287" i="7"/>
  <c r="K400" i="7"/>
  <c r="G287" i="7"/>
  <c r="G400" i="7"/>
  <c r="H485" i="7"/>
  <c r="E520" i="7"/>
  <c r="E997" i="1"/>
  <c r="G609" i="7"/>
  <c r="H1034" i="1"/>
  <c r="G1035" i="1"/>
  <c r="G1036" i="1"/>
  <c r="F611" i="7"/>
  <c r="G629" i="7"/>
  <c r="G1113" i="1"/>
  <c r="G98" i="8" s="1"/>
  <c r="G1277" i="1"/>
  <c r="G316" i="8" s="1"/>
  <c r="F636" i="7"/>
  <c r="F1419" i="1"/>
  <c r="H997" i="7"/>
  <c r="I1592" i="1"/>
  <c r="H1593" i="1"/>
  <c r="H998" i="7" s="1"/>
  <c r="H26" i="7"/>
  <c r="I29" i="1"/>
  <c r="H30" i="1"/>
  <c r="H27" i="7" s="1"/>
  <c r="H562" i="1"/>
  <c r="H577" i="1" s="1"/>
  <c r="H563" i="1"/>
  <c r="H553" i="1"/>
  <c r="H1680" i="1"/>
  <c r="H1607" i="1"/>
  <c r="H1012" i="7" s="1"/>
  <c r="F261" i="1"/>
  <c r="F262" i="1" s="1"/>
  <c r="G260" i="1"/>
  <c r="J35" i="8"/>
  <c r="K35" i="8" s="1"/>
  <c r="K36" i="8" s="1"/>
  <c r="I36" i="8"/>
  <c r="J80" i="1"/>
  <c r="I81" i="1"/>
  <c r="J82" i="1" s="1"/>
  <c r="I601" i="1"/>
  <c r="I602" i="1" s="1"/>
  <c r="I672" i="1"/>
  <c r="I673" i="1" s="1"/>
  <c r="I790" i="1"/>
  <c r="I791" i="1" s="1"/>
  <c r="I744" i="1"/>
  <c r="I745" i="1" s="1"/>
  <c r="I814" i="1"/>
  <c r="I815" i="1" s="1"/>
  <c r="I823" i="1"/>
  <c r="I824" i="1" s="1"/>
  <c r="I832" i="1"/>
  <c r="I833" i="1" s="1"/>
  <c r="I868" i="1"/>
  <c r="I881" i="1"/>
  <c r="I892" i="1"/>
  <c r="I904" i="1"/>
  <c r="J91" i="1"/>
  <c r="K91" i="1" s="1"/>
  <c r="K92" i="1" s="1"/>
  <c r="I92" i="1"/>
  <c r="J93" i="1" s="1"/>
  <c r="H203" i="1"/>
  <c r="I197" i="1"/>
  <c r="F125" i="7"/>
  <c r="F526" i="1"/>
  <c r="F247" i="7" s="1"/>
  <c r="M281" i="7"/>
  <c r="M376" i="7"/>
  <c r="F387" i="7"/>
  <c r="S387" i="7"/>
  <c r="H387" i="7"/>
  <c r="H422" i="7"/>
  <c r="J387" i="7"/>
  <c r="J422" i="7"/>
  <c r="J424" i="7"/>
  <c r="J423" i="7"/>
  <c r="L387" i="7"/>
  <c r="L422" i="7"/>
  <c r="L424" i="7"/>
  <c r="L423" i="7"/>
  <c r="N387" i="7"/>
  <c r="N422" i="7"/>
  <c r="N424" i="7"/>
  <c r="N423" i="7"/>
  <c r="P387" i="7"/>
  <c r="P422" i="7"/>
  <c r="P424" i="7"/>
  <c r="P423" i="7"/>
  <c r="G391" i="7"/>
  <c r="S391" i="7"/>
  <c r="P281" i="7"/>
  <c r="P376" i="7"/>
  <c r="L281" i="7"/>
  <c r="L376" i="7"/>
  <c r="H281" i="7"/>
  <c r="H376" i="7"/>
  <c r="I383" i="7"/>
  <c r="I418" i="7"/>
  <c r="I420" i="7"/>
  <c r="I419" i="7"/>
  <c r="K383" i="7"/>
  <c r="K418" i="7"/>
  <c r="K420" i="7"/>
  <c r="K419" i="7"/>
  <c r="M383" i="7"/>
  <c r="M418" i="7"/>
  <c r="M420" i="7"/>
  <c r="M419" i="7"/>
  <c r="O383" i="7"/>
  <c r="O418" i="7"/>
  <c r="O420" i="7"/>
  <c r="O419" i="7"/>
  <c r="Q383" i="7"/>
  <c r="Q418" i="7"/>
  <c r="Q420" i="7"/>
  <c r="Q419" i="7"/>
  <c r="G396" i="7"/>
  <c r="S396" i="7"/>
  <c r="G415" i="7"/>
  <c r="F419" i="7"/>
  <c r="G423" i="7"/>
  <c r="F427" i="7"/>
  <c r="F397" i="7"/>
  <c r="F394" i="7"/>
  <c r="O287" i="7"/>
  <c r="O400" i="7"/>
  <c r="E550" i="7"/>
  <c r="E998" i="1"/>
  <c r="E575" i="7" s="1"/>
  <c r="G584" i="7"/>
  <c r="G1109" i="1"/>
  <c r="G90" i="8" s="1"/>
  <c r="G1425" i="1"/>
  <c r="G501" i="8" s="1"/>
  <c r="G1274" i="1"/>
  <c r="G310" i="8" s="1"/>
  <c r="H606" i="7"/>
  <c r="I1031" i="1"/>
  <c r="G617" i="7"/>
  <c r="H1042" i="1"/>
  <c r="G630" i="7"/>
  <c r="G1120" i="1"/>
  <c r="G110" i="8" s="1"/>
  <c r="G1278" i="1"/>
  <c r="G318" i="8" s="1"/>
  <c r="E19" i="9"/>
  <c r="H19" i="9" s="1"/>
  <c r="H1050" i="1"/>
  <c r="H625" i="7" s="1"/>
  <c r="M287" i="7"/>
  <c r="M400" i="7"/>
  <c r="I287" i="7"/>
  <c r="I400" i="7"/>
  <c r="Q287" i="7"/>
  <c r="Q400" i="7"/>
  <c r="G526" i="1"/>
  <c r="G247" i="7" s="1"/>
  <c r="P119" i="7"/>
  <c r="P240" i="7"/>
  <c r="H287" i="7"/>
  <c r="H400" i="7"/>
  <c r="L287" i="7"/>
  <c r="L400" i="7"/>
  <c r="P287" i="7"/>
  <c r="P400" i="7"/>
  <c r="F287" i="7"/>
  <c r="J287" i="7"/>
  <c r="J400" i="7"/>
  <c r="N287" i="7"/>
  <c r="N400" i="7"/>
  <c r="O125" i="7"/>
  <c r="O247" i="7"/>
  <c r="S142" i="7"/>
  <c r="B143" i="7"/>
  <c r="M125" i="7"/>
  <c r="M247" i="7"/>
  <c r="F620" i="1"/>
  <c r="F637" i="1" s="1"/>
  <c r="F302" i="7"/>
  <c r="F310" i="7"/>
  <c r="F326" i="7"/>
  <c r="K125" i="7"/>
  <c r="S127" i="7"/>
  <c r="B422" i="1"/>
  <c r="B128" i="7" s="1"/>
  <c r="I125" i="7"/>
  <c r="Q125" i="7"/>
  <c r="Q247" i="7"/>
  <c r="G819" i="8"/>
  <c r="G820" i="8" s="1"/>
  <c r="G744" i="8"/>
  <c r="G745" i="8" s="1"/>
  <c r="G892" i="8"/>
  <c r="G893" i="8" s="1"/>
  <c r="H669" i="8"/>
  <c r="G670" i="8"/>
  <c r="B788" i="8"/>
  <c r="B789" i="8"/>
  <c r="F749" i="8"/>
  <c r="G28" i="7"/>
  <c r="H31" i="1"/>
  <c r="G32" i="1"/>
  <c r="G194" i="7"/>
  <c r="G1100" i="1"/>
  <c r="G74" i="8" s="1"/>
  <c r="G1263" i="1"/>
  <c r="G290" i="8" s="1"/>
  <c r="H125" i="7"/>
  <c r="H526" i="1"/>
  <c r="J125" i="7"/>
  <c r="J526" i="1"/>
  <c r="J247" i="7" s="1"/>
  <c r="L125" i="7"/>
  <c r="L247" i="7"/>
  <c r="N125" i="7"/>
  <c r="N247" i="7"/>
  <c r="P125" i="7"/>
  <c r="P247" i="7"/>
  <c r="I144" i="7"/>
  <c r="F822" i="8"/>
  <c r="B861" i="8"/>
  <c r="B862" i="8"/>
  <c r="J164" i="1"/>
  <c r="K164" i="1" s="1"/>
  <c r="K163" i="1" s="1"/>
  <c r="K162" i="1" s="1"/>
  <c r="I163" i="1"/>
  <c r="Q70" i="7"/>
  <c r="Q119" i="7"/>
  <c r="N159" i="7"/>
  <c r="F159" i="7"/>
  <c r="F350" i="7"/>
  <c r="F606" i="1"/>
  <c r="H676" i="1"/>
  <c r="H929" i="7"/>
  <c r="I1399" i="1"/>
  <c r="I454" i="8" s="1"/>
  <c r="G895" i="8"/>
  <c r="F896" i="8"/>
  <c r="F675" i="8"/>
  <c r="G676" i="8" s="1"/>
  <c r="G674" i="8"/>
  <c r="F29" i="7"/>
  <c r="F75" i="1"/>
  <c r="H473" i="1"/>
  <c r="H531" i="1"/>
  <c r="I88" i="1"/>
  <c r="H481" i="1"/>
  <c r="H508" i="1"/>
  <c r="H520" i="1"/>
  <c r="H1007" i="1"/>
  <c r="H1054" i="1"/>
  <c r="H1857" i="1"/>
  <c r="H1861" i="1"/>
  <c r="H1863" i="1"/>
  <c r="H1055" i="1"/>
  <c r="H1061" i="1"/>
  <c r="H1856" i="1"/>
  <c r="H1858" i="1"/>
  <c r="H1862" i="1"/>
  <c r="G162" i="1"/>
  <c r="H167" i="1"/>
  <c r="S39" i="7"/>
  <c r="B289" i="1"/>
  <c r="B40" i="7" s="1"/>
  <c r="G253" i="1"/>
  <c r="O70" i="7"/>
  <c r="K70" i="7"/>
  <c r="S79" i="7"/>
  <c r="G550" i="1"/>
  <c r="G560" i="1" s="1"/>
  <c r="G580" i="1"/>
  <c r="I831" i="1"/>
  <c r="F465" i="7"/>
  <c r="F621" i="1"/>
  <c r="F318" i="7"/>
  <c r="F334" i="7"/>
  <c r="I674" i="1"/>
  <c r="I675" i="1" s="1"/>
  <c r="F608" i="7"/>
  <c r="G950" i="7"/>
  <c r="G492" i="8"/>
  <c r="H1420" i="1"/>
  <c r="H493" i="8" s="1"/>
  <c r="G157" i="8"/>
  <c r="H1665" i="1"/>
  <c r="G1666" i="1"/>
  <c r="H1667" i="1" s="1"/>
  <c r="H1736" i="1"/>
  <c r="G1737" i="1"/>
  <c r="H1738" i="1" s="1"/>
  <c r="H1870" i="1"/>
  <c r="G1871" i="1"/>
  <c r="G1872" i="1" s="1"/>
  <c r="J837" i="1" l="1"/>
  <c r="J838" i="1" s="1"/>
  <c r="J909" i="1"/>
  <c r="J910" i="1" s="1"/>
  <c r="G718" i="1"/>
  <c r="G719" i="1"/>
  <c r="H719" i="1" s="1"/>
  <c r="F718" i="1"/>
  <c r="F719" i="1"/>
  <c r="K125" i="1"/>
  <c r="M340" i="1"/>
  <c r="M328" i="1"/>
  <c r="B329" i="1" s="1"/>
  <c r="F326" i="1"/>
  <c r="M326" i="1" s="1"/>
  <c r="F330" i="1"/>
  <c r="G330" i="1" s="1"/>
  <c r="H330" i="1" s="1"/>
  <c r="I330" i="1" s="1"/>
  <c r="J330" i="1" s="1"/>
  <c r="K330" i="1" s="1"/>
  <c r="B323" i="1" s="1"/>
  <c r="K117" i="1"/>
  <c r="F284" i="8"/>
  <c r="F283" i="8" s="1"/>
  <c r="J813" i="1"/>
  <c r="K1270" i="1"/>
  <c r="J800" i="1"/>
  <c r="J801" i="1" s="1"/>
  <c r="J805" i="1"/>
  <c r="J806" i="1" s="1"/>
  <c r="K80" i="1"/>
  <c r="K909" i="1" s="1"/>
  <c r="K910" i="1" s="1"/>
  <c r="J795" i="1"/>
  <c r="J796" i="1" s="1"/>
  <c r="K693" i="1"/>
  <c r="K697" i="1"/>
  <c r="K704" i="1"/>
  <c r="K694" i="1"/>
  <c r="K676" i="1"/>
  <c r="K675" i="1"/>
  <c r="K495" i="1"/>
  <c r="K1103" i="1" s="1"/>
  <c r="K710" i="1"/>
  <c r="K709" i="1"/>
  <c r="K713" i="1"/>
  <c r="K720" i="1"/>
  <c r="K918" i="8"/>
  <c r="K39" i="8"/>
  <c r="K817" i="8"/>
  <c r="K564" i="8"/>
  <c r="K122" i="8"/>
  <c r="K742" i="8"/>
  <c r="K265" i="8"/>
  <c r="K667" i="8"/>
  <c r="K66" i="8"/>
  <c r="K890" i="8"/>
  <c r="K435" i="8"/>
  <c r="J284" i="8"/>
  <c r="K33" i="8"/>
  <c r="J314" i="8"/>
  <c r="J164" i="8"/>
  <c r="J156" i="8"/>
  <c r="J96" i="8"/>
  <c r="J95" i="8" s="1"/>
  <c r="J92" i="8"/>
  <c r="J91" i="8" s="1"/>
  <c r="J51" i="8"/>
  <c r="J312" i="8"/>
  <c r="J158" i="8"/>
  <c r="J113" i="8"/>
  <c r="J112" i="8" s="1"/>
  <c r="J94" i="8"/>
  <c r="J93" i="8" s="1"/>
  <c r="K683" i="1"/>
  <c r="K682" i="1"/>
  <c r="G794" i="7"/>
  <c r="G300" i="8"/>
  <c r="G299" i="8" s="1"/>
  <c r="F612" i="1"/>
  <c r="F629" i="1" s="1"/>
  <c r="F638" i="1" s="1"/>
  <c r="H718" i="1"/>
  <c r="F627" i="1"/>
  <c r="F631" i="1"/>
  <c r="F634" i="1" s="1"/>
  <c r="F630" i="1" s="1"/>
  <c r="H720" i="1"/>
  <c r="H713" i="1"/>
  <c r="H710" i="1"/>
  <c r="H709" i="1"/>
  <c r="G683" i="1"/>
  <c r="G682" i="1"/>
  <c r="J151" i="1"/>
  <c r="K155" i="1" s="1"/>
  <c r="J720" i="1"/>
  <c r="J709" i="1"/>
  <c r="J710" i="1"/>
  <c r="J713" i="1"/>
  <c r="H682" i="1"/>
  <c r="H683" i="1"/>
  <c r="I151" i="1"/>
  <c r="J155" i="1" s="1"/>
  <c r="H1259" i="1"/>
  <c r="H284" i="8" s="1"/>
  <c r="H283" i="8" s="1"/>
  <c r="H610" i="1"/>
  <c r="I607" i="1"/>
  <c r="G720" i="1"/>
  <c r="G713" i="1"/>
  <c r="G710" i="1"/>
  <c r="G709" i="1"/>
  <c r="J682" i="1"/>
  <c r="J683" i="1"/>
  <c r="P371" i="7"/>
  <c r="I758" i="1"/>
  <c r="J757" i="1"/>
  <c r="G611" i="1"/>
  <c r="G613" i="1" s="1"/>
  <c r="I682" i="1"/>
  <c r="I683" i="1"/>
  <c r="J759" i="1"/>
  <c r="J760" i="1" s="1"/>
  <c r="J679" i="1"/>
  <c r="J680" i="1" s="1"/>
  <c r="J608" i="1"/>
  <c r="J609" i="1" s="1"/>
  <c r="N785" i="7"/>
  <c r="F763" i="1"/>
  <c r="F769" i="1"/>
  <c r="F768" i="1"/>
  <c r="G767" i="1" s="1"/>
  <c r="G768" i="1" s="1"/>
  <c r="H767" i="1" s="1"/>
  <c r="H768" i="1" s="1"/>
  <c r="F762" i="1"/>
  <c r="F720" i="1"/>
  <c r="F713" i="1"/>
  <c r="F710" i="1"/>
  <c r="F709" i="1"/>
  <c r="M708" i="1"/>
  <c r="G763" i="1"/>
  <c r="G764" i="1" s="1"/>
  <c r="G769" i="1"/>
  <c r="H769" i="1"/>
  <c r="H763" i="1"/>
  <c r="H764" i="1" s="1"/>
  <c r="H762" i="1"/>
  <c r="I720" i="1"/>
  <c r="I709" i="1"/>
  <c r="I710" i="1"/>
  <c r="I713" i="1"/>
  <c r="F682" i="1"/>
  <c r="F683" i="1"/>
  <c r="G762" i="1"/>
  <c r="P158" i="7"/>
  <c r="J742" i="1"/>
  <c r="M390" i="1"/>
  <c r="F376" i="1"/>
  <c r="M376" i="1" s="1"/>
  <c r="M378" i="1"/>
  <c r="B379" i="1" s="1"/>
  <c r="B386" i="1"/>
  <c r="F380" i="1"/>
  <c r="G380" i="1" s="1"/>
  <c r="H380" i="1" s="1"/>
  <c r="I380" i="1" s="1"/>
  <c r="J380" i="1" s="1"/>
  <c r="B466" i="1"/>
  <c r="F831" i="8"/>
  <c r="M1210" i="1"/>
  <c r="F675" i="1"/>
  <c r="F572" i="1"/>
  <c r="I1259" i="1"/>
  <c r="I284" i="8" s="1"/>
  <c r="I283" i="8" s="1"/>
  <c r="I122" i="1"/>
  <c r="F437" i="1"/>
  <c r="G462" i="7"/>
  <c r="H880" i="1"/>
  <c r="I600" i="1"/>
  <c r="I743" i="1"/>
  <c r="I746" i="1" s="1"/>
  <c r="I748" i="1" s="1"/>
  <c r="I749" i="1" s="1"/>
  <c r="G449" i="7"/>
  <c r="H867" i="1"/>
  <c r="G473" i="7"/>
  <c r="G932" i="1"/>
  <c r="G509" i="7" s="1"/>
  <c r="H891" i="1"/>
  <c r="G437" i="1"/>
  <c r="G158" i="7" s="1"/>
  <c r="G1808" i="1"/>
  <c r="G1070" i="7" s="1"/>
  <c r="F758" i="8"/>
  <c r="K203" i="7"/>
  <c r="H1594" i="1"/>
  <c r="H999" i="7" s="1"/>
  <c r="N84" i="7"/>
  <c r="G476" i="7"/>
  <c r="F561" i="1"/>
  <c r="F576" i="1" s="1"/>
  <c r="G551" i="1"/>
  <c r="H550" i="1" s="1"/>
  <c r="H560" i="1" s="1"/>
  <c r="H552" i="1" s="1"/>
  <c r="M366" i="1"/>
  <c r="S96" i="7" s="1"/>
  <c r="F122" i="1"/>
  <c r="N240" i="7"/>
  <c r="K210" i="7"/>
  <c r="N70" i="7"/>
  <c r="K58" i="7"/>
  <c r="L253" i="7"/>
  <c r="M82" i="7"/>
  <c r="M240" i="7"/>
  <c r="P408" i="7"/>
  <c r="L408" i="7"/>
  <c r="N408" i="7"/>
  <c r="J408" i="7"/>
  <c r="I408" i="7"/>
  <c r="F532" i="1"/>
  <c r="H532" i="1"/>
  <c r="H253" i="7" s="1"/>
  <c r="H437" i="1"/>
  <c r="K240" i="7"/>
  <c r="G494" i="1"/>
  <c r="G215" i="7" s="1"/>
  <c r="G1069" i="7"/>
  <c r="I519" i="1"/>
  <c r="I240" i="7" s="1"/>
  <c r="M215" i="7"/>
  <c r="J305" i="1"/>
  <c r="J489" i="1" s="1"/>
  <c r="J210" i="7" s="1"/>
  <c r="F519" i="1"/>
  <c r="F240" i="7" s="1"/>
  <c r="Q259" i="7"/>
  <c r="N253" i="7"/>
  <c r="J482" i="1"/>
  <c r="J203" i="7" s="1"/>
  <c r="G532" i="1"/>
  <c r="G253" i="7" s="1"/>
  <c r="L240" i="7"/>
  <c r="K253" i="7"/>
  <c r="O240" i="7"/>
  <c r="Q240" i="7"/>
  <c r="H662" i="1"/>
  <c r="O210" i="7"/>
  <c r="M203" i="7"/>
  <c r="F743" i="1"/>
  <c r="F746" i="1" s="1"/>
  <c r="J159" i="7"/>
  <c r="F662" i="1"/>
  <c r="F651" i="1"/>
  <c r="F373" i="7" s="1"/>
  <c r="F371" i="7"/>
  <c r="P228" i="7"/>
  <c r="M228" i="7"/>
  <c r="G519" i="1"/>
  <c r="J532" i="1"/>
  <c r="J253" i="7" s="1"/>
  <c r="L215" i="7"/>
  <c r="L159" i="7"/>
  <c r="G758" i="8"/>
  <c r="G792" i="7"/>
  <c r="G295" i="8"/>
  <c r="Q217" i="7"/>
  <c r="J496" i="1"/>
  <c r="J217" i="7" s="1"/>
  <c r="K228" i="7"/>
  <c r="H758" i="8"/>
  <c r="M118" i="1"/>
  <c r="H507" i="1"/>
  <c r="H228" i="7" s="1"/>
  <c r="O228" i="7"/>
  <c r="P253" i="7"/>
  <c r="J144" i="1"/>
  <c r="K144" i="1" s="1"/>
  <c r="K143" i="1" s="1"/>
  <c r="M1208" i="1"/>
  <c r="P70" i="7"/>
  <c r="K158" i="7"/>
  <c r="L228" i="7"/>
  <c r="M210" i="7"/>
  <c r="G56" i="7"/>
  <c r="M58" i="7"/>
  <c r="F119" i="7"/>
  <c r="F507" i="1"/>
  <c r="F228" i="7" s="1"/>
  <c r="J507" i="1"/>
  <c r="J228" i="7" s="1"/>
  <c r="N58" i="7"/>
  <c r="N223" i="7"/>
  <c r="H831" i="8"/>
  <c r="I758" i="8"/>
  <c r="I831" i="8"/>
  <c r="N82" i="7"/>
  <c r="C174" i="1"/>
  <c r="G75" i="8"/>
  <c r="G507" i="1"/>
  <c r="G228" i="7" s="1"/>
  <c r="G71" i="8"/>
  <c r="N228" i="7"/>
  <c r="H519" i="1"/>
  <c r="H240" i="7" s="1"/>
  <c r="H119" i="7"/>
  <c r="G77" i="8"/>
  <c r="P217" i="7"/>
  <c r="Q236" i="7"/>
  <c r="Q253" i="7"/>
  <c r="Q203" i="7"/>
  <c r="G109" i="8"/>
  <c r="G97" i="8"/>
  <c r="Q228" i="7"/>
  <c r="Q96" i="7"/>
  <c r="G496" i="1"/>
  <c r="G217" i="7" s="1"/>
  <c r="Q158" i="7"/>
  <c r="O203" i="7"/>
  <c r="O58" i="7"/>
  <c r="Q159" i="7"/>
  <c r="C1682" i="1"/>
  <c r="C1676" i="1"/>
  <c r="C1699" i="1"/>
  <c r="C1671" i="1"/>
  <c r="C1674" i="1"/>
  <c r="C1700" i="1"/>
  <c r="C1679" i="1"/>
  <c r="C1680" i="1"/>
  <c r="C1684" i="1"/>
  <c r="C1675" i="1"/>
  <c r="C1678" i="1"/>
  <c r="C1670" i="1"/>
  <c r="C1677" i="1"/>
  <c r="C1672" i="1"/>
  <c r="C1626" i="1"/>
  <c r="C1031" i="7" s="1"/>
  <c r="C1618" i="1"/>
  <c r="C1905" i="1" s="1"/>
  <c r="C1116" i="7" s="1"/>
  <c r="C1597" i="1"/>
  <c r="C1002" i="7" s="1"/>
  <c r="C1605" i="1"/>
  <c r="C1010" i="7" s="1"/>
  <c r="C1602" i="1"/>
  <c r="C1007" i="7" s="1"/>
  <c r="C1598" i="1"/>
  <c r="C1003" i="7" s="1"/>
  <c r="C1610" i="1"/>
  <c r="C1015" i="7" s="1"/>
  <c r="C1607" i="1"/>
  <c r="C1012" i="7" s="1"/>
  <c r="C1628" i="1"/>
  <c r="C1033" i="7" s="1"/>
  <c r="C996" i="7"/>
  <c r="C1599" i="1"/>
  <c r="C1004" i="7" s="1"/>
  <c r="C1601" i="1"/>
  <c r="C1006" i="7" s="1"/>
  <c r="C1627" i="1"/>
  <c r="C1032" i="7" s="1"/>
  <c r="C1611" i="1"/>
  <c r="C1016" i="7" s="1"/>
  <c r="C1600" i="1"/>
  <c r="C1005" i="7" s="1"/>
  <c r="C1603" i="1"/>
  <c r="C1008" i="7" s="1"/>
  <c r="C1604" i="1"/>
  <c r="C1009" i="7" s="1"/>
  <c r="C1625" i="1"/>
  <c r="C1030" i="7" s="1"/>
  <c r="C1609" i="1"/>
  <c r="C1014" i="7" s="1"/>
  <c r="C1698" i="1"/>
  <c r="C1683" i="1"/>
  <c r="C1701" i="1"/>
  <c r="C1673" i="1"/>
  <c r="I690" i="1"/>
  <c r="I692" i="1" s="1"/>
  <c r="I693" i="1" s="1"/>
  <c r="C1884" i="1"/>
  <c r="C1095" i="7" s="1"/>
  <c r="A1338" i="1"/>
  <c r="C1898" i="1"/>
  <c r="C1109" i="7" s="1"/>
  <c r="C1896" i="1"/>
  <c r="C1107" i="7" s="1"/>
  <c r="C1900" i="1"/>
  <c r="C1111" i="7" s="1"/>
  <c r="C1772" i="1"/>
  <c r="C1256" i="1"/>
  <c r="C782" i="7" s="1"/>
  <c r="C1409" i="1"/>
  <c r="C939" i="7" s="1"/>
  <c r="C1430" i="1"/>
  <c r="C960" i="7" s="1"/>
  <c r="C1408" i="1"/>
  <c r="C938" i="7" s="1"/>
  <c r="C1744" i="1"/>
  <c r="C1277" i="1"/>
  <c r="C803" i="7" s="1"/>
  <c r="C1268" i="1"/>
  <c r="C794" i="7" s="1"/>
  <c r="C1265" i="1"/>
  <c r="C791" i="7" s="1"/>
  <c r="C202" i="1"/>
  <c r="C1286" i="1"/>
  <c r="C812" i="7" s="1"/>
  <c r="C1115" i="1"/>
  <c r="C1142" i="1"/>
  <c r="C684" i="7" s="1"/>
  <c r="C1901" i="1"/>
  <c r="C1112" i="7" s="1"/>
  <c r="C1769" i="1"/>
  <c r="C1762" i="1"/>
  <c r="C1754" i="1"/>
  <c r="C1742" i="1"/>
  <c r="C1129" i="1"/>
  <c r="C671" i="7" s="1"/>
  <c r="C1395" i="1"/>
  <c r="C925" i="7" s="1"/>
  <c r="A1223" i="1"/>
  <c r="C1102" i="1"/>
  <c r="C1123" i="1"/>
  <c r="C1426" i="1"/>
  <c r="C956" i="7" s="1"/>
  <c r="C1403" i="1"/>
  <c r="C933" i="7" s="1"/>
  <c r="C1152" i="1"/>
  <c r="C694" i="7" s="1"/>
  <c r="C1136" i="1"/>
  <c r="C678" i="7" s="1"/>
  <c r="C216" i="1"/>
  <c r="C1398" i="1"/>
  <c r="C928" i="7" s="1"/>
  <c r="C1103" i="1"/>
  <c r="C1421" i="1"/>
  <c r="C951" i="7" s="1"/>
  <c r="C1151" i="1"/>
  <c r="C693" i="7" s="1"/>
  <c r="A1154" i="1"/>
  <c r="C1117" i="1"/>
  <c r="C1149" i="1"/>
  <c r="C691" i="7" s="1"/>
  <c r="C1748" i="1"/>
  <c r="C1503" i="1"/>
  <c r="C983" i="7" s="1"/>
  <c r="C1745" i="1"/>
  <c r="C1414" i="1"/>
  <c r="C944" i="7" s="1"/>
  <c r="C1755" i="1"/>
  <c r="C1771" i="1"/>
  <c r="C1749" i="1"/>
  <c r="C1285" i="1"/>
  <c r="C811" i="7" s="1"/>
  <c r="C1284" i="1"/>
  <c r="C810" i="7" s="1"/>
  <c r="C1393" i="1"/>
  <c r="C923" i="7" s="1"/>
  <c r="C1220" i="1"/>
  <c r="C1104" i="1"/>
  <c r="C1894" i="1"/>
  <c r="C1105" i="7" s="1"/>
  <c r="C1419" i="1"/>
  <c r="C949" i="7" s="1"/>
  <c r="C1400" i="1"/>
  <c r="C930" i="7" s="1"/>
  <c r="C1150" i="1"/>
  <c r="C692" i="7" s="1"/>
  <c r="C1134" i="1"/>
  <c r="C676" i="7" s="1"/>
  <c r="C1257" i="1"/>
  <c r="C783" i="7" s="1"/>
  <c r="C1119" i="1"/>
  <c r="C1406" i="1"/>
  <c r="C936" i="7" s="1"/>
  <c r="C1139" i="1"/>
  <c r="C681" i="7" s="1"/>
  <c r="C1396" i="1"/>
  <c r="C926" i="7" s="1"/>
  <c r="C1892" i="1"/>
  <c r="C1103" i="7" s="1"/>
  <c r="C1141" i="1"/>
  <c r="C683" i="7" s="1"/>
  <c r="C1753" i="1"/>
  <c r="C1743" i="1"/>
  <c r="C1887" i="1"/>
  <c r="C1098" i="7" s="1"/>
  <c r="A841" i="7"/>
  <c r="C1751" i="1"/>
  <c r="C1746" i="1"/>
  <c r="A1288" i="1"/>
  <c r="C1902" i="1"/>
  <c r="C1113" i="7" s="1"/>
  <c r="C1258" i="1"/>
  <c r="C784" i="7" s="1"/>
  <c r="C1420" i="1"/>
  <c r="C950" i="7" s="1"/>
  <c r="C1112" i="1"/>
  <c r="C1886" i="1"/>
  <c r="C1097" i="7" s="1"/>
  <c r="C1413" i="1"/>
  <c r="C943" i="7" s="1"/>
  <c r="C1270" i="1"/>
  <c r="C796" i="7" s="1"/>
  <c r="C1144" i="1"/>
  <c r="C686" i="7" s="1"/>
  <c r="C995" i="1"/>
  <c r="C572" i="7" s="1"/>
  <c r="C1253" i="1"/>
  <c r="C779" i="7" s="1"/>
  <c r="C1897" i="1"/>
  <c r="C1108" i="7" s="1"/>
  <c r="C1402" i="1"/>
  <c r="C932" i="7" s="1"/>
  <c r="C1135" i="1"/>
  <c r="C677" i="7" s="1"/>
  <c r="C1213" i="1"/>
  <c r="C1418" i="1"/>
  <c r="C948" i="7" s="1"/>
  <c r="C1137" i="1"/>
  <c r="C679" i="7" s="1"/>
  <c r="C1272" i="1"/>
  <c r="C798" i="7" s="1"/>
  <c r="A867" i="7"/>
  <c r="A1778" i="1"/>
  <c r="C1255" i="1"/>
  <c r="C781" i="7" s="1"/>
  <c r="C1427" i="1"/>
  <c r="C957" i="7" s="1"/>
  <c r="C471" i="1"/>
  <c r="C192" i="7" s="1"/>
  <c r="A643" i="7"/>
  <c r="A1040" i="7"/>
  <c r="C1097" i="1"/>
  <c r="A893" i="7"/>
  <c r="A723" i="7"/>
  <c r="C184" i="1"/>
  <c r="C1279" i="1"/>
  <c r="C805" i="7" s="1"/>
  <c r="C1282" i="1"/>
  <c r="C808" i="7" s="1"/>
  <c r="C1124" i="1"/>
  <c r="C1399" i="1"/>
  <c r="C929" i="7" s="1"/>
  <c r="C1391" i="1"/>
  <c r="C921" i="7" s="1"/>
  <c r="C1254" i="1"/>
  <c r="C780" i="7" s="1"/>
  <c r="C1217" i="1"/>
  <c r="C1275" i="1"/>
  <c r="C801" i="7" s="1"/>
  <c r="C1107" i="1"/>
  <c r="C1118" i="1"/>
  <c r="C1891" i="1"/>
  <c r="C1102" i="7" s="1"/>
  <c r="A1433" i="1"/>
  <c r="C1417" i="1"/>
  <c r="C947" i="7" s="1"/>
  <c r="C1407" i="1"/>
  <c r="C937" i="7" s="1"/>
  <c r="A1313" i="1"/>
  <c r="C1266" i="1"/>
  <c r="C792" i="7" s="1"/>
  <c r="C1148" i="1"/>
  <c r="C690" i="7" s="1"/>
  <c r="C1140" i="1"/>
  <c r="C682" i="7" s="1"/>
  <c r="C1132" i="1"/>
  <c r="C674" i="7" s="1"/>
  <c r="C182" i="1"/>
  <c r="C1394" i="1"/>
  <c r="C924" i="7" s="1"/>
  <c r="C1221" i="1"/>
  <c r="C1109" i="1"/>
  <c r="C1889" i="1"/>
  <c r="C1100" i="7" s="1"/>
  <c r="C1416" i="1"/>
  <c r="C946" i="7" s="1"/>
  <c r="C1278" i="1"/>
  <c r="C804" i="7" s="1"/>
  <c r="C1147" i="1"/>
  <c r="C689" i="7" s="1"/>
  <c r="C1100" i="1"/>
  <c r="C1259" i="1"/>
  <c r="C785" i="7" s="1"/>
  <c r="A1458" i="1"/>
  <c r="C1883" i="1"/>
  <c r="C1094" i="7" s="1"/>
  <c r="A1363" i="1"/>
  <c r="C1133" i="1"/>
  <c r="C675" i="7" s="1"/>
  <c r="C1747" i="1"/>
  <c r="C1750" i="1"/>
  <c r="A1707" i="1"/>
  <c r="C1276" i="1"/>
  <c r="C802" i="7" s="1"/>
  <c r="C1404" i="1"/>
  <c r="C934" i="7" s="1"/>
  <c r="C180" i="1"/>
  <c r="A815" i="7"/>
  <c r="C1392" i="1"/>
  <c r="C922" i="7" s="1"/>
  <c r="C1219" i="1"/>
  <c r="A749" i="7"/>
  <c r="C178" i="1"/>
  <c r="C1130" i="1"/>
  <c r="C672" i="7" s="1"/>
  <c r="C1280" i="1"/>
  <c r="C806" i="7" s="1"/>
  <c r="C1422" i="1"/>
  <c r="C952" i="7" s="1"/>
  <c r="C1397" i="1"/>
  <c r="C927" i="7" s="1"/>
  <c r="C1261" i="1"/>
  <c r="C787" i="7" s="1"/>
  <c r="C1252" i="1"/>
  <c r="C778" i="7" s="1"/>
  <c r="C1215" i="1"/>
  <c r="A1069" i="1"/>
  <c r="C1110" i="1"/>
  <c r="C1120" i="1"/>
  <c r="C1888" i="1"/>
  <c r="C1099" i="7" s="1"/>
  <c r="C1428" i="1"/>
  <c r="C958" i="7" s="1"/>
  <c r="C1415" i="1"/>
  <c r="C945" i="7" s="1"/>
  <c r="C1405" i="1"/>
  <c r="C935" i="7" s="1"/>
  <c r="C1274" i="1"/>
  <c r="C800" i="7" s="1"/>
  <c r="C1264" i="1"/>
  <c r="C790" i="7" s="1"/>
  <c r="C1146" i="1"/>
  <c r="C688" i="7" s="1"/>
  <c r="C1138" i="1"/>
  <c r="C680" i="7" s="1"/>
  <c r="C1099" i="1"/>
  <c r="C188" i="1"/>
  <c r="C1423" i="1"/>
  <c r="C953" i="7" s="1"/>
  <c r="C1263" i="1"/>
  <c r="C789" i="7" s="1"/>
  <c r="C1216" i="1"/>
  <c r="C1113" i="1"/>
  <c r="C1885" i="1"/>
  <c r="C1096" i="7" s="1"/>
  <c r="C1411" i="1"/>
  <c r="C941" i="7" s="1"/>
  <c r="C1269" i="1"/>
  <c r="C795" i="7" s="1"/>
  <c r="C1143" i="1"/>
  <c r="C685" i="7" s="1"/>
  <c r="C1251" i="1"/>
  <c r="C777" i="7" s="1"/>
  <c r="C1105" i="1"/>
  <c r="C1493" i="1"/>
  <c r="C973" i="7" s="1"/>
  <c r="C1267" i="1"/>
  <c r="C793" i="7" s="1"/>
  <c r="C186" i="1"/>
  <c r="C1770" i="1"/>
  <c r="A1634" i="1"/>
  <c r="C1111" i="1"/>
  <c r="A1179" i="1"/>
  <c r="A697" i="7"/>
  <c r="C1101" i="1"/>
  <c r="C1145" i="1"/>
  <c r="C687" i="7" s="1"/>
  <c r="B12" i="7"/>
  <c r="C1122" i="1"/>
  <c r="C176" i="1"/>
  <c r="F496" i="1"/>
  <c r="F217" i="7" s="1"/>
  <c r="F294" i="7"/>
  <c r="F619" i="1"/>
  <c r="F636" i="1" s="1"/>
  <c r="J743" i="1"/>
  <c r="J746" i="1" s="1"/>
  <c r="F627" i="7"/>
  <c r="J494" i="1"/>
  <c r="J215" i="7" s="1"/>
  <c r="Q56" i="7"/>
  <c r="I515" i="1"/>
  <c r="I236" i="7" s="1"/>
  <c r="G482" i="1"/>
  <c r="G203" i="7" s="1"/>
  <c r="M107" i="7"/>
  <c r="M236" i="7"/>
  <c r="L119" i="7"/>
  <c r="M255" i="1"/>
  <c r="I507" i="1"/>
  <c r="I228" i="7" s="1"/>
  <c r="F1809" i="1"/>
  <c r="G1809" i="1" s="1"/>
  <c r="L217" i="7"/>
  <c r="J519" i="1"/>
  <c r="J240" i="7" s="1"/>
  <c r="F1810" i="1"/>
  <c r="F1072" i="7" s="1"/>
  <c r="M217" i="7"/>
  <c r="I70" i="7"/>
  <c r="H496" i="1"/>
  <c r="H217" i="7" s="1"/>
  <c r="K159" i="7"/>
  <c r="I509" i="1"/>
  <c r="I230" i="7" s="1"/>
  <c r="M438" i="1"/>
  <c r="B439" i="1" s="1"/>
  <c r="B160" i="7" s="1"/>
  <c r="M1674" i="1"/>
  <c r="F494" i="1"/>
  <c r="F215" i="7" s="1"/>
  <c r="H143" i="1"/>
  <c r="S431" i="7"/>
  <c r="G1048" i="1"/>
  <c r="G1060" i="1" s="1"/>
  <c r="F1058" i="1"/>
  <c r="F633" i="7" s="1"/>
  <c r="H748" i="1"/>
  <c r="H749" i="1" s="1"/>
  <c r="F623" i="1"/>
  <c r="F640" i="1" s="1"/>
  <c r="M158" i="7"/>
  <c r="M259" i="7"/>
  <c r="Q105" i="7"/>
  <c r="I56" i="7"/>
  <c r="Q58" i="7"/>
  <c r="I352" i="1"/>
  <c r="Q107" i="7"/>
  <c r="F1056" i="1"/>
  <c r="F1257" i="1" s="1"/>
  <c r="M277" i="1"/>
  <c r="F1060" i="1"/>
  <c r="F635" i="7" s="1"/>
  <c r="H754" i="1"/>
  <c r="M413" i="1"/>
  <c r="S119" i="7" s="1"/>
  <c r="K217" i="7"/>
  <c r="M319" i="1"/>
  <c r="S70" i="7" s="1"/>
  <c r="H244" i="1"/>
  <c r="I496" i="1"/>
  <c r="I1594" i="1"/>
  <c r="I999" i="7" s="1"/>
  <c r="F934" i="1"/>
  <c r="F511" i="7" s="1"/>
  <c r="I58" i="7"/>
  <c r="G58" i="7"/>
  <c r="Q230" i="7"/>
  <c r="M230" i="7"/>
  <c r="M264" i="1"/>
  <c r="F301" i="7"/>
  <c r="G831" i="8"/>
  <c r="G1047" i="1"/>
  <c r="G622" i="7" s="1"/>
  <c r="G1052" i="1"/>
  <c r="G1058" i="1" s="1"/>
  <c r="M354" i="1"/>
  <c r="S84" i="7" s="1"/>
  <c r="I532" i="1"/>
  <c r="I253" i="7" s="1"/>
  <c r="I437" i="1"/>
  <c r="I159" i="7"/>
  <c r="M253" i="7"/>
  <c r="M159" i="7"/>
  <c r="P84" i="7"/>
  <c r="H482" i="1"/>
  <c r="H203" i="7" s="1"/>
  <c r="H305" i="1"/>
  <c r="J84" i="7"/>
  <c r="J352" i="1"/>
  <c r="G422" i="7"/>
  <c r="H84" i="7"/>
  <c r="H352" i="1"/>
  <c r="P203" i="7"/>
  <c r="P58" i="7"/>
  <c r="H486" i="7"/>
  <c r="H905" i="1"/>
  <c r="H487" i="7" s="1"/>
  <c r="H463" i="7"/>
  <c r="H882" i="1"/>
  <c r="H464" i="7" s="1"/>
  <c r="H450" i="7"/>
  <c r="H869" i="1"/>
  <c r="H451" i="7" s="1"/>
  <c r="H474" i="7"/>
  <c r="H893" i="1"/>
  <c r="H475" i="7" s="1"/>
  <c r="F300" i="8"/>
  <c r="F299" i="8" s="1"/>
  <c r="F794" i="7"/>
  <c r="M649" i="1"/>
  <c r="S371" i="7" s="1"/>
  <c r="M371" i="7"/>
  <c r="H155" i="8"/>
  <c r="H688" i="7"/>
  <c r="O253" i="7"/>
  <c r="O159" i="7"/>
  <c r="G352" i="1"/>
  <c r="G393" i="7"/>
  <c r="G390" i="7"/>
  <c r="I482" i="1"/>
  <c r="I203" i="7" s="1"/>
  <c r="I107" i="7"/>
  <c r="M1745" i="1"/>
  <c r="F509" i="1"/>
  <c r="F230" i="7" s="1"/>
  <c r="F107" i="7"/>
  <c r="F399" i="1"/>
  <c r="M372" i="7"/>
  <c r="M650" i="1"/>
  <c r="S372" i="7" s="1"/>
  <c r="Q371" i="7"/>
  <c r="Q408" i="7"/>
  <c r="L230" i="7"/>
  <c r="L107" i="7"/>
  <c r="I155" i="8"/>
  <c r="I688" i="7"/>
  <c r="F156" i="8"/>
  <c r="F155" i="8" s="1"/>
  <c r="F1220" i="1"/>
  <c r="F185" i="8" s="1"/>
  <c r="F688" i="7"/>
  <c r="G490" i="8"/>
  <c r="G949" i="7"/>
  <c r="N230" i="7"/>
  <c r="N107" i="7"/>
  <c r="J509" i="1"/>
  <c r="J230" i="7" s="1"/>
  <c r="J107" i="7"/>
  <c r="J399" i="1"/>
  <c r="H509" i="1"/>
  <c r="H230" i="7" s="1"/>
  <c r="H399" i="1"/>
  <c r="H107" i="7"/>
  <c r="O230" i="7"/>
  <c r="O107" i="7"/>
  <c r="G509" i="1"/>
  <c r="G230" i="7" s="1"/>
  <c r="G107" i="7"/>
  <c r="G399" i="1"/>
  <c r="B66" i="7"/>
  <c r="B467" i="1"/>
  <c r="L84" i="7"/>
  <c r="M401" i="1"/>
  <c r="F109" i="7"/>
  <c r="G403" i="1"/>
  <c r="P230" i="7"/>
  <c r="P107" i="7"/>
  <c r="K230" i="7"/>
  <c r="K107" i="7"/>
  <c r="L203" i="7"/>
  <c r="L58" i="7"/>
  <c r="O84" i="7"/>
  <c r="F428" i="7"/>
  <c r="F390" i="7"/>
  <c r="F393" i="7"/>
  <c r="F426" i="7"/>
  <c r="F298" i="8"/>
  <c r="F297" i="8" s="1"/>
  <c r="F793" i="7"/>
  <c r="H1049" i="1"/>
  <c r="H624" i="7" s="1"/>
  <c r="M246" i="1"/>
  <c r="G662" i="1"/>
  <c r="G743" i="1"/>
  <c r="G371" i="7"/>
  <c r="O371" i="7"/>
  <c r="G297" i="8"/>
  <c r="G793" i="7"/>
  <c r="K371" i="7"/>
  <c r="G688" i="7"/>
  <c r="M1146" i="1"/>
  <c r="S688" i="7" s="1"/>
  <c r="G155" i="8"/>
  <c r="G790" i="7"/>
  <c r="G291" i="8"/>
  <c r="S419" i="7"/>
  <c r="F356" i="1"/>
  <c r="F84" i="7"/>
  <c r="F352" i="1"/>
  <c r="F1675" i="1"/>
  <c r="F1819" i="1"/>
  <c r="F1081" i="7" s="1"/>
  <c r="F1896" i="1"/>
  <c r="F1107" i="7" s="1"/>
  <c r="F316" i="8"/>
  <c r="F315" i="8" s="1"/>
  <c r="F803" i="7"/>
  <c r="H432" i="7"/>
  <c r="F382" i="7"/>
  <c r="F385" i="7"/>
  <c r="F1744" i="1"/>
  <c r="F1894" i="1"/>
  <c r="F1105" i="7" s="1"/>
  <c r="F310" i="8"/>
  <c r="F309" i="8" s="1"/>
  <c r="F800" i="7"/>
  <c r="F432" i="7"/>
  <c r="S432" i="7"/>
  <c r="F430" i="7"/>
  <c r="S430" i="7"/>
  <c r="H431" i="7"/>
  <c r="F418" i="7"/>
  <c r="F420" i="7"/>
  <c r="G41" i="7"/>
  <c r="H290" i="1"/>
  <c r="F1676" i="1"/>
  <c r="F1897" i="1"/>
  <c r="F1108" i="7" s="1"/>
  <c r="F804" i="7"/>
  <c r="F318" i="8"/>
  <c r="F317" i="8" s="1"/>
  <c r="F955" i="7"/>
  <c r="F501" i="8"/>
  <c r="F500" i="8" s="1"/>
  <c r="F431" i="7"/>
  <c r="I676" i="1"/>
  <c r="I785" i="7"/>
  <c r="G785" i="7"/>
  <c r="G283" i="8"/>
  <c r="M1259" i="1"/>
  <c r="S785" i="7" s="1"/>
  <c r="H785" i="7"/>
  <c r="H129" i="7"/>
  <c r="I423" i="1"/>
  <c r="I1050" i="1"/>
  <c r="I625" i="7" s="1"/>
  <c r="G1676" i="1"/>
  <c r="G1897" i="1"/>
  <c r="G1108" i="7" s="1"/>
  <c r="G804" i="7"/>
  <c r="G317" i="8"/>
  <c r="G955" i="7"/>
  <c r="G500" i="8"/>
  <c r="I95" i="8"/>
  <c r="L375" i="7"/>
  <c r="L411" i="7"/>
  <c r="L410" i="7"/>
  <c r="L412" i="7"/>
  <c r="G427" i="7"/>
  <c r="G426" i="7"/>
  <c r="S426" i="7"/>
  <c r="H424" i="7"/>
  <c r="F424" i="7"/>
  <c r="S424" i="7"/>
  <c r="F389" i="7"/>
  <c r="F386" i="7"/>
  <c r="M375" i="7"/>
  <c r="M410" i="7"/>
  <c r="M412" i="7"/>
  <c r="M411" i="7"/>
  <c r="J197" i="1"/>
  <c r="K197" i="1" s="1"/>
  <c r="K203" i="1" s="1"/>
  <c r="I203" i="1"/>
  <c r="I486" i="7"/>
  <c r="I905" i="1"/>
  <c r="I487" i="7" s="1"/>
  <c r="I463" i="7"/>
  <c r="I882" i="1"/>
  <c r="I464" i="7" s="1"/>
  <c r="I450" i="7"/>
  <c r="I869" i="1"/>
  <c r="I451" i="7" s="1"/>
  <c r="J81" i="1"/>
  <c r="K82" i="1" s="1"/>
  <c r="J672" i="1"/>
  <c r="J673" i="1" s="1"/>
  <c r="J601" i="1"/>
  <c r="J602" i="1" s="1"/>
  <c r="J744" i="1"/>
  <c r="J745" i="1" s="1"/>
  <c r="J814" i="1"/>
  <c r="J815" i="1" s="1"/>
  <c r="K813" i="1" s="1"/>
  <c r="J823" i="1"/>
  <c r="J824" i="1" s="1"/>
  <c r="J832" i="1"/>
  <c r="J833" i="1" s="1"/>
  <c r="J868" i="1"/>
  <c r="J881" i="1"/>
  <c r="J892" i="1"/>
  <c r="J904" i="1"/>
  <c r="J790" i="1"/>
  <c r="J791" i="1" s="1"/>
  <c r="J36" i="8"/>
  <c r="F258" i="1"/>
  <c r="G261" i="1" s="1"/>
  <c r="G262" i="1" s="1"/>
  <c r="G258" i="1" s="1"/>
  <c r="H567" i="1"/>
  <c r="H566" i="1"/>
  <c r="H580" i="1" s="1"/>
  <c r="H564" i="1"/>
  <c r="H578" i="1" s="1"/>
  <c r="H565" i="1"/>
  <c r="H579" i="1" s="1"/>
  <c r="G611" i="7"/>
  <c r="G1033" i="1"/>
  <c r="H609" i="7"/>
  <c r="I1034" i="1"/>
  <c r="H1035" i="1"/>
  <c r="H610" i="7" s="1"/>
  <c r="H1036" i="1"/>
  <c r="E574" i="7"/>
  <c r="E999" i="1"/>
  <c r="E576" i="7" s="1"/>
  <c r="I485" i="7"/>
  <c r="G399" i="7"/>
  <c r="K399" i="7"/>
  <c r="K434" i="7"/>
  <c r="K435" i="7"/>
  <c r="K436" i="7"/>
  <c r="I93" i="8"/>
  <c r="G419" i="7"/>
  <c r="G420" i="7"/>
  <c r="S420" i="7"/>
  <c r="H415" i="7"/>
  <c r="H414" i="7"/>
  <c r="F415" i="7"/>
  <c r="S415" i="7"/>
  <c r="F414" i="7"/>
  <c r="S414" i="7"/>
  <c r="G412" i="7"/>
  <c r="F376" i="7"/>
  <c r="S376" i="7"/>
  <c r="N375" i="7"/>
  <c r="N411" i="7"/>
  <c r="N412" i="7"/>
  <c r="N410" i="7"/>
  <c r="Q375" i="7"/>
  <c r="Q410" i="7"/>
  <c r="Q412" i="7"/>
  <c r="Q411" i="7"/>
  <c r="J273" i="1"/>
  <c r="K273" i="1" s="1"/>
  <c r="K274" i="1" s="1"/>
  <c r="I274" i="1"/>
  <c r="G350" i="7"/>
  <c r="G333" i="7"/>
  <c r="G318" i="7"/>
  <c r="G325" i="7"/>
  <c r="G309" i="7"/>
  <c r="G620" i="1"/>
  <c r="H617" i="7"/>
  <c r="I1042" i="1"/>
  <c r="I606" i="7"/>
  <c r="J1031" i="1"/>
  <c r="K1031" i="1" s="1"/>
  <c r="G1894" i="1"/>
  <c r="G1105" i="7" s="1"/>
  <c r="G1744" i="1"/>
  <c r="G800" i="7"/>
  <c r="G309" i="8"/>
  <c r="G89" i="8"/>
  <c r="G1107" i="1"/>
  <c r="G87" i="8" s="1"/>
  <c r="O399" i="7"/>
  <c r="O435" i="7"/>
  <c r="O436" i="7"/>
  <c r="O434" i="7"/>
  <c r="I91" i="8"/>
  <c r="G397" i="7"/>
  <c r="G394" i="7"/>
  <c r="S427" i="7"/>
  <c r="H375" i="7"/>
  <c r="P375" i="7"/>
  <c r="P411" i="7"/>
  <c r="P410" i="7"/>
  <c r="P412" i="7"/>
  <c r="G428" i="7"/>
  <c r="S428" i="7"/>
  <c r="H423" i="7"/>
  <c r="F423" i="7"/>
  <c r="S423" i="7"/>
  <c r="F422" i="7"/>
  <c r="S422" i="7"/>
  <c r="J92" i="1"/>
  <c r="K93" i="1" s="1"/>
  <c r="I474" i="7"/>
  <c r="I893" i="1"/>
  <c r="I475" i="7" s="1"/>
  <c r="I742" i="8"/>
  <c r="I66" i="8"/>
  <c r="I39" i="8"/>
  <c r="I265" i="8"/>
  <c r="I564" i="8"/>
  <c r="I817" i="8"/>
  <c r="I890" i="8"/>
  <c r="I122" i="8"/>
  <c r="I435" i="8"/>
  <c r="I667" i="8"/>
  <c r="I918" i="8"/>
  <c r="H260" i="1"/>
  <c r="I26" i="7"/>
  <c r="J29" i="1"/>
  <c r="I30" i="1"/>
  <c r="I27" i="7" s="1"/>
  <c r="I553" i="1"/>
  <c r="I563" i="1"/>
  <c r="I567" i="1" s="1"/>
  <c r="I574" i="1" s="1"/>
  <c r="I124" i="1" s="1"/>
  <c r="I1607" i="1"/>
  <c r="I1012" i="7" s="1"/>
  <c r="I1680" i="1"/>
  <c r="I997" i="7"/>
  <c r="J1592" i="1"/>
  <c r="K1592" i="1" s="1"/>
  <c r="I1593" i="1"/>
  <c r="I998" i="7" s="1"/>
  <c r="F949" i="7"/>
  <c r="F491" i="8"/>
  <c r="F490" i="8" s="1"/>
  <c r="G1675" i="1"/>
  <c r="G1896" i="1"/>
  <c r="G1107" i="7" s="1"/>
  <c r="G1819" i="1"/>
  <c r="G1081" i="7" s="1"/>
  <c r="G315" i="8"/>
  <c r="G803" i="7"/>
  <c r="G610" i="7"/>
  <c r="G418" i="7"/>
  <c r="S418" i="7"/>
  <c r="H416" i="7"/>
  <c r="F416" i="7"/>
  <c r="S416" i="7"/>
  <c r="F381" i="7"/>
  <c r="F378" i="7"/>
  <c r="G411" i="7"/>
  <c r="G410" i="7"/>
  <c r="F375" i="7"/>
  <c r="S375" i="7"/>
  <c r="J375" i="7"/>
  <c r="J411" i="7"/>
  <c r="J412" i="7"/>
  <c r="J410" i="7"/>
  <c r="I427" i="7"/>
  <c r="I375" i="7"/>
  <c r="H690" i="1"/>
  <c r="H692" i="1" s="1"/>
  <c r="F408" i="7"/>
  <c r="F690" i="1"/>
  <c r="F692" i="1" s="1"/>
  <c r="J34" i="8"/>
  <c r="J689" i="8"/>
  <c r="J764" i="8"/>
  <c r="I399" i="7"/>
  <c r="Q399" i="7"/>
  <c r="Q435" i="7"/>
  <c r="Q436" i="7"/>
  <c r="Q434" i="7"/>
  <c r="M399" i="7"/>
  <c r="M435" i="7"/>
  <c r="M436" i="7"/>
  <c r="M434" i="7"/>
  <c r="G351" i="7"/>
  <c r="G335" i="7"/>
  <c r="G319" i="7"/>
  <c r="H326" i="7"/>
  <c r="H310" i="7"/>
  <c r="H620" i="1"/>
  <c r="G327" i="7"/>
  <c r="G311" i="7"/>
  <c r="G605" i="1"/>
  <c r="G621" i="1" s="1"/>
  <c r="J399" i="7"/>
  <c r="J434" i="7"/>
  <c r="J435" i="7"/>
  <c r="J436" i="7"/>
  <c r="F400" i="7"/>
  <c r="S400" i="7"/>
  <c r="L399" i="7"/>
  <c r="L434" i="7"/>
  <c r="L436" i="7"/>
  <c r="L435" i="7"/>
  <c r="N399" i="7"/>
  <c r="N434" i="7"/>
  <c r="N435" i="7"/>
  <c r="N436" i="7"/>
  <c r="F399" i="7"/>
  <c r="S399" i="7"/>
  <c r="P399" i="7"/>
  <c r="P434" i="7"/>
  <c r="P436" i="7"/>
  <c r="P435" i="7"/>
  <c r="H399" i="7"/>
  <c r="H606" i="1"/>
  <c r="F349" i="7"/>
  <c r="F351" i="7"/>
  <c r="H950" i="7"/>
  <c r="H492" i="8"/>
  <c r="I1420" i="1"/>
  <c r="I493" i="8" s="1"/>
  <c r="F634" i="7"/>
  <c r="F337" i="7"/>
  <c r="F339" i="7"/>
  <c r="F329" i="7"/>
  <c r="F331" i="7"/>
  <c r="F321" i="7"/>
  <c r="F323" i="7"/>
  <c r="F313" i="7"/>
  <c r="F315" i="7"/>
  <c r="F305" i="7"/>
  <c r="F307" i="7"/>
  <c r="G511" i="7"/>
  <c r="G552" i="1"/>
  <c r="G561" i="1"/>
  <c r="G576" i="1" s="1"/>
  <c r="H551" i="1"/>
  <c r="I550" i="1" s="1"/>
  <c r="I560" i="1" s="1"/>
  <c r="L158" i="7"/>
  <c r="L259" i="7"/>
  <c r="G249" i="1"/>
  <c r="H252" i="1" s="1"/>
  <c r="H253" i="1" s="1"/>
  <c r="H240" i="1"/>
  <c r="I243" i="1" s="1"/>
  <c r="I244" i="1" s="1"/>
  <c r="H629" i="7"/>
  <c r="H1113" i="1"/>
  <c r="H98" i="8" s="1"/>
  <c r="H1277" i="1"/>
  <c r="H316" i="8" s="1"/>
  <c r="H241" i="7"/>
  <c r="H1102" i="1"/>
  <c r="H78" i="8" s="1"/>
  <c r="H1267" i="1"/>
  <c r="H298" i="8" s="1"/>
  <c r="H202" i="7"/>
  <c r="H1099" i="1"/>
  <c r="H72" i="8" s="1"/>
  <c r="H1264" i="1"/>
  <c r="H292" i="8" s="1"/>
  <c r="H252" i="7"/>
  <c r="H1104" i="1"/>
  <c r="H82" i="8" s="1"/>
  <c r="H1268" i="1"/>
  <c r="H300" i="8" s="1"/>
  <c r="F231" i="1"/>
  <c r="F281" i="1"/>
  <c r="F32" i="7" s="1"/>
  <c r="F543" i="1"/>
  <c r="F102" i="1"/>
  <c r="F583" i="1"/>
  <c r="F264" i="7" s="1"/>
  <c r="F591" i="1"/>
  <c r="F278" i="7" s="1"/>
  <c r="F598" i="1"/>
  <c r="F617" i="1"/>
  <c r="F291" i="7" s="1"/>
  <c r="F646" i="1"/>
  <c r="F368" i="7" s="1"/>
  <c r="F659" i="1"/>
  <c r="F405" i="7" s="1"/>
  <c r="F668" i="1"/>
  <c r="F738" i="1"/>
  <c r="F783" i="1"/>
  <c r="F858" i="1"/>
  <c r="F440" i="7" s="1"/>
  <c r="F687" i="1"/>
  <c r="F940" i="1"/>
  <c r="F517" i="7" s="1"/>
  <c r="F1028" i="1"/>
  <c r="F603" i="7" s="1"/>
  <c r="F1095" i="1"/>
  <c r="F1127" i="1"/>
  <c r="F669" i="7" s="1"/>
  <c r="F1249" i="1"/>
  <c r="F775" i="7" s="1"/>
  <c r="F1389" i="1"/>
  <c r="F919" i="7" s="1"/>
  <c r="F1484" i="1"/>
  <c r="F964" i="7" s="1"/>
  <c r="F1804" i="1"/>
  <c r="F1066" i="7" s="1"/>
  <c r="F1881" i="1"/>
  <c r="F1092" i="7" s="1"/>
  <c r="F1005" i="1"/>
  <c r="F582" i="7" s="1"/>
  <c r="F1205" i="1"/>
  <c r="F1587" i="1"/>
  <c r="F992" i="7" s="1"/>
  <c r="F1660" i="1"/>
  <c r="F1733" i="1"/>
  <c r="F1830" i="1"/>
  <c r="H674" i="8"/>
  <c r="G675" i="8"/>
  <c r="H676" i="8" s="1"/>
  <c r="F898" i="8"/>
  <c r="F897" i="8"/>
  <c r="H1069" i="7"/>
  <c r="I1807" i="1"/>
  <c r="H1808" i="1"/>
  <c r="H1070" i="7" s="1"/>
  <c r="I929" i="7"/>
  <c r="I453" i="8"/>
  <c r="J1399" i="1"/>
  <c r="K1399" i="1" s="1"/>
  <c r="H334" i="7"/>
  <c r="H318" i="7"/>
  <c r="H302" i="7"/>
  <c r="F353" i="7"/>
  <c r="F253" i="7"/>
  <c r="F161" i="7"/>
  <c r="G440" i="1"/>
  <c r="J158" i="7"/>
  <c r="J538" i="1"/>
  <c r="J259" i="7" s="1"/>
  <c r="I215" i="7"/>
  <c r="Q215" i="7"/>
  <c r="J163" i="1"/>
  <c r="K167" i="1" s="1"/>
  <c r="J144" i="7"/>
  <c r="H247" i="7"/>
  <c r="G29" i="7"/>
  <c r="G75" i="1"/>
  <c r="I1870" i="1"/>
  <c r="H1871" i="1"/>
  <c r="H1872" i="1" s="1"/>
  <c r="I1736" i="1"/>
  <c r="H1737" i="1"/>
  <c r="I1738" i="1" s="1"/>
  <c r="I1665" i="1"/>
  <c r="H1666" i="1"/>
  <c r="I1667" i="1" s="1"/>
  <c r="J674" i="1"/>
  <c r="J675" i="1" s="1"/>
  <c r="J690" i="1"/>
  <c r="J692" i="1" s="1"/>
  <c r="F335" i="7"/>
  <c r="F333" i="7"/>
  <c r="F327" i="7"/>
  <c r="F325" i="7"/>
  <c r="F319" i="7"/>
  <c r="F317" i="7"/>
  <c r="F311" i="7"/>
  <c r="F309" i="7"/>
  <c r="F303" i="7"/>
  <c r="F295" i="7"/>
  <c r="J831" i="1"/>
  <c r="H351" i="7"/>
  <c r="H561" i="1"/>
  <c r="H576" i="1" s="1"/>
  <c r="I551" i="1"/>
  <c r="H270" i="1"/>
  <c r="H158" i="7"/>
  <c r="H538" i="1"/>
  <c r="H259" i="7" s="1"/>
  <c r="P259" i="7"/>
  <c r="G240" i="7"/>
  <c r="K215" i="7"/>
  <c r="O215" i="7"/>
  <c r="J143" i="1"/>
  <c r="H636" i="7"/>
  <c r="H1419" i="1"/>
  <c r="H491" i="8" s="1"/>
  <c r="H630" i="7"/>
  <c r="H1120" i="1"/>
  <c r="H110" i="8" s="1"/>
  <c r="H1278" i="1"/>
  <c r="H318" i="8" s="1"/>
  <c r="H584" i="7"/>
  <c r="H1109" i="1"/>
  <c r="H90" i="8" s="1"/>
  <c r="H1425" i="1"/>
  <c r="H501" i="8" s="1"/>
  <c r="H1274" i="1"/>
  <c r="H310" i="8" s="1"/>
  <c r="H229" i="7"/>
  <c r="H1101" i="1"/>
  <c r="H76" i="8" s="1"/>
  <c r="H1266" i="1"/>
  <c r="H296" i="8" s="1"/>
  <c r="J88" i="1"/>
  <c r="I473" i="1"/>
  <c r="I481" i="1"/>
  <c r="I508" i="1"/>
  <c r="I531" i="1"/>
  <c r="I1055" i="1"/>
  <c r="I1061" i="1"/>
  <c r="I1856" i="1"/>
  <c r="I1858" i="1"/>
  <c r="I1862" i="1"/>
  <c r="I1007" i="1"/>
  <c r="I1054" i="1"/>
  <c r="I1857" i="1"/>
  <c r="I1861" i="1"/>
  <c r="I1863" i="1"/>
  <c r="H194" i="7"/>
  <c r="H1100" i="1"/>
  <c r="H74" i="8" s="1"/>
  <c r="H1263" i="1"/>
  <c r="H290" i="8" s="1"/>
  <c r="H895" i="8"/>
  <c r="G896" i="8"/>
  <c r="F86" i="8"/>
  <c r="H333" i="7"/>
  <c r="H335" i="7"/>
  <c r="H327" i="7"/>
  <c r="H317" i="7"/>
  <c r="H319" i="7"/>
  <c r="H311" i="7"/>
  <c r="H621" i="1"/>
  <c r="G310" i="7"/>
  <c r="F158" i="7"/>
  <c r="N158" i="7"/>
  <c r="N259" i="7"/>
  <c r="O217" i="7"/>
  <c r="I162" i="1"/>
  <c r="J167" i="1"/>
  <c r="G822" i="8"/>
  <c r="F823" i="8"/>
  <c r="G824" i="8" s="1"/>
  <c r="G789" i="7"/>
  <c r="H28" i="7"/>
  <c r="I31" i="1"/>
  <c r="H32" i="1"/>
  <c r="G749" i="8"/>
  <c r="F750" i="8"/>
  <c r="G751" i="8" s="1"/>
  <c r="I669" i="8"/>
  <c r="H670" i="8"/>
  <c r="H744" i="8"/>
  <c r="H745" i="8" s="1"/>
  <c r="H892" i="8"/>
  <c r="H893" i="8" s="1"/>
  <c r="H819" i="8"/>
  <c r="H820" i="8" s="1"/>
  <c r="K672" i="1" l="1"/>
  <c r="K673" i="1" s="1"/>
  <c r="G638" i="1"/>
  <c r="K805" i="1"/>
  <c r="K806" i="1" s="1"/>
  <c r="K837" i="1"/>
  <c r="K838" i="1" s="1"/>
  <c r="I754" i="1"/>
  <c r="J337" i="1"/>
  <c r="I337" i="1"/>
  <c r="H337" i="1"/>
  <c r="G337" i="1"/>
  <c r="J333" i="1"/>
  <c r="J332" i="1"/>
  <c r="J331" i="1"/>
  <c r="H331" i="1"/>
  <c r="F337" i="1"/>
  <c r="I333" i="1"/>
  <c r="I332" i="1"/>
  <c r="I331" i="1"/>
  <c r="H332" i="1"/>
  <c r="G333" i="1"/>
  <c r="G332" i="1"/>
  <c r="G331" i="1"/>
  <c r="F333" i="1"/>
  <c r="F332" i="1"/>
  <c r="F331" i="1"/>
  <c r="H333" i="1"/>
  <c r="K88" i="1"/>
  <c r="K1862" i="1" s="1"/>
  <c r="K608" i="1"/>
  <c r="K609" i="1" s="1"/>
  <c r="K790" i="1"/>
  <c r="K791" i="1" s="1"/>
  <c r="K823" i="1"/>
  <c r="K824" i="1" s="1"/>
  <c r="K29" i="1"/>
  <c r="K552" i="1" s="1"/>
  <c r="K679" i="1"/>
  <c r="K680" i="1" s="1"/>
  <c r="K759" i="1"/>
  <c r="K760" i="1" s="1"/>
  <c r="K904" i="1"/>
  <c r="K905" i="1" s="1"/>
  <c r="K892" i="1"/>
  <c r="K893" i="1" s="1"/>
  <c r="K831" i="1"/>
  <c r="K829" i="1" s="1"/>
  <c r="K795" i="1"/>
  <c r="K796" i="1" s="1"/>
  <c r="K800" i="1"/>
  <c r="K801" i="1" s="1"/>
  <c r="G612" i="1"/>
  <c r="K744" i="1"/>
  <c r="K745" i="1" s="1"/>
  <c r="K868" i="1"/>
  <c r="K869" i="1" s="1"/>
  <c r="K757" i="1"/>
  <c r="K758" i="1" s="1"/>
  <c r="K832" i="1"/>
  <c r="K833" i="1" s="1"/>
  <c r="K881" i="1"/>
  <c r="K882" i="1" s="1"/>
  <c r="I747" i="1"/>
  <c r="K81" i="1"/>
  <c r="K1593" i="1" s="1"/>
  <c r="K814" i="1"/>
  <c r="K815" i="1" s="1"/>
  <c r="K601" i="1"/>
  <c r="K602" i="1" s="1"/>
  <c r="G628" i="1"/>
  <c r="G637" i="1" s="1"/>
  <c r="K761" i="1"/>
  <c r="K711" i="1"/>
  <c r="K715" i="1" s="1"/>
  <c r="K712" i="1"/>
  <c r="K696" i="1"/>
  <c r="K695" i="1"/>
  <c r="K699" i="1" s="1"/>
  <c r="K380" i="1"/>
  <c r="B370" i="1" s="1"/>
  <c r="K563" i="1"/>
  <c r="K567" i="1" s="1"/>
  <c r="K314" i="8"/>
  <c r="K313" i="8" s="1"/>
  <c r="K304" i="8"/>
  <c r="K303" i="8" s="1"/>
  <c r="K51" i="8"/>
  <c r="K50" i="8" s="1"/>
  <c r="K164" i="8"/>
  <c r="K163" i="8" s="1"/>
  <c r="K156" i="8"/>
  <c r="K155" i="8" s="1"/>
  <c r="K80" i="8"/>
  <c r="K79" i="8" s="1"/>
  <c r="K312" i="8"/>
  <c r="K311" i="8" s="1"/>
  <c r="K284" i="8"/>
  <c r="K283" i="8" s="1"/>
  <c r="K96" i="8"/>
  <c r="K95" i="8" s="1"/>
  <c r="K34" i="8"/>
  <c r="K454" i="8"/>
  <c r="K453" i="8" s="1"/>
  <c r="K113" i="8"/>
  <c r="K112" i="8" s="1"/>
  <c r="K94" i="8"/>
  <c r="K93" i="8" s="1"/>
  <c r="K92" i="8"/>
  <c r="K91" i="8" s="1"/>
  <c r="K158" i="8"/>
  <c r="K157" i="8" s="1"/>
  <c r="J748" i="1"/>
  <c r="J454" i="8"/>
  <c r="J453" i="8" s="1"/>
  <c r="K1863" i="1"/>
  <c r="K725" i="1"/>
  <c r="K742" i="1"/>
  <c r="K743" i="1" s="1"/>
  <c r="I718" i="1"/>
  <c r="I719" i="1"/>
  <c r="I610" i="1"/>
  <c r="J607" i="1"/>
  <c r="K607" i="1" s="1"/>
  <c r="K610" i="1" s="1"/>
  <c r="H611" i="1"/>
  <c r="H628" i="1" s="1"/>
  <c r="H637" i="1" s="1"/>
  <c r="G538" i="1"/>
  <c r="G259" i="7" s="1"/>
  <c r="G629" i="1"/>
  <c r="H712" i="1"/>
  <c r="H711" i="1"/>
  <c r="H715" i="1" s="1"/>
  <c r="F632" i="1"/>
  <c r="F633" i="1" s="1"/>
  <c r="M709" i="1"/>
  <c r="F764" i="1"/>
  <c r="F765" i="1" s="1"/>
  <c r="J758" i="1"/>
  <c r="J771" i="1" s="1"/>
  <c r="J863" i="1" s="1"/>
  <c r="J445" i="7" s="1"/>
  <c r="I711" i="1"/>
  <c r="I715" i="1" s="1"/>
  <c r="I712" i="1"/>
  <c r="F712" i="1"/>
  <c r="F711" i="1"/>
  <c r="F714" i="1"/>
  <c r="G714" i="1" s="1"/>
  <c r="H714" i="1" s="1"/>
  <c r="I714" i="1" s="1"/>
  <c r="J714" i="1" s="1"/>
  <c r="K714" i="1" s="1"/>
  <c r="M710" i="1"/>
  <c r="I761" i="1"/>
  <c r="I772" i="1" s="1"/>
  <c r="G712" i="1"/>
  <c r="G711" i="1"/>
  <c r="G715" i="1" s="1"/>
  <c r="J712" i="1"/>
  <c r="J711" i="1"/>
  <c r="J715" i="1" s="1"/>
  <c r="P796" i="7"/>
  <c r="B187" i="7"/>
  <c r="B462" i="1"/>
  <c r="G933" i="1"/>
  <c r="G510" i="7" s="1"/>
  <c r="S159" i="7"/>
  <c r="H449" i="7"/>
  <c r="H870" i="1"/>
  <c r="H452" i="7" s="1"/>
  <c r="I867" i="1"/>
  <c r="J600" i="1"/>
  <c r="K600" i="1" s="1"/>
  <c r="K603" i="1" s="1"/>
  <c r="I603" i="1"/>
  <c r="I604" i="1" s="1"/>
  <c r="I606" i="1" s="1"/>
  <c r="H473" i="7"/>
  <c r="I891" i="1"/>
  <c r="H932" i="1"/>
  <c r="H509" i="7" s="1"/>
  <c r="H894" i="1"/>
  <c r="H462" i="7"/>
  <c r="I880" i="1"/>
  <c r="H883" i="1"/>
  <c r="H465" i="7" s="1"/>
  <c r="G1270" i="1"/>
  <c r="G796" i="7" s="1"/>
  <c r="G117" i="1"/>
  <c r="F648" i="1"/>
  <c r="F370" i="7" s="1"/>
  <c r="G651" i="1"/>
  <c r="G373" i="7" s="1"/>
  <c r="I704" i="1"/>
  <c r="I697" i="1"/>
  <c r="G1810" i="1"/>
  <c r="M223" i="7"/>
  <c r="J747" i="1"/>
  <c r="M494" i="1"/>
  <c r="S215" i="7" s="1"/>
  <c r="F1071" i="7"/>
  <c r="J754" i="1"/>
  <c r="I694" i="1"/>
  <c r="I695" i="1" s="1"/>
  <c r="H408" i="7"/>
  <c r="J56" i="7"/>
  <c r="M408" i="7"/>
  <c r="K408" i="7"/>
  <c r="O408" i="7"/>
  <c r="Q796" i="7"/>
  <c r="F538" i="1"/>
  <c r="M796" i="7"/>
  <c r="H1270" i="1"/>
  <c r="H117" i="1"/>
  <c r="N796" i="7"/>
  <c r="Q82" i="7"/>
  <c r="N210" i="7"/>
  <c r="N56" i="7"/>
  <c r="K259" i="7"/>
  <c r="F293" i="7"/>
  <c r="J1270" i="1"/>
  <c r="M519" i="1"/>
  <c r="S240" i="7" s="1"/>
  <c r="M437" i="1"/>
  <c r="S158" i="7" s="1"/>
  <c r="J117" i="1"/>
  <c r="F117" i="1"/>
  <c r="F1270" i="1"/>
  <c r="F796" i="7" s="1"/>
  <c r="I1270" i="1"/>
  <c r="N217" i="7"/>
  <c r="I117" i="1"/>
  <c r="M496" i="1"/>
  <c r="S217" i="7" s="1"/>
  <c r="M507" i="1"/>
  <c r="S228" i="7" s="1"/>
  <c r="I217" i="7"/>
  <c r="G86" i="8"/>
  <c r="F626" i="1"/>
  <c r="F643" i="1" s="1"/>
  <c r="Q210" i="7"/>
  <c r="H73" i="8"/>
  <c r="F624" i="1"/>
  <c r="F641" i="1" s="1"/>
  <c r="F297" i="7"/>
  <c r="C1023" i="7"/>
  <c r="H294" i="7"/>
  <c r="H619" i="1"/>
  <c r="G623" i="1"/>
  <c r="G619" i="1"/>
  <c r="F933" i="1"/>
  <c r="F510" i="7" s="1"/>
  <c r="G294" i="7"/>
  <c r="H623" i="1"/>
  <c r="F1117" i="1"/>
  <c r="F104" i="8" s="1"/>
  <c r="G1059" i="1"/>
  <c r="G634" i="7" s="1"/>
  <c r="G623" i="7"/>
  <c r="F631" i="7"/>
  <c r="F1062" i="1"/>
  <c r="F637" i="7" s="1"/>
  <c r="F1212" i="1"/>
  <c r="F1147" i="1" s="1"/>
  <c r="G627" i="7"/>
  <c r="H1048" i="1"/>
  <c r="H623" i="7" s="1"/>
  <c r="G1056" i="1"/>
  <c r="G1257" i="1" s="1"/>
  <c r="G280" i="8" s="1"/>
  <c r="F702" i="1"/>
  <c r="F703" i="1"/>
  <c r="F747" i="1"/>
  <c r="F752" i="1"/>
  <c r="F753" i="1" s="1"/>
  <c r="G302" i="7"/>
  <c r="H303" i="7"/>
  <c r="G303" i="7"/>
  <c r="I82" i="7"/>
  <c r="I502" i="1"/>
  <c r="H1052" i="1"/>
  <c r="H1059" i="1" s="1"/>
  <c r="H634" i="7" s="1"/>
  <c r="G326" i="7"/>
  <c r="H325" i="7"/>
  <c r="J1050" i="1"/>
  <c r="G312" i="7"/>
  <c r="M532" i="1"/>
  <c r="S253" i="7" s="1"/>
  <c r="B355" i="1"/>
  <c r="B85" i="7" s="1"/>
  <c r="I771" i="1"/>
  <c r="I863" i="1" s="1"/>
  <c r="I445" i="7" s="1"/>
  <c r="G334" i="7"/>
  <c r="H350" i="7"/>
  <c r="H313" i="7"/>
  <c r="J1594" i="1"/>
  <c r="H349" i="7"/>
  <c r="G330" i="7"/>
  <c r="I572" i="1"/>
  <c r="F502" i="1"/>
  <c r="F495" i="1" s="1"/>
  <c r="G317" i="7"/>
  <c r="G349" i="7"/>
  <c r="H390" i="7"/>
  <c r="H393" i="7"/>
  <c r="G342" i="7"/>
  <c r="G343" i="7"/>
  <c r="I1049" i="1"/>
  <c r="I1047" i="1" s="1"/>
  <c r="H1047" i="1"/>
  <c r="H622" i="7" s="1"/>
  <c r="I158" i="7"/>
  <c r="I538" i="1"/>
  <c r="J550" i="1"/>
  <c r="J560" i="1" s="1"/>
  <c r="K551" i="1" s="1"/>
  <c r="H56" i="7"/>
  <c r="H489" i="1"/>
  <c r="H210" i="7" s="1"/>
  <c r="P82" i="7"/>
  <c r="J82" i="7"/>
  <c r="J502" i="1"/>
  <c r="H502" i="1"/>
  <c r="H82" i="7"/>
  <c r="P56" i="7"/>
  <c r="P210" i="7"/>
  <c r="M509" i="1"/>
  <c r="S230" i="7" s="1"/>
  <c r="M662" i="1"/>
  <c r="S408" i="7" s="1"/>
  <c r="O158" i="7"/>
  <c r="O259" i="7"/>
  <c r="G82" i="7"/>
  <c r="G502" i="1"/>
  <c r="K82" i="7"/>
  <c r="L105" i="7"/>
  <c r="L236" i="7"/>
  <c r="F105" i="7"/>
  <c r="F515" i="1"/>
  <c r="F236" i="7" s="1"/>
  <c r="L56" i="7"/>
  <c r="P105" i="7"/>
  <c r="P236" i="7"/>
  <c r="G109" i="7"/>
  <c r="H403" i="1"/>
  <c r="B402" i="1"/>
  <c r="B108" i="7" s="1"/>
  <c r="S107" i="7"/>
  <c r="O105" i="7"/>
  <c r="H105" i="7"/>
  <c r="H515" i="1"/>
  <c r="H236" i="7" s="1"/>
  <c r="J105" i="7"/>
  <c r="J515" i="1"/>
  <c r="J236" i="7" s="1"/>
  <c r="O82" i="7"/>
  <c r="K105" i="7"/>
  <c r="L82" i="7"/>
  <c r="B188" i="7"/>
  <c r="B469" i="1"/>
  <c r="P957" i="7" s="1"/>
  <c r="G515" i="1"/>
  <c r="M399" i="1"/>
  <c r="S105" i="7" s="1"/>
  <c r="G105" i="7"/>
  <c r="N105" i="7"/>
  <c r="N236" i="7"/>
  <c r="G408" i="7"/>
  <c r="G690" i="1"/>
  <c r="G692" i="1" s="1"/>
  <c r="G746" i="1"/>
  <c r="G747" i="1" s="1"/>
  <c r="I290" i="1"/>
  <c r="H41" i="7"/>
  <c r="G385" i="7"/>
  <c r="G382" i="7"/>
  <c r="F933" i="8"/>
  <c r="F759" i="8"/>
  <c r="F907" i="8"/>
  <c r="F82" i="7"/>
  <c r="M352" i="1"/>
  <c r="S82" i="7" s="1"/>
  <c r="G356" i="1"/>
  <c r="F86" i="7"/>
  <c r="F760" i="8"/>
  <c r="F934" i="8"/>
  <c r="F830" i="8"/>
  <c r="F931" i="8"/>
  <c r="I317" i="7"/>
  <c r="I310" i="7"/>
  <c r="I326" i="7"/>
  <c r="I334" i="7"/>
  <c r="J423" i="1"/>
  <c r="K423" i="1" s="1"/>
  <c r="I129" i="7"/>
  <c r="H309" i="7"/>
  <c r="I349" i="7"/>
  <c r="H356" i="7"/>
  <c r="H261" i="1"/>
  <c r="H262" i="1" s="1"/>
  <c r="H258" i="1" s="1"/>
  <c r="J311" i="8"/>
  <c r="J163" i="8"/>
  <c r="J313" i="8"/>
  <c r="J50" i="8"/>
  <c r="I411" i="7"/>
  <c r="I410" i="7"/>
  <c r="F412" i="7"/>
  <c r="S412" i="7"/>
  <c r="F411" i="7"/>
  <c r="S411" i="7"/>
  <c r="J997" i="7"/>
  <c r="J1593" i="1"/>
  <c r="J998" i="7" s="1"/>
  <c r="I260" i="1"/>
  <c r="H410" i="7"/>
  <c r="H397" i="7"/>
  <c r="H394" i="7"/>
  <c r="G830" i="8"/>
  <c r="G931" i="8"/>
  <c r="J606" i="7"/>
  <c r="I617" i="7"/>
  <c r="J1042" i="1"/>
  <c r="K1042" i="1" s="1"/>
  <c r="J274" i="1"/>
  <c r="F748" i="1"/>
  <c r="F754" i="1"/>
  <c r="G434" i="7"/>
  <c r="G435" i="7"/>
  <c r="I564" i="1"/>
  <c r="I578" i="1" s="1"/>
  <c r="I566" i="1"/>
  <c r="I580" i="1" s="1"/>
  <c r="H574" i="1"/>
  <c r="H124" i="1" s="1"/>
  <c r="H572" i="1"/>
  <c r="J486" i="7"/>
  <c r="J905" i="1"/>
  <c r="J487" i="7" s="1"/>
  <c r="J463" i="7"/>
  <c r="J882" i="1"/>
  <c r="J464" i="7" s="1"/>
  <c r="J450" i="7"/>
  <c r="J869" i="1"/>
  <c r="J451" i="7" s="1"/>
  <c r="G760" i="8"/>
  <c r="G934" i="8"/>
  <c r="I393" i="7"/>
  <c r="I390" i="7"/>
  <c r="J155" i="8"/>
  <c r="J283" i="8"/>
  <c r="J157" i="8"/>
  <c r="H651" i="1"/>
  <c r="F693" i="1"/>
  <c r="F694" i="1"/>
  <c r="F697" i="1"/>
  <c r="F704" i="1"/>
  <c r="H693" i="1"/>
  <c r="H697" i="1"/>
  <c r="H694" i="1"/>
  <c r="H704" i="1"/>
  <c r="I412" i="7"/>
  <c r="F410" i="7"/>
  <c r="S410" i="7"/>
  <c r="F377" i="7"/>
  <c r="F374" i="7"/>
  <c r="G381" i="7"/>
  <c r="G378" i="7"/>
  <c r="G933" i="8"/>
  <c r="G907" i="8"/>
  <c r="G759" i="8"/>
  <c r="J26" i="7"/>
  <c r="J30" i="1"/>
  <c r="J27" i="7" s="1"/>
  <c r="J552" i="1"/>
  <c r="J553" i="1"/>
  <c r="J561" i="1"/>
  <c r="J576" i="1" s="1"/>
  <c r="J1680" i="1"/>
  <c r="J1607" i="1"/>
  <c r="J1012" i="7" s="1"/>
  <c r="H412" i="7"/>
  <c r="H411" i="7"/>
  <c r="G436" i="7"/>
  <c r="J485" i="7"/>
  <c r="H611" i="7"/>
  <c r="H1033" i="1"/>
  <c r="H608" i="7" s="1"/>
  <c r="I609" i="7"/>
  <c r="J1034" i="1"/>
  <c r="K1034" i="1" s="1"/>
  <c r="I1035" i="1"/>
  <c r="I1036" i="1"/>
  <c r="G608" i="7"/>
  <c r="I565" i="1"/>
  <c r="J817" i="8"/>
  <c r="J66" i="8"/>
  <c r="J918" i="8"/>
  <c r="J122" i="8"/>
  <c r="J742" i="8"/>
  <c r="J435" i="8"/>
  <c r="J890" i="8"/>
  <c r="J39" i="8"/>
  <c r="J265" i="8"/>
  <c r="J667" i="8"/>
  <c r="J564" i="8"/>
  <c r="J474" i="7"/>
  <c r="J893" i="1"/>
  <c r="J475" i="7" s="1"/>
  <c r="J203" i="1"/>
  <c r="G389" i="7"/>
  <c r="G386" i="7"/>
  <c r="G771" i="1"/>
  <c r="G863" i="1" s="1"/>
  <c r="G445" i="7" s="1"/>
  <c r="I351" i="7"/>
  <c r="I434" i="7"/>
  <c r="I436" i="7"/>
  <c r="I435" i="7"/>
  <c r="H435" i="7"/>
  <c r="H434" i="7"/>
  <c r="F436" i="7"/>
  <c r="S436" i="7"/>
  <c r="F434" i="7"/>
  <c r="S434" i="7"/>
  <c r="I620" i="1"/>
  <c r="H771" i="1"/>
  <c r="H863" i="1" s="1"/>
  <c r="H445" i="7" s="1"/>
  <c r="H436" i="7"/>
  <c r="F401" i="7"/>
  <c r="F398" i="7"/>
  <c r="F771" i="1"/>
  <c r="F863" i="1" s="1"/>
  <c r="F445" i="7" s="1"/>
  <c r="F435" i="7"/>
  <c r="S435" i="7"/>
  <c r="I311" i="7"/>
  <c r="I319" i="7"/>
  <c r="I327" i="7"/>
  <c r="I335" i="7"/>
  <c r="H342" i="7"/>
  <c r="H249" i="1"/>
  <c r="I252" i="1" s="1"/>
  <c r="I253" i="1" s="1"/>
  <c r="G316" i="7"/>
  <c r="F343" i="7"/>
  <c r="H301" i="7"/>
  <c r="I240" i="1"/>
  <c r="J243" i="1" s="1"/>
  <c r="J244" i="1" s="1"/>
  <c r="I819" i="8"/>
  <c r="I820" i="8" s="1"/>
  <c r="J669" i="8"/>
  <c r="K669" i="8" s="1"/>
  <c r="I670" i="8"/>
  <c r="I744" i="8"/>
  <c r="I745" i="8" s="1"/>
  <c r="I892" i="8"/>
  <c r="I893" i="8" s="1"/>
  <c r="H749" i="8"/>
  <c r="G750" i="8"/>
  <c r="H751" i="8" s="1"/>
  <c r="I28" i="7"/>
  <c r="J31" i="1"/>
  <c r="K31" i="1" s="1"/>
  <c r="I32" i="1"/>
  <c r="F259" i="7"/>
  <c r="I561" i="1"/>
  <c r="I576" i="1" s="1"/>
  <c r="I552" i="1"/>
  <c r="J563" i="1"/>
  <c r="K565" i="1" s="1"/>
  <c r="J551" i="1"/>
  <c r="K550" i="1" s="1"/>
  <c r="K560" i="1" s="1"/>
  <c r="G295" i="7"/>
  <c r="G329" i="7"/>
  <c r="H332" i="7"/>
  <c r="F342" i="7"/>
  <c r="H295" i="7"/>
  <c r="H314" i="7"/>
  <c r="I895" i="8"/>
  <c r="H896" i="8"/>
  <c r="H789" i="7"/>
  <c r="H289" i="8"/>
  <c r="I629" i="7"/>
  <c r="I1277" i="1"/>
  <c r="I316" i="8" s="1"/>
  <c r="I1113" i="1"/>
  <c r="I98" i="8" s="1"/>
  <c r="I202" i="7"/>
  <c r="I1099" i="1"/>
  <c r="I72" i="8" s="1"/>
  <c r="I1264" i="1"/>
  <c r="I292" i="8" s="1"/>
  <c r="J531" i="1"/>
  <c r="J473" i="1"/>
  <c r="J481" i="1"/>
  <c r="J508" i="1"/>
  <c r="J520" i="1"/>
  <c r="J1007" i="1"/>
  <c r="J1425" i="1" s="1"/>
  <c r="J501" i="8" s="1"/>
  <c r="J1054" i="1"/>
  <c r="J1857" i="1"/>
  <c r="J1861" i="1"/>
  <c r="J1863" i="1"/>
  <c r="J1055" i="1"/>
  <c r="J1061" i="1"/>
  <c r="J1856" i="1"/>
  <c r="J1858" i="1"/>
  <c r="J1862" i="1"/>
  <c r="H792" i="7"/>
  <c r="I1425" i="1"/>
  <c r="I501" i="8" s="1"/>
  <c r="H955" i="7"/>
  <c r="H500" i="8"/>
  <c r="H949" i="7"/>
  <c r="H490" i="8"/>
  <c r="H267" i="1"/>
  <c r="I269" i="1" s="1"/>
  <c r="I270" i="1" s="1"/>
  <c r="G337" i="7"/>
  <c r="G338" i="7"/>
  <c r="H340" i="7"/>
  <c r="I324" i="7"/>
  <c r="I325" i="7"/>
  <c r="J693" i="1"/>
  <c r="J694" i="1"/>
  <c r="J697" i="1"/>
  <c r="J704" i="1"/>
  <c r="J676" i="1"/>
  <c r="G1071" i="7"/>
  <c r="H1809" i="1"/>
  <c r="G102" i="1"/>
  <c r="G231" i="1"/>
  <c r="G281" i="1"/>
  <c r="G32" i="7" s="1"/>
  <c r="G543" i="1"/>
  <c r="G583" i="1"/>
  <c r="G264" i="7" s="1"/>
  <c r="G591" i="1"/>
  <c r="G278" i="7" s="1"/>
  <c r="G598" i="1"/>
  <c r="G617" i="1"/>
  <c r="G291" i="7" s="1"/>
  <c r="G646" i="1"/>
  <c r="G368" i="7" s="1"/>
  <c r="G659" i="1"/>
  <c r="G405" i="7" s="1"/>
  <c r="G668" i="1"/>
  <c r="G687" i="1"/>
  <c r="G940" i="1"/>
  <c r="G517" i="7" s="1"/>
  <c r="G738" i="1"/>
  <c r="G783" i="1"/>
  <c r="G858" i="1"/>
  <c r="G440" i="7" s="1"/>
  <c r="G1005" i="1"/>
  <c r="G582" i="7" s="1"/>
  <c r="G1205" i="1"/>
  <c r="G1587" i="1"/>
  <c r="G992" i="7" s="1"/>
  <c r="G1660" i="1"/>
  <c r="G1733" i="1"/>
  <c r="G1830" i="1"/>
  <c r="G1028" i="1"/>
  <c r="G603" i="7" s="1"/>
  <c r="G1095" i="1"/>
  <c r="G1127" i="1"/>
  <c r="G669" i="7" s="1"/>
  <c r="G1249" i="1"/>
  <c r="G775" i="7" s="1"/>
  <c r="G1389" i="1"/>
  <c r="G919" i="7" s="1"/>
  <c r="G1484" i="1"/>
  <c r="G964" i="7" s="1"/>
  <c r="G1804" i="1"/>
  <c r="G1066" i="7" s="1"/>
  <c r="G1881" i="1"/>
  <c r="G1092" i="7" s="1"/>
  <c r="K144" i="7"/>
  <c r="G161" i="7"/>
  <c r="H440" i="1"/>
  <c r="F354" i="7"/>
  <c r="J749" i="1"/>
  <c r="H305" i="7"/>
  <c r="H337" i="7"/>
  <c r="H338" i="7"/>
  <c r="G345" i="7"/>
  <c r="J929" i="7"/>
  <c r="I1069" i="7"/>
  <c r="J1807" i="1"/>
  <c r="K1807" i="1" s="1"/>
  <c r="K1808" i="1" s="1"/>
  <c r="I1808" i="1"/>
  <c r="I1070" i="7" s="1"/>
  <c r="G897" i="8"/>
  <c r="H794" i="7"/>
  <c r="H793" i="7"/>
  <c r="N216" i="7"/>
  <c r="F314" i="7"/>
  <c r="F330" i="7"/>
  <c r="I950" i="7"/>
  <c r="I492" i="8"/>
  <c r="J1420" i="1"/>
  <c r="F355" i="7"/>
  <c r="H29" i="7"/>
  <c r="H75" i="1"/>
  <c r="G289" i="8"/>
  <c r="H822" i="8"/>
  <c r="G823" i="8"/>
  <c r="H824" i="8" s="1"/>
  <c r="G314" i="7"/>
  <c r="F356" i="7"/>
  <c r="H329" i="7"/>
  <c r="H330" i="7"/>
  <c r="G633" i="7"/>
  <c r="I584" i="7"/>
  <c r="I1274" i="1"/>
  <c r="I310" i="8" s="1"/>
  <c r="I1109" i="1"/>
  <c r="I90" i="8" s="1"/>
  <c r="I636" i="7"/>
  <c r="I1419" i="1"/>
  <c r="I491" i="8" s="1"/>
  <c r="I630" i="7"/>
  <c r="I1120" i="1"/>
  <c r="I110" i="8" s="1"/>
  <c r="I1278" i="1"/>
  <c r="I318" i="8" s="1"/>
  <c r="I252" i="7"/>
  <c r="I1268" i="1"/>
  <c r="I300" i="8" s="1"/>
  <c r="I1104" i="1"/>
  <c r="I82" i="8" s="1"/>
  <c r="I229" i="7"/>
  <c r="I1101" i="1"/>
  <c r="I76" i="8" s="1"/>
  <c r="I1266" i="1"/>
  <c r="I296" i="8" s="1"/>
  <c r="I194" i="7"/>
  <c r="I1100" i="1"/>
  <c r="I74" i="8" s="1"/>
  <c r="I1263" i="1"/>
  <c r="I290" i="8" s="1"/>
  <c r="H800" i="7"/>
  <c r="H1744" i="1"/>
  <c r="H1894" i="1"/>
  <c r="H1107" i="1"/>
  <c r="H87" i="8" s="1"/>
  <c r="H804" i="7"/>
  <c r="H1676" i="1"/>
  <c r="H1897" i="1"/>
  <c r="O796" i="7"/>
  <c r="H324" i="7"/>
  <c r="H353" i="7"/>
  <c r="H354" i="7"/>
  <c r="F308" i="7"/>
  <c r="F316" i="7"/>
  <c r="F324" i="7"/>
  <c r="F332" i="7"/>
  <c r="F340" i="7"/>
  <c r="F783" i="7"/>
  <c r="F280" i="8"/>
  <c r="F1598" i="1"/>
  <c r="F1742" i="1"/>
  <c r="F1898" i="1"/>
  <c r="G635" i="7"/>
  <c r="G1062" i="1"/>
  <c r="J1665" i="1"/>
  <c r="K1665" i="1" s="1"/>
  <c r="K1666" i="1" s="1"/>
  <c r="I1666" i="1"/>
  <c r="J1667" i="1" s="1"/>
  <c r="J1736" i="1"/>
  <c r="K1736" i="1" s="1"/>
  <c r="K1737" i="1" s="1"/>
  <c r="I1737" i="1"/>
  <c r="J1738" i="1" s="1"/>
  <c r="J1870" i="1"/>
  <c r="K1870" i="1" s="1"/>
  <c r="K1871" i="1" s="1"/>
  <c r="I1871" i="1"/>
  <c r="I1872" i="1" s="1"/>
  <c r="G73" i="8"/>
  <c r="J162" i="1"/>
  <c r="H321" i="7"/>
  <c r="H322" i="7"/>
  <c r="G898" i="8"/>
  <c r="I674" i="8"/>
  <c r="H675" i="8"/>
  <c r="I676" i="8" s="1"/>
  <c r="H790" i="7"/>
  <c r="H803" i="7"/>
  <c r="H1896" i="1"/>
  <c r="H1675" i="1"/>
  <c r="H1819" i="1"/>
  <c r="L796" i="7"/>
  <c r="F306" i="7"/>
  <c r="F322" i="7"/>
  <c r="F338" i="7"/>
  <c r="G1072" i="7"/>
  <c r="H1810" i="1"/>
  <c r="G627" i="1" l="1"/>
  <c r="G636" i="1" s="1"/>
  <c r="G907" i="1"/>
  <c r="F911" i="1"/>
  <c r="G631" i="1"/>
  <c r="G632" i="1" s="1"/>
  <c r="G648" i="1"/>
  <c r="G370" i="7" s="1"/>
  <c r="K553" i="1"/>
  <c r="K333" i="1"/>
  <c r="K337" i="1"/>
  <c r="M337" i="1" s="1"/>
  <c r="G923" i="1"/>
  <c r="I605" i="1"/>
  <c r="I621" i="1" s="1"/>
  <c r="K1055" i="1"/>
  <c r="K1120" i="1" s="1"/>
  <c r="K110" i="8" s="1"/>
  <c r="K109" i="8" s="1"/>
  <c r="K1061" i="1"/>
  <c r="K1419" i="1" s="1"/>
  <c r="K491" i="8" s="1"/>
  <c r="K490" i="8" s="1"/>
  <c r="K508" i="1"/>
  <c r="K1266" i="1" s="1"/>
  <c r="K296" i="8" s="1"/>
  <c r="K295" i="8" s="1"/>
  <c r="K520" i="1"/>
  <c r="K844" i="1"/>
  <c r="K850" i="1" s="1"/>
  <c r="K889" i="1" s="1"/>
  <c r="K722" i="1"/>
  <c r="K862" i="1" s="1"/>
  <c r="K726" i="1"/>
  <c r="K120" i="1" s="1"/>
  <c r="K1054" i="1"/>
  <c r="K1113" i="1" s="1"/>
  <c r="K98" i="8" s="1"/>
  <c r="K97" i="8" s="1"/>
  <c r="K771" i="1"/>
  <c r="K863" i="1" s="1"/>
  <c r="K730" i="1"/>
  <c r="K842" i="1"/>
  <c r="K864" i="1" s="1"/>
  <c r="K1856" i="1"/>
  <c r="K531" i="1"/>
  <c r="K1104" i="1" s="1"/>
  <c r="K82" i="8" s="1"/>
  <c r="K81" i="8" s="1"/>
  <c r="K574" i="1"/>
  <c r="K124" i="1" s="1"/>
  <c r="K473" i="1"/>
  <c r="K1857" i="1"/>
  <c r="K572" i="1"/>
  <c r="K1265" i="1" s="1"/>
  <c r="K294" i="8" s="1"/>
  <c r="K293" i="8" s="1"/>
  <c r="K723" i="1"/>
  <c r="K481" i="1"/>
  <c r="K1264" i="1" s="1"/>
  <c r="K292" i="8" s="1"/>
  <c r="K291" i="8" s="1"/>
  <c r="K1858" i="1"/>
  <c r="K729" i="1"/>
  <c r="K1252" i="1" s="1"/>
  <c r="K270" i="8" s="1"/>
  <c r="K269" i="8" s="1"/>
  <c r="K724" i="1"/>
  <c r="K108" i="1" s="1"/>
  <c r="K983" i="1" s="1"/>
  <c r="K727" i="1"/>
  <c r="K945" i="1" s="1"/>
  <c r="K1861" i="1"/>
  <c r="K845" i="1"/>
  <c r="K899" i="1" s="1"/>
  <c r="K1007" i="1"/>
  <c r="K1274" i="1" s="1"/>
  <c r="K735" i="1"/>
  <c r="K332" i="1"/>
  <c r="F298" i="7"/>
  <c r="G624" i="1"/>
  <c r="F325" i="1"/>
  <c r="F324" i="1"/>
  <c r="K331" i="1"/>
  <c r="G297" i="7"/>
  <c r="K561" i="1"/>
  <c r="K576" i="1" s="1"/>
  <c r="K30" i="1"/>
  <c r="F923" i="1"/>
  <c r="F500" i="7" s="1"/>
  <c r="J387" i="1"/>
  <c r="H381" i="1"/>
  <c r="I387" i="1"/>
  <c r="J383" i="1"/>
  <c r="F383" i="1"/>
  <c r="F387" i="1"/>
  <c r="J381" i="1"/>
  <c r="I382" i="1"/>
  <c r="I383" i="1"/>
  <c r="H387" i="1"/>
  <c r="G381" i="1"/>
  <c r="G382" i="1"/>
  <c r="I381" i="1"/>
  <c r="H382" i="1"/>
  <c r="H383" i="1"/>
  <c r="G387" i="1"/>
  <c r="F381" i="1"/>
  <c r="F375" i="1" s="1"/>
  <c r="F382" i="1"/>
  <c r="J382" i="1"/>
  <c r="G383" i="1"/>
  <c r="K562" i="1"/>
  <c r="K577" i="1" s="1"/>
  <c r="K579" i="1"/>
  <c r="K611" i="1"/>
  <c r="K613" i="1" s="1"/>
  <c r="K387" i="1"/>
  <c r="K383" i="1"/>
  <c r="K382" i="1"/>
  <c r="K381" i="1"/>
  <c r="K564" i="1"/>
  <c r="K578" i="1" s="1"/>
  <c r="G304" i="8"/>
  <c r="G303" i="8" s="1"/>
  <c r="K566" i="1"/>
  <c r="K580" i="1" s="1"/>
  <c r="K763" i="1"/>
  <c r="K764" i="1" s="1"/>
  <c r="K769" i="1"/>
  <c r="K1420" i="1"/>
  <c r="K493" i="8" s="1"/>
  <c r="K492" i="8" s="1"/>
  <c r="J493" i="8"/>
  <c r="J492" i="8" s="1"/>
  <c r="K819" i="8"/>
  <c r="K820" i="8" s="1"/>
  <c r="K744" i="8"/>
  <c r="K745" i="8" s="1"/>
  <c r="K670" i="8"/>
  <c r="K892" i="8"/>
  <c r="K893" i="8" s="1"/>
  <c r="J304" i="8"/>
  <c r="J303" i="8" s="1"/>
  <c r="K604" i="1"/>
  <c r="K620" i="1" s="1"/>
  <c r="K762" i="1"/>
  <c r="K32" i="1"/>
  <c r="J999" i="7"/>
  <c r="K1594" i="1"/>
  <c r="J625" i="7"/>
  <c r="K1050" i="1"/>
  <c r="G633" i="1"/>
  <c r="I796" i="7"/>
  <c r="I304" i="8"/>
  <c r="I303" i="8" s="1"/>
  <c r="H304" i="8"/>
  <c r="H303" i="8" s="1"/>
  <c r="B183" i="7"/>
  <c r="K1427" i="1"/>
  <c r="K505" i="8" s="1"/>
  <c r="K504" i="8" s="1"/>
  <c r="I767" i="1"/>
  <c r="I768" i="1" s="1"/>
  <c r="K758" i="8"/>
  <c r="K831" i="8"/>
  <c r="K1036" i="1"/>
  <c r="K1035" i="1"/>
  <c r="H613" i="1"/>
  <c r="H627" i="1" s="1"/>
  <c r="H636" i="1" s="1"/>
  <c r="K746" i="1"/>
  <c r="K1267" i="1"/>
  <c r="K298" i="8" s="1"/>
  <c r="K297" i="8" s="1"/>
  <c r="K1102" i="1"/>
  <c r="K78" i="8" s="1"/>
  <c r="K77" i="8" s="1"/>
  <c r="K1263" i="1"/>
  <c r="K1100" i="1"/>
  <c r="K74" i="8" s="1"/>
  <c r="K73" i="8" s="1"/>
  <c r="G765" i="1"/>
  <c r="K1277" i="1"/>
  <c r="H612" i="1"/>
  <c r="H765" i="1"/>
  <c r="I762" i="1"/>
  <c r="I773" i="1" s="1"/>
  <c r="G766" i="1"/>
  <c r="F766" i="1"/>
  <c r="J718" i="1"/>
  <c r="J719" i="1"/>
  <c r="F715" i="1"/>
  <c r="I717" i="1" s="1"/>
  <c r="M711" i="1"/>
  <c r="I769" i="1"/>
  <c r="I780" i="1" s="1"/>
  <c r="I763" i="1"/>
  <c r="M712" i="1"/>
  <c r="H766" i="1"/>
  <c r="J610" i="1"/>
  <c r="H631" i="1"/>
  <c r="H640" i="1" s="1"/>
  <c r="I611" i="1"/>
  <c r="I628" i="1" s="1"/>
  <c r="I637" i="1" s="1"/>
  <c r="H629" i="1"/>
  <c r="H638" i="1" s="1"/>
  <c r="J761" i="1"/>
  <c r="I696" i="1"/>
  <c r="F625" i="1"/>
  <c r="F642" i="1" s="1"/>
  <c r="J603" i="1"/>
  <c r="J604" i="1" s="1"/>
  <c r="J605" i="1" s="1"/>
  <c r="I462" i="7"/>
  <c r="J880" i="1"/>
  <c r="K880" i="1" s="1"/>
  <c r="K883" i="1" s="1"/>
  <c r="I883" i="1"/>
  <c r="I465" i="7" s="1"/>
  <c r="J867" i="1"/>
  <c r="K867" i="1" s="1"/>
  <c r="I870" i="1"/>
  <c r="I452" i="7" s="1"/>
  <c r="I449" i="7"/>
  <c r="H476" i="7"/>
  <c r="H934" i="1"/>
  <c r="I473" i="7"/>
  <c r="J891" i="1"/>
  <c r="K891" i="1" s="1"/>
  <c r="I894" i="1"/>
  <c r="I932" i="1"/>
  <c r="H796" i="7"/>
  <c r="G626" i="1"/>
  <c r="F107" i="1"/>
  <c r="G148" i="1"/>
  <c r="G147" i="1" s="1"/>
  <c r="G878" i="1" s="1"/>
  <c r="K796" i="7"/>
  <c r="J796" i="7"/>
  <c r="F622" i="1"/>
  <c r="F639" i="1" s="1"/>
  <c r="F300" i="7"/>
  <c r="G1117" i="1"/>
  <c r="G104" i="8" s="1"/>
  <c r="F1423" i="1"/>
  <c r="F953" i="7" s="1"/>
  <c r="G1212" i="1"/>
  <c r="G1147" i="1" s="1"/>
  <c r="M117" i="1"/>
  <c r="F304" i="8"/>
  <c r="F303" i="8" s="1"/>
  <c r="G702" i="1"/>
  <c r="M1270" i="1"/>
  <c r="S796" i="7" s="1"/>
  <c r="H125" i="1"/>
  <c r="F223" i="7"/>
  <c r="I73" i="8"/>
  <c r="H297" i="7"/>
  <c r="H293" i="7"/>
  <c r="I97" i="8"/>
  <c r="I71" i="8"/>
  <c r="I109" i="8"/>
  <c r="G625" i="1"/>
  <c r="I81" i="8"/>
  <c r="I75" i="8"/>
  <c r="H626" i="1"/>
  <c r="H624" i="1"/>
  <c r="G631" i="7"/>
  <c r="Q223" i="7"/>
  <c r="I294" i="7"/>
  <c r="I619" i="1"/>
  <c r="F1265" i="1"/>
  <c r="F294" i="8" s="1"/>
  <c r="I1265" i="1"/>
  <c r="I294" i="8" s="1"/>
  <c r="I350" i="7"/>
  <c r="I333" i="7"/>
  <c r="I1048" i="1"/>
  <c r="H1060" i="1"/>
  <c r="H1062" i="1" s="1"/>
  <c r="H627" i="7"/>
  <c r="G321" i="7"/>
  <c r="H1058" i="1"/>
  <c r="H633" i="7" s="1"/>
  <c r="J1049" i="1"/>
  <c r="K625" i="7"/>
  <c r="F773" i="1"/>
  <c r="F778" i="1"/>
  <c r="H306" i="7"/>
  <c r="H308" i="7"/>
  <c r="I303" i="7"/>
  <c r="I301" i="7"/>
  <c r="G301" i="7"/>
  <c r="I223" i="7"/>
  <c r="I495" i="1"/>
  <c r="I302" i="7"/>
  <c r="I624" i="7"/>
  <c r="I1052" i="1"/>
  <c r="I627" i="7" s="1"/>
  <c r="K999" i="7"/>
  <c r="G353" i="7"/>
  <c r="I340" i="7"/>
  <c r="I309" i="7"/>
  <c r="M538" i="1"/>
  <c r="S259" i="7" s="1"/>
  <c r="G703" i="1"/>
  <c r="H702" i="1" s="1"/>
  <c r="J125" i="1"/>
  <c r="G322" i="7"/>
  <c r="I722" i="1"/>
  <c r="I862" i="1" s="1"/>
  <c r="I444" i="7" s="1"/>
  <c r="H316" i="7"/>
  <c r="G313" i="7"/>
  <c r="I318" i="7"/>
  <c r="G305" i="7"/>
  <c r="H1265" i="1"/>
  <c r="H294" i="8" s="1"/>
  <c r="G308" i="7"/>
  <c r="H343" i="7"/>
  <c r="G341" i="7"/>
  <c r="I259" i="7"/>
  <c r="H898" i="8"/>
  <c r="G331" i="7"/>
  <c r="G354" i="7"/>
  <c r="I356" i="7"/>
  <c r="P223" i="7"/>
  <c r="J223" i="7"/>
  <c r="J495" i="1"/>
  <c r="J540" i="1" s="1"/>
  <c r="J261" i="7" s="1"/>
  <c r="H223" i="7"/>
  <c r="H495" i="1"/>
  <c r="G752" i="1"/>
  <c r="G753" i="1" s="1"/>
  <c r="H752" i="1" s="1"/>
  <c r="H1056" i="1"/>
  <c r="H631" i="7" s="1"/>
  <c r="I316" i="7"/>
  <c r="M502" i="1"/>
  <c r="S223" i="7" s="1"/>
  <c r="G223" i="7"/>
  <c r="G495" i="1"/>
  <c r="G1265" i="1"/>
  <c r="G294" i="8" s="1"/>
  <c r="K223" i="7"/>
  <c r="G236" i="7"/>
  <c r="M515" i="1"/>
  <c r="S236" i="7" s="1"/>
  <c r="G125" i="1"/>
  <c r="B190" i="7"/>
  <c r="N957" i="7"/>
  <c r="F1427" i="1"/>
  <c r="O957" i="7"/>
  <c r="G1427" i="1"/>
  <c r="G505" i="8" s="1"/>
  <c r="J1427" i="1"/>
  <c r="J505" i="8" s="1"/>
  <c r="I1427" i="1"/>
  <c r="I505" i="8" s="1"/>
  <c r="B470" i="1"/>
  <c r="L223" i="7"/>
  <c r="O223" i="7"/>
  <c r="H109" i="7"/>
  <c r="I403" i="1"/>
  <c r="L210" i="7"/>
  <c r="M957" i="7"/>
  <c r="H1427" i="1"/>
  <c r="H505" i="8" s="1"/>
  <c r="L957" i="7"/>
  <c r="K236" i="7"/>
  <c r="O236" i="7"/>
  <c r="G773" i="1"/>
  <c r="G323" i="7"/>
  <c r="G693" i="1"/>
  <c r="G697" i="1"/>
  <c r="G694" i="1"/>
  <c r="G704" i="1"/>
  <c r="G754" i="1"/>
  <c r="G748" i="1"/>
  <c r="G749" i="1" s="1"/>
  <c r="G86" i="7"/>
  <c r="H356" i="1"/>
  <c r="H385" i="7"/>
  <c r="H382" i="7"/>
  <c r="J290" i="1"/>
  <c r="K290" i="1" s="1"/>
  <c r="I41" i="7"/>
  <c r="I623" i="1"/>
  <c r="G339" i="7"/>
  <c r="I328" i="7"/>
  <c r="G293" i="7"/>
  <c r="G772" i="1"/>
  <c r="J129" i="7"/>
  <c r="H389" i="7"/>
  <c r="H386" i="7"/>
  <c r="K486" i="7"/>
  <c r="K487" i="7"/>
  <c r="K463" i="7"/>
  <c r="K464" i="7"/>
  <c r="K450" i="7"/>
  <c r="K451" i="7"/>
  <c r="I562" i="1"/>
  <c r="I577" i="1" s="1"/>
  <c r="I579" i="1"/>
  <c r="I610" i="7"/>
  <c r="K485" i="7"/>
  <c r="K26" i="7"/>
  <c r="K27" i="7"/>
  <c r="K1012" i="7"/>
  <c r="F695" i="1"/>
  <c r="F699" i="1" s="1"/>
  <c r="F696" i="1"/>
  <c r="F698" i="1"/>
  <c r="G722" i="1"/>
  <c r="G862" i="1" s="1"/>
  <c r="G444" i="7" s="1"/>
  <c r="F749" i="1"/>
  <c r="F750" i="1" s="1"/>
  <c r="J617" i="7"/>
  <c r="K606" i="7"/>
  <c r="I261" i="1"/>
  <c r="I262" i="1" s="1"/>
  <c r="I258" i="1" s="1"/>
  <c r="J831" i="8"/>
  <c r="J758" i="8"/>
  <c r="K474" i="7"/>
  <c r="K475" i="7"/>
  <c r="I611" i="7"/>
  <c r="I1033" i="1"/>
  <c r="I1056" i="1" s="1"/>
  <c r="J609" i="7"/>
  <c r="J1035" i="1"/>
  <c r="J610" i="7" s="1"/>
  <c r="J1036" i="1"/>
  <c r="H381" i="7"/>
  <c r="H378" i="7"/>
  <c r="G377" i="7"/>
  <c r="G374" i="7"/>
  <c r="H695" i="1"/>
  <c r="H699" i="1" s="1"/>
  <c r="H696" i="1"/>
  <c r="H373" i="7"/>
  <c r="H648" i="1"/>
  <c r="H370" i="7" s="1"/>
  <c r="I651" i="1"/>
  <c r="J393" i="7"/>
  <c r="J390" i="7"/>
  <c r="I397" i="7"/>
  <c r="I394" i="7"/>
  <c r="J260" i="1"/>
  <c r="K260" i="1" s="1"/>
  <c r="K997" i="7"/>
  <c r="K998" i="7"/>
  <c r="J324" i="7"/>
  <c r="J310" i="7"/>
  <c r="H897" i="8"/>
  <c r="G401" i="7"/>
  <c r="G398" i="7"/>
  <c r="F772" i="1"/>
  <c r="H780" i="1"/>
  <c r="H772" i="1"/>
  <c r="F722" i="1"/>
  <c r="F862" i="1" s="1"/>
  <c r="F444" i="7" s="1"/>
  <c r="H722" i="1"/>
  <c r="H862" i="1" s="1"/>
  <c r="H444" i="7" s="1"/>
  <c r="I332" i="7"/>
  <c r="G315" i="7"/>
  <c r="I336" i="7"/>
  <c r="H341" i="7"/>
  <c r="J240" i="1"/>
  <c r="K243" i="1" s="1"/>
  <c r="K244" i="1" s="1"/>
  <c r="K240" i="1" s="1"/>
  <c r="I249" i="1"/>
  <c r="J252" i="1" s="1"/>
  <c r="J253" i="1" s="1"/>
  <c r="F689" i="7"/>
  <c r="F160" i="8"/>
  <c r="H1072" i="7"/>
  <c r="I1810" i="1"/>
  <c r="J319" i="7"/>
  <c r="F299" i="7"/>
  <c r="I295" i="7"/>
  <c r="H1081" i="7"/>
  <c r="H315" i="8"/>
  <c r="H291" i="8"/>
  <c r="J1871" i="1"/>
  <c r="J1872" i="1" s="1"/>
  <c r="K1872" i="1" s="1"/>
  <c r="J1737" i="1"/>
  <c r="K1738" i="1" s="1"/>
  <c r="J1666" i="1"/>
  <c r="K1667" i="1" s="1"/>
  <c r="F1109" i="7"/>
  <c r="F1003" i="7"/>
  <c r="F336" i="7"/>
  <c r="F320" i="7"/>
  <c r="F304" i="7"/>
  <c r="J955" i="7"/>
  <c r="J500" i="8"/>
  <c r="H1105" i="7"/>
  <c r="H75" i="8"/>
  <c r="I789" i="7"/>
  <c r="I949" i="7"/>
  <c r="I490" i="8"/>
  <c r="I89" i="8"/>
  <c r="I1107" i="1"/>
  <c r="I87" i="8" s="1"/>
  <c r="G783" i="7"/>
  <c r="G279" i="8"/>
  <c r="G1598" i="1"/>
  <c r="G1003" i="7" s="1"/>
  <c r="G1742" i="1"/>
  <c r="G1898" i="1"/>
  <c r="G1109" i="7" s="1"/>
  <c r="F352" i="7"/>
  <c r="H823" i="8"/>
  <c r="I824" i="8" s="1"/>
  <c r="I822" i="8"/>
  <c r="J950" i="7"/>
  <c r="J326" i="7"/>
  <c r="J332" i="7"/>
  <c r="G500" i="7"/>
  <c r="G1140" i="1"/>
  <c r="G146" i="8" s="1"/>
  <c r="H97" i="8"/>
  <c r="H297" i="8"/>
  <c r="H299" i="8"/>
  <c r="J1069" i="7"/>
  <c r="J1808" i="1"/>
  <c r="J1070" i="7" s="1"/>
  <c r="K929" i="7"/>
  <c r="J350" i="7"/>
  <c r="J356" i="7"/>
  <c r="H161" i="7"/>
  <c r="I440" i="1"/>
  <c r="L144" i="7"/>
  <c r="F103" i="8"/>
  <c r="J695" i="1"/>
  <c r="J696" i="1"/>
  <c r="G340" i="7"/>
  <c r="H336" i="7"/>
  <c r="G336" i="7"/>
  <c r="H339" i="7"/>
  <c r="G332" i="7"/>
  <c r="G328" i="7"/>
  <c r="H328" i="7"/>
  <c r="H331" i="7"/>
  <c r="G324" i="7"/>
  <c r="H320" i="7"/>
  <c r="G320" i="7"/>
  <c r="H323" i="7"/>
  <c r="I320" i="7"/>
  <c r="I314" i="7"/>
  <c r="I267" i="1"/>
  <c r="J269" i="1" s="1"/>
  <c r="J270" i="1" s="1"/>
  <c r="J636" i="7"/>
  <c r="J1419" i="1"/>
  <c r="J491" i="8" s="1"/>
  <c r="J630" i="7"/>
  <c r="J1120" i="1"/>
  <c r="J110" i="8" s="1"/>
  <c r="J1278" i="1"/>
  <c r="J318" i="8" s="1"/>
  <c r="J584" i="7"/>
  <c r="J1109" i="1"/>
  <c r="J90" i="8" s="1"/>
  <c r="J1274" i="1"/>
  <c r="J310" i="8" s="1"/>
  <c r="J241" i="7"/>
  <c r="J1102" i="1"/>
  <c r="J78" i="8" s="1"/>
  <c r="J1267" i="1"/>
  <c r="J298" i="8" s="1"/>
  <c r="J202" i="7"/>
  <c r="J1099" i="1"/>
  <c r="J72" i="8" s="1"/>
  <c r="J1264" i="1"/>
  <c r="J292" i="8" s="1"/>
  <c r="J252" i="7"/>
  <c r="J1104" i="1"/>
  <c r="J82" i="8" s="1"/>
  <c r="J1268" i="1"/>
  <c r="J300" i="8" s="1"/>
  <c r="I790" i="7"/>
  <c r="I291" i="8"/>
  <c r="I803" i="7"/>
  <c r="I315" i="8"/>
  <c r="I1675" i="1"/>
  <c r="I1819" i="1"/>
  <c r="I1081" i="7" s="1"/>
  <c r="I1896" i="1"/>
  <c r="I1107" i="7" s="1"/>
  <c r="I353" i="7"/>
  <c r="F359" i="7"/>
  <c r="F148" i="1"/>
  <c r="F341" i="7"/>
  <c r="G360" i="7"/>
  <c r="G107" i="1"/>
  <c r="G982" i="1" s="1"/>
  <c r="G559" i="7" s="1"/>
  <c r="J28" i="7"/>
  <c r="J32" i="1"/>
  <c r="H312" i="7"/>
  <c r="H359" i="7"/>
  <c r="H148" i="1"/>
  <c r="H147" i="1" s="1"/>
  <c r="J335" i="7"/>
  <c r="F216" i="7"/>
  <c r="F1103" i="1"/>
  <c r="H1107" i="7"/>
  <c r="H77" i="8"/>
  <c r="H81" i="8"/>
  <c r="J674" i="8"/>
  <c r="K674" i="8" s="1"/>
  <c r="K675" i="8" s="1"/>
  <c r="I675" i="8"/>
  <c r="J676" i="8" s="1"/>
  <c r="G637" i="7"/>
  <c r="G1423" i="1"/>
  <c r="G498" i="8" s="1"/>
  <c r="F279" i="8"/>
  <c r="F328" i="7"/>
  <c r="F312" i="7"/>
  <c r="H1108" i="7"/>
  <c r="H317" i="8"/>
  <c r="H89" i="8"/>
  <c r="H309" i="8"/>
  <c r="I792" i="7"/>
  <c r="I295" i="8"/>
  <c r="I794" i="7"/>
  <c r="I299" i="8"/>
  <c r="I804" i="7"/>
  <c r="I317" i="8"/>
  <c r="I1897" i="1"/>
  <c r="I1108" i="7" s="1"/>
  <c r="I1676" i="1"/>
  <c r="I800" i="7"/>
  <c r="I309" i="8"/>
  <c r="I1744" i="1"/>
  <c r="I1894" i="1"/>
  <c r="I1105" i="7" s="1"/>
  <c r="H102" i="1"/>
  <c r="H231" i="1"/>
  <c r="H281" i="1"/>
  <c r="H32" i="7" s="1"/>
  <c r="H543" i="1"/>
  <c r="H583" i="1"/>
  <c r="H264" i="7" s="1"/>
  <c r="H591" i="1"/>
  <c r="H278" i="7" s="1"/>
  <c r="H598" i="1"/>
  <c r="H617" i="1"/>
  <c r="H291" i="7" s="1"/>
  <c r="H646" i="1"/>
  <c r="H368" i="7" s="1"/>
  <c r="H659" i="1"/>
  <c r="H405" i="7" s="1"/>
  <c r="H668" i="1"/>
  <c r="H687" i="1"/>
  <c r="H738" i="1"/>
  <c r="H783" i="1"/>
  <c r="H858" i="1"/>
  <c r="H440" i="7" s="1"/>
  <c r="H940" i="1"/>
  <c r="H517" i="7" s="1"/>
  <c r="H1028" i="1"/>
  <c r="H603" i="7" s="1"/>
  <c r="H1095" i="1"/>
  <c r="H1127" i="1"/>
  <c r="H669" i="7" s="1"/>
  <c r="H1249" i="1"/>
  <c r="H775" i="7" s="1"/>
  <c r="H1389" i="1"/>
  <c r="H919" i="7" s="1"/>
  <c r="H1484" i="1"/>
  <c r="H964" i="7" s="1"/>
  <c r="H1804" i="1"/>
  <c r="H1066" i="7" s="1"/>
  <c r="H1881" i="1"/>
  <c r="H1092" i="7" s="1"/>
  <c r="H1005" i="1"/>
  <c r="H582" i="7" s="1"/>
  <c r="H1205" i="1"/>
  <c r="H1587" i="1"/>
  <c r="H992" i="7" s="1"/>
  <c r="H1660" i="1"/>
  <c r="H1733" i="1"/>
  <c r="H1830" i="1"/>
  <c r="H71" i="8"/>
  <c r="I622" i="7"/>
  <c r="H1071" i="7"/>
  <c r="I1809" i="1"/>
  <c r="I699" i="1"/>
  <c r="I337" i="7"/>
  <c r="I330" i="7"/>
  <c r="I321" i="7"/>
  <c r="H315" i="7"/>
  <c r="G306" i="7"/>
  <c r="H109" i="8"/>
  <c r="I955" i="7"/>
  <c r="I500" i="8"/>
  <c r="H295" i="8"/>
  <c r="J629" i="7"/>
  <c r="J1113" i="1"/>
  <c r="J98" i="8" s="1"/>
  <c r="J1277" i="1"/>
  <c r="J316" i="8" s="1"/>
  <c r="J722" i="1"/>
  <c r="J229" i="7"/>
  <c r="J1101" i="1"/>
  <c r="J76" i="8" s="1"/>
  <c r="J1266" i="1"/>
  <c r="J296" i="8" s="1"/>
  <c r="J194" i="7"/>
  <c r="J1100" i="1"/>
  <c r="J74" i="8" s="1"/>
  <c r="J1263" i="1"/>
  <c r="J290" i="8" s="1"/>
  <c r="J895" i="8"/>
  <c r="K895" i="8" s="1"/>
  <c r="K896" i="8" s="1"/>
  <c r="I896" i="8"/>
  <c r="I352" i="7"/>
  <c r="F345" i="7"/>
  <c r="G298" i="7"/>
  <c r="J567" i="1"/>
  <c r="J572" i="1" s="1"/>
  <c r="J564" i="1"/>
  <c r="J578" i="1" s="1"/>
  <c r="J566" i="1"/>
  <c r="J565" i="1"/>
  <c r="I29" i="7"/>
  <c r="I75" i="1"/>
  <c r="I749" i="8"/>
  <c r="H750" i="8"/>
  <c r="I751" i="8" s="1"/>
  <c r="J670" i="8"/>
  <c r="J744" i="8"/>
  <c r="J745" i="8" s="1"/>
  <c r="J892" i="8"/>
  <c r="J893" i="8" s="1"/>
  <c r="J819" i="8"/>
  <c r="J820" i="8" s="1"/>
  <c r="H345" i="7"/>
  <c r="I723" i="1"/>
  <c r="I953" i="1" s="1"/>
  <c r="F1140" i="1" l="1"/>
  <c r="G640" i="1"/>
  <c r="G634" i="1"/>
  <c r="G630" i="1" s="1"/>
  <c r="G911" i="1"/>
  <c r="H907" i="1"/>
  <c r="G642" i="1"/>
  <c r="J621" i="1"/>
  <c r="K1268" i="1"/>
  <c r="K300" i="8" s="1"/>
  <c r="K299" i="8" s="1"/>
  <c r="K637" i="1"/>
  <c r="G641" i="1"/>
  <c r="K1278" i="1"/>
  <c r="K1099" i="1"/>
  <c r="K72" i="8" s="1"/>
  <c r="K71" i="8" s="1"/>
  <c r="K1101" i="1"/>
  <c r="K76" i="8" s="1"/>
  <c r="K75" i="8" s="1"/>
  <c r="K848" i="1"/>
  <c r="K865" i="1" s="1"/>
  <c r="G300" i="7"/>
  <c r="K888" i="1"/>
  <c r="K925" i="1"/>
  <c r="K540" i="1"/>
  <c r="K851" i="1"/>
  <c r="K900" i="1" s="1"/>
  <c r="G622" i="1"/>
  <c r="G639" i="1" s="1"/>
  <c r="K1425" i="1"/>
  <c r="K1109" i="1"/>
  <c r="K1107" i="1" s="1"/>
  <c r="K87" i="8" s="1"/>
  <c r="K86" i="8" s="1"/>
  <c r="F296" i="7"/>
  <c r="H362" i="7"/>
  <c r="F334" i="1"/>
  <c r="K605" i="1"/>
  <c r="K621" i="1" s="1"/>
  <c r="Q957" i="7"/>
  <c r="F374" i="1"/>
  <c r="F384" i="1" s="1"/>
  <c r="J620" i="1"/>
  <c r="K606" i="1"/>
  <c r="K619" i="1" s="1"/>
  <c r="J606" i="1"/>
  <c r="K628" i="1"/>
  <c r="K623" i="1"/>
  <c r="J624" i="7"/>
  <c r="K1049" i="1"/>
  <c r="K1052" i="1" s="1"/>
  <c r="G689" i="7"/>
  <c r="G160" i="8"/>
  <c r="G159" i="8" s="1"/>
  <c r="K718" i="1"/>
  <c r="K719" i="1"/>
  <c r="K1819" i="1"/>
  <c r="K1896" i="1"/>
  <c r="K1675" i="1"/>
  <c r="K316" i="8"/>
  <c r="K315" i="8" s="1"/>
  <c r="K612" i="1"/>
  <c r="K629" i="1" s="1"/>
  <c r="F902" i="1"/>
  <c r="K894" i="1"/>
  <c r="K934" i="1" s="1"/>
  <c r="K932" i="1"/>
  <c r="J762" i="1"/>
  <c r="J773" i="1" s="1"/>
  <c r="K1033" i="1"/>
  <c r="K717" i="1"/>
  <c r="K1891" i="1"/>
  <c r="K1818" i="1"/>
  <c r="K290" i="8"/>
  <c r="K289" i="8" s="1"/>
  <c r="K501" i="8"/>
  <c r="K500" i="8" s="1"/>
  <c r="K1897" i="1"/>
  <c r="K1676" i="1"/>
  <c r="K318" i="8"/>
  <c r="K317" i="8" s="1"/>
  <c r="K75" i="1"/>
  <c r="K90" i="8"/>
  <c r="K89" i="8" s="1"/>
  <c r="K748" i="1"/>
  <c r="K754" i="1"/>
  <c r="K780" i="1" s="1"/>
  <c r="K949" i="1" s="1"/>
  <c r="K947" i="1" s="1"/>
  <c r="K1395" i="1" s="1"/>
  <c r="K446" i="8" s="1"/>
  <c r="K445" i="8" s="1"/>
  <c r="K772" i="1"/>
  <c r="K953" i="1" s="1"/>
  <c r="K1894" i="1"/>
  <c r="K1744" i="1"/>
  <c r="K310" i="8"/>
  <c r="K309" i="8" s="1"/>
  <c r="K747" i="1"/>
  <c r="K773" i="1" s="1"/>
  <c r="K870" i="1"/>
  <c r="K931" i="1" s="1"/>
  <c r="K929" i="1"/>
  <c r="M715" i="1"/>
  <c r="K716" i="1"/>
  <c r="J767" i="1"/>
  <c r="J768" i="1" s="1"/>
  <c r="K767" i="1" s="1"/>
  <c r="I631" i="1"/>
  <c r="I632" i="1" s="1"/>
  <c r="I764" i="1"/>
  <c r="I765" i="1" s="1"/>
  <c r="I774" i="1"/>
  <c r="J763" i="1"/>
  <c r="J769" i="1"/>
  <c r="J780" i="1" s="1"/>
  <c r="J772" i="1"/>
  <c r="G716" i="1"/>
  <c r="H632" i="1"/>
  <c r="H641" i="1" s="1"/>
  <c r="H634" i="1"/>
  <c r="J611" i="1"/>
  <c r="J612" i="1" s="1"/>
  <c r="J716" i="1"/>
  <c r="F716" i="1"/>
  <c r="H716" i="1"/>
  <c r="I716" i="1"/>
  <c r="I613" i="1"/>
  <c r="I627" i="1" s="1"/>
  <c r="I636" i="1" s="1"/>
  <c r="H717" i="1"/>
  <c r="I612" i="1"/>
  <c r="I629" i="1" s="1"/>
  <c r="I638" i="1" s="1"/>
  <c r="I766" i="1"/>
  <c r="G717" i="1"/>
  <c r="J717" i="1"/>
  <c r="F717" i="1"/>
  <c r="J449" i="7"/>
  <c r="J870" i="1"/>
  <c r="J452" i="7" s="1"/>
  <c r="I934" i="1"/>
  <c r="I511" i="7" s="1"/>
  <c r="I476" i="7"/>
  <c r="I509" i="7"/>
  <c r="J473" i="7"/>
  <c r="J894" i="1"/>
  <c r="J932" i="1"/>
  <c r="J509" i="7" s="1"/>
  <c r="J462" i="7"/>
  <c r="J883" i="1"/>
  <c r="J465" i="7" s="1"/>
  <c r="H511" i="7"/>
  <c r="H933" i="1"/>
  <c r="F360" i="7"/>
  <c r="M216" i="7"/>
  <c r="I898" i="8"/>
  <c r="F498" i="8"/>
  <c r="F497" i="8" s="1"/>
  <c r="G918" i="1"/>
  <c r="G495" i="7" s="1"/>
  <c r="G359" i="7"/>
  <c r="G1129" i="1"/>
  <c r="F1129" i="1"/>
  <c r="F125" i="8" s="1"/>
  <c r="G362" i="7"/>
  <c r="G965" i="1"/>
  <c r="G542" i="7" s="1"/>
  <c r="F362" i="7"/>
  <c r="F791" i="7"/>
  <c r="I293" i="7"/>
  <c r="G103" i="8"/>
  <c r="F929" i="1"/>
  <c r="F931" i="1"/>
  <c r="F508" i="7" s="1"/>
  <c r="F735" i="1"/>
  <c r="F733" i="1"/>
  <c r="H298" i="7"/>
  <c r="H625" i="1"/>
  <c r="G299" i="7"/>
  <c r="H300" i="7"/>
  <c r="H622" i="1"/>
  <c r="J109" i="8"/>
  <c r="J73" i="8"/>
  <c r="I626" i="1"/>
  <c r="H1891" i="1"/>
  <c r="H1102" i="7" s="1"/>
  <c r="H293" i="8"/>
  <c r="H928" i="8" s="1"/>
  <c r="I86" i="8"/>
  <c r="I293" i="8"/>
  <c r="J1048" i="1"/>
  <c r="K1048" i="1" s="1"/>
  <c r="K1060" i="1" s="1"/>
  <c r="I1060" i="1"/>
  <c r="I635" i="7" s="1"/>
  <c r="I623" i="7"/>
  <c r="Q216" i="7"/>
  <c r="J294" i="7"/>
  <c r="J619" i="1"/>
  <c r="K791" i="7"/>
  <c r="I624" i="1"/>
  <c r="I641" i="1" s="1"/>
  <c r="G780" i="1"/>
  <c r="I791" i="7"/>
  <c r="H635" i="7"/>
  <c r="I1058" i="1"/>
  <c r="I633" i="7" s="1"/>
  <c r="L625" i="7"/>
  <c r="G304" i="7"/>
  <c r="J1052" i="1"/>
  <c r="J1059" i="1" s="1"/>
  <c r="J1047" i="1"/>
  <c r="J622" i="7" s="1"/>
  <c r="F1133" i="1"/>
  <c r="F916" i="1"/>
  <c r="F493" i="7" s="1"/>
  <c r="H703" i="1"/>
  <c r="I702" i="1" s="1"/>
  <c r="G307" i="7"/>
  <c r="H307" i="7"/>
  <c r="H304" i="7"/>
  <c r="J302" i="7"/>
  <c r="I216" i="7"/>
  <c r="I1103" i="1"/>
  <c r="I80" i="8" s="1"/>
  <c r="G363" i="7"/>
  <c r="I1059" i="1"/>
  <c r="I634" i="7" s="1"/>
  <c r="I312" i="7"/>
  <c r="G698" i="1"/>
  <c r="H698" i="1" s="1"/>
  <c r="I698" i="1" s="1"/>
  <c r="J698" i="1" s="1"/>
  <c r="K698" i="1" s="1"/>
  <c r="K728" i="1" s="1"/>
  <c r="L999" i="7"/>
  <c r="I727" i="1"/>
  <c r="I945" i="1" s="1"/>
  <c r="I522" i="7" s="1"/>
  <c r="G355" i="7"/>
  <c r="I313" i="7"/>
  <c r="H344" i="7"/>
  <c r="J334" i="7"/>
  <c r="H753" i="1"/>
  <c r="I752" i="1" s="1"/>
  <c r="I753" i="1" s="1"/>
  <c r="J752" i="1" s="1"/>
  <c r="J753" i="1" s="1"/>
  <c r="H1818" i="1"/>
  <c r="H1080" i="7" s="1"/>
  <c r="H791" i="7"/>
  <c r="I297" i="7"/>
  <c r="I305" i="7"/>
  <c r="H355" i="7"/>
  <c r="G778" i="1"/>
  <c r="G1133" i="1" s="1"/>
  <c r="G132" i="8" s="1"/>
  <c r="M495" i="1"/>
  <c r="S216" i="7" s="1"/>
  <c r="H348" i="7"/>
  <c r="I343" i="7"/>
  <c r="H346" i="7"/>
  <c r="G348" i="7"/>
  <c r="G346" i="7"/>
  <c r="H820" i="1"/>
  <c r="H844" i="1" s="1"/>
  <c r="H888" i="1" s="1"/>
  <c r="H470" i="7" s="1"/>
  <c r="H1257" i="1"/>
  <c r="H280" i="8" s="1"/>
  <c r="I329" i="7"/>
  <c r="H1212" i="1"/>
  <c r="H1147" i="1" s="1"/>
  <c r="H160" i="8" s="1"/>
  <c r="H1117" i="1"/>
  <c r="H104" i="8" s="1"/>
  <c r="I724" i="1"/>
  <c r="I108" i="1" s="1"/>
  <c r="I983" i="1" s="1"/>
  <c r="I560" i="7" s="1"/>
  <c r="I725" i="1"/>
  <c r="I342" i="7"/>
  <c r="J333" i="7"/>
  <c r="I735" i="1"/>
  <c r="I949" i="1" s="1"/>
  <c r="I947" i="1" s="1"/>
  <c r="J751" i="1"/>
  <c r="J316" i="7"/>
  <c r="J318" i="7"/>
  <c r="H751" i="1"/>
  <c r="I751" i="1"/>
  <c r="I750" i="1"/>
  <c r="G751" i="1"/>
  <c r="P216" i="7"/>
  <c r="J1103" i="1"/>
  <c r="J80" i="8" s="1"/>
  <c r="J216" i="7"/>
  <c r="H540" i="1"/>
  <c r="H261" i="7" s="1"/>
  <c r="H1103" i="1"/>
  <c r="H80" i="8" s="1"/>
  <c r="H216" i="7"/>
  <c r="G1818" i="1"/>
  <c r="G1080" i="7" s="1"/>
  <c r="G791" i="7"/>
  <c r="G1891" i="1"/>
  <c r="G1102" i="7" s="1"/>
  <c r="G293" i="8"/>
  <c r="G1103" i="1"/>
  <c r="G80" i="8" s="1"/>
  <c r="G216" i="7"/>
  <c r="G540" i="1"/>
  <c r="G261" i="7" s="1"/>
  <c r="K216" i="7"/>
  <c r="H504" i="8"/>
  <c r="H957" i="7"/>
  <c r="I109" i="7"/>
  <c r="J403" i="1"/>
  <c r="K403" i="1" s="1"/>
  <c r="O216" i="7"/>
  <c r="L216" i="7"/>
  <c r="F471" i="1"/>
  <c r="B191" i="7"/>
  <c r="F1679" i="1"/>
  <c r="M1679" i="1" s="1"/>
  <c r="J957" i="7"/>
  <c r="J504" i="8"/>
  <c r="I504" i="8"/>
  <c r="I957" i="7"/>
  <c r="G504" i="8"/>
  <c r="G957" i="7"/>
  <c r="F957" i="7"/>
  <c r="F505" i="8"/>
  <c r="F504" i="8" s="1"/>
  <c r="K957" i="7"/>
  <c r="J623" i="1"/>
  <c r="G695" i="1"/>
  <c r="G696" i="1"/>
  <c r="J41" i="7"/>
  <c r="H86" i="7"/>
  <c r="I356" i="1"/>
  <c r="I385" i="7"/>
  <c r="I382" i="7"/>
  <c r="F701" i="1"/>
  <c r="K129" i="7"/>
  <c r="G356" i="7"/>
  <c r="G352" i="7"/>
  <c r="H352" i="7"/>
  <c r="J261" i="1"/>
  <c r="J262" i="1" s="1"/>
  <c r="F780" i="1"/>
  <c r="J397" i="7"/>
  <c r="J394" i="7"/>
  <c r="K393" i="7"/>
  <c r="K390" i="7"/>
  <c r="I381" i="7"/>
  <c r="I378" i="7"/>
  <c r="G774" i="1"/>
  <c r="F682" i="7"/>
  <c r="F146" i="8"/>
  <c r="F145" i="8" s="1"/>
  <c r="L606" i="7"/>
  <c r="K617" i="7"/>
  <c r="F751" i="1"/>
  <c r="G750" i="1"/>
  <c r="H750" i="1"/>
  <c r="J750" i="1"/>
  <c r="G735" i="1"/>
  <c r="G724" i="1"/>
  <c r="G108" i="1" s="1"/>
  <c r="G727" i="1"/>
  <c r="G945" i="1" s="1"/>
  <c r="G522" i="7" s="1"/>
  <c r="G723" i="1"/>
  <c r="G953" i="1" s="1"/>
  <c r="G530" i="7" s="1"/>
  <c r="F700" i="1"/>
  <c r="L485" i="7"/>
  <c r="L474" i="7"/>
  <c r="L475" i="7"/>
  <c r="I389" i="7"/>
  <c r="I386" i="7"/>
  <c r="L997" i="7"/>
  <c r="L998" i="7"/>
  <c r="I373" i="7"/>
  <c r="J651" i="1"/>
  <c r="I648" i="1"/>
  <c r="I370" i="7" s="1"/>
  <c r="H377" i="7"/>
  <c r="H374" i="7"/>
  <c r="J611" i="7"/>
  <c r="J1033" i="1"/>
  <c r="J608" i="7" s="1"/>
  <c r="K609" i="7"/>
  <c r="K610" i="7"/>
  <c r="I608" i="7"/>
  <c r="G775" i="1"/>
  <c r="L26" i="7"/>
  <c r="L27" i="7"/>
  <c r="L1012" i="7"/>
  <c r="L486" i="7"/>
  <c r="L487" i="7"/>
  <c r="L463" i="7"/>
  <c r="L464" i="7"/>
  <c r="L450" i="7"/>
  <c r="L451" i="7"/>
  <c r="K444" i="7"/>
  <c r="K350" i="7"/>
  <c r="K334" i="7"/>
  <c r="K326" i="7"/>
  <c r="H723" i="1"/>
  <c r="H953" i="1" s="1"/>
  <c r="H530" i="7" s="1"/>
  <c r="F723" i="1"/>
  <c r="F953" i="1" s="1"/>
  <c r="H773" i="1"/>
  <c r="H774" i="1"/>
  <c r="F774" i="1"/>
  <c r="F779" i="1"/>
  <c r="H401" i="7"/>
  <c r="H398" i="7"/>
  <c r="K318" i="7"/>
  <c r="J351" i="7"/>
  <c r="J249" i="1"/>
  <c r="K252" i="1" s="1"/>
  <c r="K253" i="1" s="1"/>
  <c r="K249" i="1" s="1"/>
  <c r="J349" i="7"/>
  <c r="J327" i="7"/>
  <c r="J267" i="1"/>
  <c r="K269" i="1" s="1"/>
  <c r="K270" i="1" s="1"/>
  <c r="K267" i="1" s="1"/>
  <c r="J342" i="7"/>
  <c r="I530" i="7"/>
  <c r="H360" i="7"/>
  <c r="H107" i="1"/>
  <c r="H982" i="1" s="1"/>
  <c r="H559" i="7" s="1"/>
  <c r="J896" i="8"/>
  <c r="K636" i="7"/>
  <c r="I102" i="1"/>
  <c r="I231" i="1"/>
  <c r="I281" i="1"/>
  <c r="I32" i="7" s="1"/>
  <c r="I543" i="1"/>
  <c r="I583" i="1"/>
  <c r="I264" i="7" s="1"/>
  <c r="I591" i="1"/>
  <c r="I278" i="7" s="1"/>
  <c r="I598" i="1"/>
  <c r="I617" i="1"/>
  <c r="I291" i="7" s="1"/>
  <c r="I646" i="1"/>
  <c r="I368" i="7" s="1"/>
  <c r="I659" i="1"/>
  <c r="I405" i="7" s="1"/>
  <c r="I668" i="1"/>
  <c r="I687" i="1"/>
  <c r="I940" i="1"/>
  <c r="I517" i="7" s="1"/>
  <c r="I738" i="1"/>
  <c r="I783" i="1"/>
  <c r="I858" i="1"/>
  <c r="I440" i="7" s="1"/>
  <c r="I1005" i="1"/>
  <c r="I582" i="7" s="1"/>
  <c r="I1205" i="1"/>
  <c r="I1587" i="1"/>
  <c r="I992" i="7" s="1"/>
  <c r="I1660" i="1"/>
  <c r="I1733" i="1"/>
  <c r="I1830" i="1"/>
  <c r="I1028" i="1"/>
  <c r="I603" i="7" s="1"/>
  <c r="I1095" i="1"/>
  <c r="I1127" i="1"/>
  <c r="I669" i="7" s="1"/>
  <c r="I1249" i="1"/>
  <c r="I775" i="7" s="1"/>
  <c r="I1389" i="1"/>
  <c r="I919" i="7" s="1"/>
  <c r="I1484" i="1"/>
  <c r="I964" i="7" s="1"/>
  <c r="I1804" i="1"/>
  <c r="I1066" i="7" s="1"/>
  <c r="I1881" i="1"/>
  <c r="I1092" i="7" s="1"/>
  <c r="J562" i="1"/>
  <c r="J577" i="1" s="1"/>
  <c r="J579" i="1"/>
  <c r="J1265" i="1"/>
  <c r="J294" i="8" s="1"/>
  <c r="J580" i="1"/>
  <c r="J574" i="1"/>
  <c r="J124" i="1" s="1"/>
  <c r="K629" i="7"/>
  <c r="K202" i="7"/>
  <c r="L445" i="7"/>
  <c r="J792" i="7"/>
  <c r="J803" i="7"/>
  <c r="J315" i="8"/>
  <c r="J1896" i="1"/>
  <c r="J1675" i="1"/>
  <c r="J1819" i="1"/>
  <c r="J1081" i="7" s="1"/>
  <c r="I1071" i="7"/>
  <c r="J1809" i="1"/>
  <c r="K1809" i="1" s="1"/>
  <c r="H637" i="7"/>
  <c r="H1423" i="1"/>
  <c r="H498" i="8" s="1"/>
  <c r="I631" i="7"/>
  <c r="I1117" i="1"/>
  <c r="I104" i="8" s="1"/>
  <c r="I1257" i="1"/>
  <c r="I280" i="8" s="1"/>
  <c r="H760" i="8"/>
  <c r="H934" i="8"/>
  <c r="G953" i="7"/>
  <c r="G497" i="8"/>
  <c r="K351" i="7"/>
  <c r="J675" i="8"/>
  <c r="K676" i="8" s="1"/>
  <c r="F80" i="8"/>
  <c r="J303" i="7"/>
  <c r="K327" i="7"/>
  <c r="J337" i="7"/>
  <c r="J338" i="7"/>
  <c r="H1129" i="1"/>
  <c r="H125" i="8" s="1"/>
  <c r="K28" i="7"/>
  <c r="F348" i="7"/>
  <c r="I354" i="7"/>
  <c r="I355" i="7"/>
  <c r="I759" i="8"/>
  <c r="I933" i="8"/>
  <c r="I907" i="8"/>
  <c r="J794" i="7"/>
  <c r="J299" i="8"/>
  <c r="J1107" i="1"/>
  <c r="J87" i="8" s="1"/>
  <c r="J804" i="7"/>
  <c r="J317" i="8"/>
  <c r="J1676" i="1"/>
  <c r="J1897" i="1"/>
  <c r="I306" i="7"/>
  <c r="I315" i="7"/>
  <c r="M144" i="7"/>
  <c r="I161" i="7"/>
  <c r="J440" i="1"/>
  <c r="K440" i="1" s="1"/>
  <c r="J352" i="7"/>
  <c r="G682" i="7"/>
  <c r="K303" i="7"/>
  <c r="J313" i="7"/>
  <c r="J309" i="7"/>
  <c r="I345" i="7"/>
  <c r="K950" i="7"/>
  <c r="G460" i="7"/>
  <c r="G928" i="1"/>
  <c r="G505" i="7" s="1"/>
  <c r="G828" i="8"/>
  <c r="G680" i="8"/>
  <c r="G935" i="8"/>
  <c r="I289" i="8"/>
  <c r="H86" i="8"/>
  <c r="K310" i="7"/>
  <c r="K311" i="7"/>
  <c r="J320" i="7"/>
  <c r="H358" i="7"/>
  <c r="H962" i="1"/>
  <c r="H965" i="1"/>
  <c r="J749" i="8"/>
  <c r="K749" i="8" s="1"/>
  <c r="K750" i="8" s="1"/>
  <c r="I750" i="8"/>
  <c r="J751" i="8" s="1"/>
  <c r="F346" i="7"/>
  <c r="K584" i="7"/>
  <c r="K630" i="7"/>
  <c r="K252" i="7"/>
  <c r="K229" i="7"/>
  <c r="K194" i="7"/>
  <c r="J789" i="7"/>
  <c r="J289" i="8"/>
  <c r="J862" i="1"/>
  <c r="I322" i="7"/>
  <c r="I323" i="7"/>
  <c r="I331" i="7"/>
  <c r="I338" i="7"/>
  <c r="I339" i="7"/>
  <c r="J724" i="1"/>
  <c r="J108" i="1" s="1"/>
  <c r="J983" i="1" s="1"/>
  <c r="J560" i="7" s="1"/>
  <c r="I931" i="8"/>
  <c r="I830" i="8"/>
  <c r="I760" i="8"/>
  <c r="I934" i="8"/>
  <c r="H931" i="8"/>
  <c r="H830" i="8"/>
  <c r="F828" i="8"/>
  <c r="F680" i="8"/>
  <c r="F935" i="8"/>
  <c r="K349" i="7"/>
  <c r="J305" i="7"/>
  <c r="H918" i="1"/>
  <c r="H495" i="7" s="1"/>
  <c r="H878" i="1"/>
  <c r="F982" i="1"/>
  <c r="F559" i="7" s="1"/>
  <c r="J29" i="7"/>
  <c r="J75" i="1"/>
  <c r="F358" i="7"/>
  <c r="F820" i="1"/>
  <c r="F844" i="1" s="1"/>
  <c r="F829" i="1"/>
  <c r="F845" i="1" s="1"/>
  <c r="H829" i="1"/>
  <c r="H845" i="1" s="1"/>
  <c r="F811" i="1"/>
  <c r="G820" i="1"/>
  <c r="G844" i="1" s="1"/>
  <c r="G829" i="1"/>
  <c r="G845" i="1" s="1"/>
  <c r="G902" i="1"/>
  <c r="G935" i="1" s="1"/>
  <c r="F962" i="1"/>
  <c r="F965" i="1"/>
  <c r="F147" i="1"/>
  <c r="J790" i="7"/>
  <c r="J291" i="8"/>
  <c r="J793" i="7"/>
  <c r="J297" i="8"/>
  <c r="J800" i="7"/>
  <c r="J309" i="8"/>
  <c r="J1744" i="1"/>
  <c r="J1894" i="1"/>
  <c r="J1105" i="7" s="1"/>
  <c r="J949" i="7"/>
  <c r="J490" i="8"/>
  <c r="J699" i="1"/>
  <c r="J353" i="7"/>
  <c r="L929" i="7"/>
  <c r="K1069" i="7"/>
  <c r="K1070" i="7"/>
  <c r="I897" i="8"/>
  <c r="J311" i="7"/>
  <c r="J329" i="7"/>
  <c r="J330" i="7"/>
  <c r="J325" i="7"/>
  <c r="I359" i="7"/>
  <c r="I148" i="1"/>
  <c r="I147" i="1" s="1"/>
  <c r="J822" i="8"/>
  <c r="K822" i="8" s="1"/>
  <c r="K823" i="8" s="1"/>
  <c r="I823" i="8"/>
  <c r="J824" i="8" s="1"/>
  <c r="H933" i="8"/>
  <c r="H907" i="8"/>
  <c r="H759" i="8"/>
  <c r="F293" i="8"/>
  <c r="J321" i="7"/>
  <c r="J322" i="7"/>
  <c r="J317" i="7"/>
  <c r="I1072" i="7"/>
  <c r="J1810" i="1"/>
  <c r="K1810" i="1" s="1"/>
  <c r="F159" i="8"/>
  <c r="J723" i="1"/>
  <c r="G643" i="1" l="1"/>
  <c r="G365" i="7" s="1"/>
  <c r="K638" i="1"/>
  <c r="J295" i="7"/>
  <c r="H630" i="1"/>
  <c r="K640" i="1"/>
  <c r="H643" i="1"/>
  <c r="H365" i="7" s="1"/>
  <c r="H639" i="1"/>
  <c r="G296" i="7"/>
  <c r="I640" i="1"/>
  <c r="H911" i="1"/>
  <c r="I907" i="1"/>
  <c r="K636" i="1"/>
  <c r="J898" i="8"/>
  <c r="K898" i="8" s="1"/>
  <c r="K627" i="1"/>
  <c r="J953" i="1"/>
  <c r="K1139" i="1"/>
  <c r="K144" i="8" s="1"/>
  <c r="K143" i="8" s="1"/>
  <c r="I362" i="7"/>
  <c r="K626" i="1"/>
  <c r="H296" i="7"/>
  <c r="H361" i="7"/>
  <c r="F335" i="1"/>
  <c r="H299" i="7"/>
  <c r="F671" i="7"/>
  <c r="K631" i="1"/>
  <c r="K632" i="1" s="1"/>
  <c r="K1047" i="1"/>
  <c r="K933" i="1"/>
  <c r="K923" i="1" s="1"/>
  <c r="K1140" i="1" s="1"/>
  <c r="K146" i="8" s="1"/>
  <c r="K145" i="8" s="1"/>
  <c r="F1883" i="1"/>
  <c r="K768" i="1"/>
  <c r="K1062" i="1"/>
  <c r="K1423" i="1" s="1"/>
  <c r="K498" i="8" s="1"/>
  <c r="K497" i="8" s="1"/>
  <c r="K930" i="1"/>
  <c r="K919" i="1" s="1"/>
  <c r="K1136" i="1" s="1"/>
  <c r="K138" i="8" s="1"/>
  <c r="K137" i="8" s="1"/>
  <c r="K107" i="1"/>
  <c r="K946" i="1"/>
  <c r="K943" i="1" s="1"/>
  <c r="K830" i="8"/>
  <c r="K931" i="8"/>
  <c r="K749" i="1"/>
  <c r="K774" i="1"/>
  <c r="K148" i="1"/>
  <c r="J258" i="1"/>
  <c r="K261" i="1" s="1"/>
  <c r="K262" i="1" s="1"/>
  <c r="K258" i="1" s="1"/>
  <c r="K1881" i="1"/>
  <c r="K1484" i="1"/>
  <c r="K1830" i="1"/>
  <c r="K1249" i="1"/>
  <c r="K1587" i="1"/>
  <c r="K1389" i="1"/>
  <c r="K1804" i="1"/>
  <c r="K1733" i="1"/>
  <c r="K1660" i="1"/>
  <c r="K1205" i="1"/>
  <c r="K738" i="1"/>
  <c r="K281" i="1"/>
  <c r="K659" i="1"/>
  <c r="K940" i="1"/>
  <c r="K646" i="1"/>
  <c r="K598" i="1"/>
  <c r="K1095" i="1"/>
  <c r="K783" i="1"/>
  <c r="K687" i="1"/>
  <c r="K617" i="1"/>
  <c r="K1028" i="1"/>
  <c r="K1005" i="1"/>
  <c r="K591" i="1"/>
  <c r="K543" i="1"/>
  <c r="K668" i="1"/>
  <c r="K583" i="1"/>
  <c r="K231" i="1"/>
  <c r="K102" i="1"/>
  <c r="K1127" i="1"/>
  <c r="K858" i="1"/>
  <c r="K907" i="8"/>
  <c r="K759" i="8"/>
  <c r="K933" i="8"/>
  <c r="K624" i="1"/>
  <c r="K641" i="1" s="1"/>
  <c r="K752" i="1"/>
  <c r="K778" i="1" s="1"/>
  <c r="K651" i="1"/>
  <c r="K648" i="1" s="1"/>
  <c r="K702" i="1"/>
  <c r="K733" i="1" s="1"/>
  <c r="K703" i="1"/>
  <c r="K760" i="8"/>
  <c r="K934" i="8"/>
  <c r="K928" i="8"/>
  <c r="K906" i="8"/>
  <c r="K1056" i="1"/>
  <c r="G125" i="8"/>
  <c r="G124" i="8" s="1"/>
  <c r="G920" i="8" s="1"/>
  <c r="I634" i="1"/>
  <c r="I630" i="1" s="1"/>
  <c r="I812" i="1"/>
  <c r="I633" i="1"/>
  <c r="J613" i="1"/>
  <c r="J629" i="1"/>
  <c r="J638" i="1" s="1"/>
  <c r="M638" i="1" s="1"/>
  <c r="J764" i="1"/>
  <c r="K765" i="1" s="1"/>
  <c r="J774" i="1"/>
  <c r="I775" i="1"/>
  <c r="I926" i="1" s="1"/>
  <c r="I503" i="7" s="1"/>
  <c r="J628" i="1"/>
  <c r="J637" i="1" s="1"/>
  <c r="M637" i="1" s="1"/>
  <c r="H633" i="1"/>
  <c r="H642" i="1" s="1"/>
  <c r="F385" i="1"/>
  <c r="I933" i="1"/>
  <c r="I510" i="7" s="1"/>
  <c r="K462" i="7"/>
  <c r="K465" i="7"/>
  <c r="J476" i="7"/>
  <c r="J934" i="1"/>
  <c r="K473" i="7"/>
  <c r="K452" i="7"/>
  <c r="K449" i="7"/>
  <c r="H510" i="7"/>
  <c r="H923" i="1"/>
  <c r="G962" i="1"/>
  <c r="G539" i="7" s="1"/>
  <c r="G1883" i="1"/>
  <c r="G1094" i="7" s="1"/>
  <c r="G671" i="7"/>
  <c r="G949" i="1"/>
  <c r="G947" i="1" s="1"/>
  <c r="G779" i="1"/>
  <c r="G812" i="1"/>
  <c r="G855" i="1" s="1"/>
  <c r="G358" i="7"/>
  <c r="H812" i="1"/>
  <c r="H811" i="1" s="1"/>
  <c r="H843" i="1" s="1"/>
  <c r="H875" i="1" s="1"/>
  <c r="H457" i="7" s="1"/>
  <c r="K623" i="7"/>
  <c r="J293" i="7"/>
  <c r="I622" i="1"/>
  <c r="I639" i="1" s="1"/>
  <c r="I703" i="1"/>
  <c r="J702" i="1" s="1"/>
  <c r="F506" i="7"/>
  <c r="F930" i="1"/>
  <c r="G733" i="1"/>
  <c r="J623" i="7"/>
  <c r="K624" i="7"/>
  <c r="J1060" i="1"/>
  <c r="J635" i="7" s="1"/>
  <c r="M999" i="7"/>
  <c r="I79" i="8"/>
  <c r="J1818" i="1"/>
  <c r="J1080" i="7" s="1"/>
  <c r="J79" i="8"/>
  <c r="I625" i="1"/>
  <c r="I642" i="1" s="1"/>
  <c r="I300" i="7"/>
  <c r="G79" i="8"/>
  <c r="H79" i="8"/>
  <c r="J86" i="8"/>
  <c r="J626" i="1"/>
  <c r="H103" i="8"/>
  <c r="I298" i="7"/>
  <c r="J624" i="1"/>
  <c r="J1058" i="1"/>
  <c r="J633" i="7" s="1"/>
  <c r="I1212" i="1"/>
  <c r="I1147" i="1" s="1"/>
  <c r="I160" i="8" s="1"/>
  <c r="I1062" i="1"/>
  <c r="I1423" i="1" s="1"/>
  <c r="I498" i="8" s="1"/>
  <c r="J627" i="7"/>
  <c r="G1251" i="1"/>
  <c r="G484" i="7"/>
  <c r="H902" i="1"/>
  <c r="H906" i="1" s="1"/>
  <c r="K333" i="7"/>
  <c r="M1103" i="1"/>
  <c r="G906" i="1"/>
  <c r="G488" i="7" s="1"/>
  <c r="J315" i="7"/>
  <c r="J339" i="7"/>
  <c r="J323" i="7"/>
  <c r="L624" i="7"/>
  <c r="K627" i="7"/>
  <c r="G916" i="1"/>
  <c r="G493" i="7" s="1"/>
  <c r="J1056" i="1"/>
  <c r="J1257" i="1" s="1"/>
  <c r="J280" i="8" s="1"/>
  <c r="H783" i="7"/>
  <c r="F132" i="8"/>
  <c r="F131" i="8" s="1"/>
  <c r="F675" i="7"/>
  <c r="F915" i="1"/>
  <c r="F492" i="7" s="1"/>
  <c r="F1132" i="1"/>
  <c r="K294" i="7"/>
  <c r="I304" i="7"/>
  <c r="I308" i="7"/>
  <c r="J301" i="7"/>
  <c r="H906" i="8"/>
  <c r="H778" i="1"/>
  <c r="H779" i="1" s="1"/>
  <c r="F727" i="1"/>
  <c r="F945" i="1" s="1"/>
  <c r="F522" i="7" s="1"/>
  <c r="F724" i="1"/>
  <c r="F108" i="1" s="1"/>
  <c r="F983" i="1" s="1"/>
  <c r="F560" i="7" s="1"/>
  <c r="J297" i="7"/>
  <c r="I526" i="7"/>
  <c r="I344" i="7"/>
  <c r="G347" i="7"/>
  <c r="I346" i="7"/>
  <c r="G344" i="7"/>
  <c r="H347" i="7"/>
  <c r="I341" i="7"/>
  <c r="I348" i="7"/>
  <c r="H1898" i="1"/>
  <c r="H1109" i="7" s="1"/>
  <c r="H1598" i="1"/>
  <c r="H1003" i="7" s="1"/>
  <c r="H850" i="1"/>
  <c r="H889" i="1" s="1"/>
  <c r="H471" i="7" s="1"/>
  <c r="H1742" i="1"/>
  <c r="K306" i="7"/>
  <c r="K325" i="7"/>
  <c r="F949" i="1"/>
  <c r="F947" i="1" s="1"/>
  <c r="G928" i="8"/>
  <c r="G906" i="8"/>
  <c r="F192" i="7"/>
  <c r="F113" i="8"/>
  <c r="F112" i="8" s="1"/>
  <c r="J109" i="7"/>
  <c r="G699" i="1"/>
  <c r="J701" i="1" s="1"/>
  <c r="K41" i="7"/>
  <c r="J385" i="7"/>
  <c r="J382" i="7"/>
  <c r="I86" i="7"/>
  <c r="J356" i="1"/>
  <c r="K356" i="1" s="1"/>
  <c r="K302" i="7"/>
  <c r="K317" i="7"/>
  <c r="J1891" i="1"/>
  <c r="J1102" i="7" s="1"/>
  <c r="G131" i="8"/>
  <c r="G675" i="7"/>
  <c r="K332" i="7"/>
  <c r="K322" i="7"/>
  <c r="J897" i="8"/>
  <c r="K897" i="8" s="1"/>
  <c r="K356" i="7"/>
  <c r="K337" i="7"/>
  <c r="L350" i="7"/>
  <c r="L129" i="7"/>
  <c r="L326" i="7"/>
  <c r="K611" i="7"/>
  <c r="L609" i="7"/>
  <c r="L610" i="7"/>
  <c r="M474" i="7"/>
  <c r="M475" i="7"/>
  <c r="L617" i="7"/>
  <c r="M606" i="7"/>
  <c r="M26" i="7"/>
  <c r="M27" i="7"/>
  <c r="M1012" i="7"/>
  <c r="I377" i="7"/>
  <c r="I374" i="7"/>
  <c r="J373" i="7"/>
  <c r="J648" i="1"/>
  <c r="J370" i="7" s="1"/>
  <c r="M997" i="7"/>
  <c r="M998" i="7"/>
  <c r="J389" i="7"/>
  <c r="J386" i="7"/>
  <c r="M486" i="7"/>
  <c r="M487" i="7"/>
  <c r="M463" i="7"/>
  <c r="M464" i="7"/>
  <c r="M450" i="7"/>
  <c r="M451" i="7"/>
  <c r="M485" i="7"/>
  <c r="G726" i="1"/>
  <c r="G120" i="1" s="1"/>
  <c r="G725" i="1"/>
  <c r="G926" i="1"/>
  <c r="G503" i="7" s="1"/>
  <c r="G1253" i="1"/>
  <c r="G272" i="8" s="1"/>
  <c r="J381" i="7"/>
  <c r="J378" i="7"/>
  <c r="L393" i="7"/>
  <c r="L390" i="7"/>
  <c r="K397" i="7"/>
  <c r="K394" i="7"/>
  <c r="L310" i="7"/>
  <c r="H725" i="1"/>
  <c r="H726" i="1"/>
  <c r="H120" i="1" s="1"/>
  <c r="L302" i="7"/>
  <c r="I778" i="1"/>
  <c r="I401" i="7"/>
  <c r="I398" i="7"/>
  <c r="F775" i="1"/>
  <c r="F926" i="1" s="1"/>
  <c r="F503" i="7" s="1"/>
  <c r="H775" i="1"/>
  <c r="F530" i="7"/>
  <c r="F725" i="1"/>
  <c r="L334" i="7"/>
  <c r="J341" i="7"/>
  <c r="J348" i="7"/>
  <c r="J530" i="7"/>
  <c r="J343" i="7"/>
  <c r="L327" i="7"/>
  <c r="I360" i="7"/>
  <c r="I107" i="1"/>
  <c r="I878" i="1"/>
  <c r="I918" i="1"/>
  <c r="I495" i="7" s="1"/>
  <c r="J331" i="7"/>
  <c r="K560" i="7"/>
  <c r="L1069" i="7"/>
  <c r="L1070" i="7"/>
  <c r="M929" i="7"/>
  <c r="J931" i="8"/>
  <c r="J830" i="8"/>
  <c r="F878" i="1"/>
  <c r="F918" i="1"/>
  <c r="F539" i="7"/>
  <c r="G850" i="1"/>
  <c r="G889" i="1" s="1"/>
  <c r="G471" i="7" s="1"/>
  <c r="G888" i="1"/>
  <c r="G470" i="7" s="1"/>
  <c r="F843" i="1"/>
  <c r="G787" i="1"/>
  <c r="G842" i="1" s="1"/>
  <c r="H787" i="1"/>
  <c r="H842" i="1" s="1"/>
  <c r="H460" i="7"/>
  <c r="H928" i="1"/>
  <c r="H505" i="7" s="1"/>
  <c r="K353" i="7"/>
  <c r="K319" i="7"/>
  <c r="J97" i="8"/>
  <c r="K804" i="7"/>
  <c r="K1108" i="7"/>
  <c r="K800" i="7"/>
  <c r="F363" i="7"/>
  <c r="G512" i="7"/>
  <c r="H539" i="7"/>
  <c r="K313" i="7"/>
  <c r="K314" i="7"/>
  <c r="K309" i="7"/>
  <c r="L351" i="7"/>
  <c r="L950" i="7"/>
  <c r="G145" i="8"/>
  <c r="J634" i="7"/>
  <c r="I726" i="1"/>
  <c r="K295" i="7"/>
  <c r="J1108" i="7"/>
  <c r="J760" i="8"/>
  <c r="J934" i="8"/>
  <c r="J89" i="8"/>
  <c r="F344" i="7"/>
  <c r="K29" i="7"/>
  <c r="H671" i="7"/>
  <c r="H124" i="8"/>
  <c r="H920" i="8" s="1"/>
  <c r="H1883" i="1"/>
  <c r="H1094" i="7" s="1"/>
  <c r="L303" i="7"/>
  <c r="J1107" i="7"/>
  <c r="L629" i="7"/>
  <c r="L241" i="7"/>
  <c r="L202" i="7"/>
  <c r="L252" i="7"/>
  <c r="K803" i="7"/>
  <c r="K1107" i="7"/>
  <c r="F1251" i="1"/>
  <c r="J791" i="7"/>
  <c r="K949" i="7"/>
  <c r="I524" i="7"/>
  <c r="I1395" i="1"/>
  <c r="I446" i="8" s="1"/>
  <c r="J1072" i="7"/>
  <c r="H363" i="7"/>
  <c r="H1251" i="1"/>
  <c r="H268" i="8" s="1"/>
  <c r="J823" i="8"/>
  <c r="K824" i="8" s="1"/>
  <c r="I1129" i="1"/>
  <c r="I125" i="8" s="1"/>
  <c r="L335" i="7"/>
  <c r="J312" i="7"/>
  <c r="K301" i="7"/>
  <c r="K622" i="7"/>
  <c r="J354" i="7"/>
  <c r="J81" i="8"/>
  <c r="I729" i="1"/>
  <c r="F1094" i="7"/>
  <c r="F124" i="8"/>
  <c r="F347" i="7"/>
  <c r="F542" i="7"/>
  <c r="F484" i="7"/>
  <c r="F906" i="1"/>
  <c r="F935" i="1"/>
  <c r="G851" i="1"/>
  <c r="G900" i="1" s="1"/>
  <c r="G482" i="7" s="1"/>
  <c r="G899" i="1"/>
  <c r="G481" i="7" s="1"/>
  <c r="H851" i="1"/>
  <c r="H900" i="1" s="1"/>
  <c r="H482" i="7" s="1"/>
  <c r="H899" i="1"/>
  <c r="H481" i="7" s="1"/>
  <c r="F787" i="1"/>
  <c r="F855" i="1"/>
  <c r="J231" i="1"/>
  <c r="J281" i="1"/>
  <c r="J32" i="7" s="1"/>
  <c r="J102" i="1"/>
  <c r="J543" i="1"/>
  <c r="J583" i="1"/>
  <c r="J264" i="7" s="1"/>
  <c r="J591" i="1"/>
  <c r="J278" i="7" s="1"/>
  <c r="J598" i="1"/>
  <c r="J617" i="1"/>
  <c r="J291" i="7" s="1"/>
  <c r="J646" i="1"/>
  <c r="J368" i="7" s="1"/>
  <c r="J659" i="1"/>
  <c r="J405" i="7" s="1"/>
  <c r="J668" i="1"/>
  <c r="J738" i="1"/>
  <c r="J783" i="1"/>
  <c r="J858" i="1"/>
  <c r="J440" i="7" s="1"/>
  <c r="J687" i="1"/>
  <c r="J940" i="1"/>
  <c r="J517" i="7" s="1"/>
  <c r="J1028" i="1"/>
  <c r="J603" i="7" s="1"/>
  <c r="J1095" i="1"/>
  <c r="J1127" i="1"/>
  <c r="J669" i="7" s="1"/>
  <c r="J1249" i="1"/>
  <c r="J775" i="7" s="1"/>
  <c r="J1389" i="1"/>
  <c r="J919" i="7" s="1"/>
  <c r="J1484" i="1"/>
  <c r="J964" i="7" s="1"/>
  <c r="J1804" i="1"/>
  <c r="J1066" i="7" s="1"/>
  <c r="J1881" i="1"/>
  <c r="J1092" i="7" s="1"/>
  <c r="J1005" i="1"/>
  <c r="J582" i="7" s="1"/>
  <c r="J1205" i="1"/>
  <c r="J1587" i="1"/>
  <c r="J992" i="7" s="1"/>
  <c r="J1660" i="1"/>
  <c r="J1733" i="1"/>
  <c r="J1830" i="1"/>
  <c r="J306" i="7"/>
  <c r="K335" i="7"/>
  <c r="K321" i="7"/>
  <c r="H279" i="8"/>
  <c r="J726" i="1"/>
  <c r="J725" i="1"/>
  <c r="H689" i="7"/>
  <c r="J444" i="7"/>
  <c r="J75" i="8"/>
  <c r="K789" i="7"/>
  <c r="K792" i="7"/>
  <c r="K794" i="7"/>
  <c r="K955" i="7"/>
  <c r="J750" i="8"/>
  <c r="K751" i="8" s="1"/>
  <c r="H542" i="7"/>
  <c r="J328" i="7"/>
  <c r="L319" i="7"/>
  <c r="J314" i="7"/>
  <c r="J161" i="7"/>
  <c r="N144" i="7"/>
  <c r="J340" i="7"/>
  <c r="J77" i="8"/>
  <c r="J71" i="8"/>
  <c r="F365" i="7"/>
  <c r="F966" i="1"/>
  <c r="L28" i="7"/>
  <c r="F79" i="8"/>
  <c r="I783" i="7"/>
  <c r="I279" i="8"/>
  <c r="I1598" i="1"/>
  <c r="I1742" i="1"/>
  <c r="I1898" i="1"/>
  <c r="H953" i="7"/>
  <c r="H497" i="8"/>
  <c r="J1071" i="7"/>
  <c r="J759" i="8"/>
  <c r="J933" i="8"/>
  <c r="J907" i="8"/>
  <c r="J295" i="8"/>
  <c r="L636" i="7"/>
  <c r="L630" i="7"/>
  <c r="L584" i="7"/>
  <c r="L229" i="7"/>
  <c r="M445" i="7"/>
  <c r="L194" i="7"/>
  <c r="K790" i="7"/>
  <c r="K445" i="7"/>
  <c r="G983" i="1"/>
  <c r="G560" i="7" s="1"/>
  <c r="J345" i="7"/>
  <c r="J355" i="7"/>
  <c r="I643" i="1" l="1"/>
  <c r="I911" i="1"/>
  <c r="J907" i="1"/>
  <c r="J300" i="7"/>
  <c r="H966" i="1"/>
  <c r="H1418" i="1" s="1"/>
  <c r="H489" i="8" s="1"/>
  <c r="H488" i="8" s="1"/>
  <c r="K1251" i="1"/>
  <c r="K625" i="1"/>
  <c r="G325" i="1"/>
  <c r="G324" i="1"/>
  <c r="K622" i="1"/>
  <c r="H364" i="7"/>
  <c r="I365" i="7"/>
  <c r="K1058" i="1"/>
  <c r="K1212" i="1" s="1"/>
  <c r="K1147" i="1" s="1"/>
  <c r="K160" i="8" s="1"/>
  <c r="K159" i="8" s="1"/>
  <c r="K1059" i="1"/>
  <c r="K965" i="1"/>
  <c r="K962" i="1"/>
  <c r="K1132" i="1"/>
  <c r="K915" i="1"/>
  <c r="K775" i="1"/>
  <c r="K751" i="1"/>
  <c r="K982" i="1"/>
  <c r="K916" i="1"/>
  <c r="K1133" i="1"/>
  <c r="K132" i="8" s="1"/>
  <c r="K131" i="8" s="1"/>
  <c r="K766" i="1"/>
  <c r="K147" i="1"/>
  <c r="G777" i="7"/>
  <c r="G268" i="8"/>
  <c r="G267" i="8" s="1"/>
  <c r="K1129" i="1"/>
  <c r="K1396" i="1"/>
  <c r="K448" i="8" s="1"/>
  <c r="K447" i="8" s="1"/>
  <c r="K1257" i="1"/>
  <c r="K1117" i="1"/>
  <c r="K753" i="1"/>
  <c r="K701" i="1"/>
  <c r="K750" i="1"/>
  <c r="K700" i="1"/>
  <c r="I1253" i="1"/>
  <c r="I272" i="8" s="1"/>
  <c r="I271" i="8" s="1"/>
  <c r="J765" i="1"/>
  <c r="J766" i="1"/>
  <c r="J775" i="1"/>
  <c r="J776" i="1" s="1"/>
  <c r="J627" i="1"/>
  <c r="J636" i="1" s="1"/>
  <c r="M636" i="1" s="1"/>
  <c r="J631" i="1"/>
  <c r="J640" i="1" s="1"/>
  <c r="M640" i="1" s="1"/>
  <c r="G375" i="1"/>
  <c r="G374" i="1"/>
  <c r="H963" i="1"/>
  <c r="H540" i="7" s="1"/>
  <c r="I923" i="1"/>
  <c r="I500" i="7" s="1"/>
  <c r="K511" i="7"/>
  <c r="K476" i="7"/>
  <c r="L509" i="7"/>
  <c r="L473" i="7"/>
  <c r="L449" i="7"/>
  <c r="L452" i="7"/>
  <c r="L462" i="7"/>
  <c r="L465" i="7"/>
  <c r="J933" i="1"/>
  <c r="J511" i="7"/>
  <c r="H500" i="7"/>
  <c r="H1140" i="1"/>
  <c r="H146" i="8" s="1"/>
  <c r="G526" i="7"/>
  <c r="K509" i="7"/>
  <c r="G966" i="1"/>
  <c r="G543" i="7" s="1"/>
  <c r="H855" i="1"/>
  <c r="J703" i="1"/>
  <c r="G116" i="1"/>
  <c r="G115" i="1" s="1"/>
  <c r="I361" i="7"/>
  <c r="G811" i="1"/>
  <c r="G843" i="1" s="1"/>
  <c r="G841" i="1" s="1"/>
  <c r="M625" i="7"/>
  <c r="L623" i="7"/>
  <c r="H849" i="1"/>
  <c r="H876" i="1" s="1"/>
  <c r="H458" i="7" s="1"/>
  <c r="K293" i="7"/>
  <c r="J622" i="1"/>
  <c r="I296" i="7"/>
  <c r="J1062" i="1"/>
  <c r="J637" i="7" s="1"/>
  <c r="H484" i="7"/>
  <c r="H916" i="1"/>
  <c r="H493" i="7" s="1"/>
  <c r="J931" i="1"/>
  <c r="J508" i="7" s="1"/>
  <c r="I299" i="7"/>
  <c r="I637" i="7"/>
  <c r="I931" i="1"/>
  <c r="I508" i="7" s="1"/>
  <c r="I929" i="1"/>
  <c r="F507" i="7"/>
  <c r="F919" i="1"/>
  <c r="H929" i="1"/>
  <c r="H931" i="1"/>
  <c r="H508" i="7" s="1"/>
  <c r="H733" i="1"/>
  <c r="I689" i="7"/>
  <c r="I159" i="8"/>
  <c r="J298" i="7"/>
  <c r="J625" i="1"/>
  <c r="H543" i="7"/>
  <c r="J700" i="1"/>
  <c r="G937" i="1"/>
  <c r="G514" i="7" s="1"/>
  <c r="H935" i="1"/>
  <c r="H512" i="7" s="1"/>
  <c r="K342" i="7"/>
  <c r="L622" i="7"/>
  <c r="M624" i="7"/>
  <c r="J631" i="7"/>
  <c r="J1212" i="1"/>
  <c r="J1147" i="1" s="1"/>
  <c r="J160" i="8" s="1"/>
  <c r="J1117" i="1"/>
  <c r="J104" i="8" s="1"/>
  <c r="K633" i="7"/>
  <c r="K634" i="7"/>
  <c r="L634" i="7"/>
  <c r="F130" i="8"/>
  <c r="F129" i="8" s="1"/>
  <c r="F674" i="7"/>
  <c r="G1132" i="1"/>
  <c r="G130" i="8" s="1"/>
  <c r="G915" i="1"/>
  <c r="G492" i="7" s="1"/>
  <c r="J307" i="7"/>
  <c r="K297" i="7"/>
  <c r="I307" i="7"/>
  <c r="J308" i="7"/>
  <c r="L332" i="7"/>
  <c r="K305" i="7"/>
  <c r="L324" i="7"/>
  <c r="F526" i="7"/>
  <c r="F726" i="1"/>
  <c r="F120" i="1" s="1"/>
  <c r="L294" i="7"/>
  <c r="L316" i="7"/>
  <c r="L349" i="7"/>
  <c r="K339" i="7"/>
  <c r="L301" i="7"/>
  <c r="H1133" i="1"/>
  <c r="K343" i="7"/>
  <c r="I347" i="7"/>
  <c r="J344" i="7"/>
  <c r="I787" i="1"/>
  <c r="I842" i="1" s="1"/>
  <c r="I848" i="1" s="1"/>
  <c r="I811" i="1"/>
  <c r="I843" i="1" s="1"/>
  <c r="H1139" i="1"/>
  <c r="H144" i="8" s="1"/>
  <c r="L318" i="7"/>
  <c r="H116" i="1"/>
  <c r="H115" i="1" s="1"/>
  <c r="K109" i="7"/>
  <c r="G701" i="1"/>
  <c r="I358" i="7"/>
  <c r="I962" i="1"/>
  <c r="I539" i="7" s="1"/>
  <c r="I829" i="1"/>
  <c r="I845" i="1" s="1"/>
  <c r="I902" i="1"/>
  <c r="J902" i="1" s="1"/>
  <c r="K902" i="1" s="1"/>
  <c r="I965" i="1"/>
  <c r="I542" i="7" s="1"/>
  <c r="I701" i="1"/>
  <c r="H701" i="1"/>
  <c r="H700" i="1"/>
  <c r="I700" i="1"/>
  <c r="G700" i="1"/>
  <c r="J86" i="7"/>
  <c r="I730" i="1"/>
  <c r="I1252" i="1" s="1"/>
  <c r="I270" i="8" s="1"/>
  <c r="L333" i="7"/>
  <c r="K382" i="7"/>
  <c r="K385" i="7"/>
  <c r="L41" i="7"/>
  <c r="K315" i="7"/>
  <c r="L308" i="7"/>
  <c r="L309" i="7"/>
  <c r="K328" i="7"/>
  <c r="K329" i="7"/>
  <c r="M444" i="7"/>
  <c r="M129" i="7"/>
  <c r="K381" i="7"/>
  <c r="K378" i="7"/>
  <c r="N485" i="7"/>
  <c r="N474" i="7"/>
  <c r="N475" i="7"/>
  <c r="K389" i="7"/>
  <c r="K386" i="7"/>
  <c r="K373" i="7"/>
  <c r="K370" i="7"/>
  <c r="N26" i="7"/>
  <c r="N27" i="7"/>
  <c r="N1012" i="7"/>
  <c r="N606" i="7"/>
  <c r="M617" i="7"/>
  <c r="L397" i="7"/>
  <c r="L394" i="7"/>
  <c r="M393" i="7"/>
  <c r="M390" i="7"/>
  <c r="G271" i="8"/>
  <c r="G779" i="7"/>
  <c r="G729" i="1"/>
  <c r="G730" i="1"/>
  <c r="N486" i="7"/>
  <c r="N487" i="7"/>
  <c r="N463" i="7"/>
  <c r="N464" i="7"/>
  <c r="N450" i="7"/>
  <c r="N451" i="7"/>
  <c r="N997" i="7"/>
  <c r="N998" i="7"/>
  <c r="J377" i="7"/>
  <c r="J374" i="7"/>
  <c r="G1395" i="1"/>
  <c r="G446" i="8" s="1"/>
  <c r="G524" i="7"/>
  <c r="L611" i="7"/>
  <c r="L608" i="7"/>
  <c r="M609" i="7"/>
  <c r="K608" i="7"/>
  <c r="N625" i="7"/>
  <c r="M350" i="7"/>
  <c r="M302" i="7"/>
  <c r="M303" i="7"/>
  <c r="F728" i="1"/>
  <c r="H926" i="1"/>
  <c r="H503" i="7" s="1"/>
  <c r="H1253" i="1"/>
  <c r="H272" i="8" s="1"/>
  <c r="F776" i="1"/>
  <c r="H730" i="1"/>
  <c r="H729" i="1"/>
  <c r="F777" i="1"/>
  <c r="F524" i="7"/>
  <c r="F1395" i="1"/>
  <c r="F729" i="1"/>
  <c r="H776" i="1"/>
  <c r="I777" i="1"/>
  <c r="H777" i="1"/>
  <c r="I776" i="1"/>
  <c r="J777" i="1"/>
  <c r="G776" i="1"/>
  <c r="J778" i="1"/>
  <c r="K779" i="1" s="1"/>
  <c r="J401" i="7"/>
  <c r="J398" i="7"/>
  <c r="I916" i="1"/>
  <c r="I493" i="7" s="1"/>
  <c r="I779" i="1"/>
  <c r="I1133" i="1"/>
  <c r="I132" i="8" s="1"/>
  <c r="G777" i="1"/>
  <c r="F1253" i="1"/>
  <c r="M311" i="7"/>
  <c r="K307" i="7"/>
  <c r="J120" i="1"/>
  <c r="K526" i="7"/>
  <c r="L955" i="7"/>
  <c r="M241" i="7"/>
  <c r="M202" i="7"/>
  <c r="M261" i="7"/>
  <c r="L800" i="7"/>
  <c r="L1105" i="7"/>
  <c r="L949" i="7"/>
  <c r="L295" i="7"/>
  <c r="K1071" i="7"/>
  <c r="I680" i="8"/>
  <c r="I935" i="8"/>
  <c r="I828" i="8"/>
  <c r="K345" i="7"/>
  <c r="M28" i="7"/>
  <c r="F543" i="7"/>
  <c r="F1418" i="1"/>
  <c r="K324" i="7"/>
  <c r="I953" i="7"/>
  <c r="I497" i="8"/>
  <c r="O144" i="7"/>
  <c r="K161" i="7"/>
  <c r="L320" i="7"/>
  <c r="H488" i="7"/>
  <c r="H937" i="1"/>
  <c r="J730" i="1"/>
  <c r="J729" i="1"/>
  <c r="L312" i="7"/>
  <c r="L342" i="7"/>
  <c r="F512" i="7"/>
  <c r="F974" i="1"/>
  <c r="F977" i="1"/>
  <c r="F1255" i="1"/>
  <c r="F488" i="7"/>
  <c r="F937" i="1"/>
  <c r="F964" i="1"/>
  <c r="F541" i="7" s="1"/>
  <c r="F364" i="7"/>
  <c r="F963" i="1"/>
  <c r="J783" i="7"/>
  <c r="J279" i="8"/>
  <c r="J1598" i="1"/>
  <c r="J1003" i="7" s="1"/>
  <c r="J1742" i="1"/>
  <c r="J1898" i="1"/>
  <c r="J1109" i="7" s="1"/>
  <c r="K631" i="7"/>
  <c r="M318" i="7"/>
  <c r="M324" i="7"/>
  <c r="K522" i="7"/>
  <c r="I925" i="7"/>
  <c r="I445" i="8"/>
  <c r="F777" i="7"/>
  <c r="F268" i="8"/>
  <c r="K1081" i="7"/>
  <c r="L794" i="7"/>
  <c r="L803" i="7"/>
  <c r="L1107" i="7"/>
  <c r="L1081" i="7"/>
  <c r="I363" i="7"/>
  <c r="I1251" i="1"/>
  <c r="I268" i="8" s="1"/>
  <c r="K360" i="7"/>
  <c r="I120" i="1"/>
  <c r="M950" i="7"/>
  <c r="M326" i="7"/>
  <c r="K1105" i="7"/>
  <c r="F851" i="1"/>
  <c r="F899" i="1"/>
  <c r="F495" i="7"/>
  <c r="K635" i="7"/>
  <c r="K530" i="7"/>
  <c r="I460" i="7"/>
  <c r="I928" i="1"/>
  <c r="I505" i="7" s="1"/>
  <c r="I982" i="1"/>
  <c r="I559" i="7" s="1"/>
  <c r="K323" i="7"/>
  <c r="L329" i="7"/>
  <c r="L331" i="7"/>
  <c r="L325" i="7"/>
  <c r="J820" i="1"/>
  <c r="J829" i="1"/>
  <c r="J346" i="7"/>
  <c r="M629" i="7"/>
  <c r="K340" i="7"/>
  <c r="K336" i="7"/>
  <c r="L789" i="7"/>
  <c r="M584" i="7"/>
  <c r="M636" i="7"/>
  <c r="M630" i="7"/>
  <c r="M252" i="7"/>
  <c r="M229" i="7"/>
  <c r="M194" i="7"/>
  <c r="L792" i="7"/>
  <c r="L804" i="7"/>
  <c r="I1109" i="7"/>
  <c r="I1003" i="7"/>
  <c r="M310" i="7"/>
  <c r="M309" i="7"/>
  <c r="L29" i="7"/>
  <c r="J336" i="7"/>
  <c r="L321" i="7"/>
  <c r="L322" i="7"/>
  <c r="L317" i="7"/>
  <c r="M334" i="7"/>
  <c r="J360" i="7"/>
  <c r="J107" i="1"/>
  <c r="J982" i="1" s="1"/>
  <c r="J559" i="7" s="1"/>
  <c r="H159" i="8"/>
  <c r="H828" i="8"/>
  <c r="H680" i="8"/>
  <c r="H935" i="8"/>
  <c r="K352" i="7"/>
  <c r="L311" i="7"/>
  <c r="L313" i="7"/>
  <c r="F842" i="1"/>
  <c r="F920" i="8"/>
  <c r="K308" i="7"/>
  <c r="M319" i="7"/>
  <c r="L337" i="7"/>
  <c r="L338" i="7"/>
  <c r="I671" i="7"/>
  <c r="I1883" i="1"/>
  <c r="H777" i="7"/>
  <c r="H267" i="8"/>
  <c r="K1072" i="7"/>
  <c r="J293" i="8"/>
  <c r="L790" i="7"/>
  <c r="L261" i="7"/>
  <c r="L793" i="7"/>
  <c r="I103" i="8"/>
  <c r="L305" i="7"/>
  <c r="G364" i="7"/>
  <c r="G963" i="1"/>
  <c r="K32" i="7"/>
  <c r="K264" i="7"/>
  <c r="K278" i="7"/>
  <c r="K291" i="7"/>
  <c r="K368" i="7"/>
  <c r="K405" i="7"/>
  <c r="K517" i="7"/>
  <c r="K440" i="7"/>
  <c r="K582" i="7"/>
  <c r="K992" i="7"/>
  <c r="K603" i="7"/>
  <c r="K669" i="7"/>
  <c r="K775" i="7"/>
  <c r="K919" i="7"/>
  <c r="K964" i="7"/>
  <c r="K1066" i="7"/>
  <c r="K1092" i="7"/>
  <c r="F361" i="7"/>
  <c r="F116" i="1"/>
  <c r="L353" i="7"/>
  <c r="J727" i="1"/>
  <c r="J945" i="1" s="1"/>
  <c r="J735" i="1"/>
  <c r="J949" i="1" s="1"/>
  <c r="H724" i="1"/>
  <c r="H735" i="1"/>
  <c r="H949" i="1" s="1"/>
  <c r="H727" i="1"/>
  <c r="H945" i="1" s="1"/>
  <c r="K316" i="7"/>
  <c r="M327" i="7"/>
  <c r="H948" i="7"/>
  <c r="K338" i="7"/>
  <c r="L560" i="7"/>
  <c r="K330" i="7"/>
  <c r="K331" i="7"/>
  <c r="H841" i="1"/>
  <c r="H848" i="1"/>
  <c r="H864" i="1"/>
  <c r="H446" i="7" s="1"/>
  <c r="F850" i="1"/>
  <c r="F888" i="1"/>
  <c r="G848" i="1"/>
  <c r="G864" i="1"/>
  <c r="G446" i="7" s="1"/>
  <c r="F875" i="1"/>
  <c r="F849" i="1"/>
  <c r="G1139" i="1"/>
  <c r="G144" i="8" s="1"/>
  <c r="F460" i="7"/>
  <c r="F928" i="1"/>
  <c r="N929" i="7"/>
  <c r="M1069" i="7"/>
  <c r="M1070" i="7"/>
  <c r="J911" i="1" l="1"/>
  <c r="K907" i="1"/>
  <c r="H964" i="1"/>
  <c r="H541" i="7" s="1"/>
  <c r="H1134" i="1"/>
  <c r="H134" i="8" s="1"/>
  <c r="G334" i="1"/>
  <c r="K634" i="1"/>
  <c r="K643" i="1" s="1"/>
  <c r="K776" i="1"/>
  <c r="I966" i="1"/>
  <c r="I543" i="7" s="1"/>
  <c r="I779" i="7"/>
  <c r="K777" i="1"/>
  <c r="K906" i="1"/>
  <c r="K935" i="1"/>
  <c r="K104" i="8"/>
  <c r="K103" i="8" s="1"/>
  <c r="K926" i="1"/>
  <c r="K1742" i="1"/>
  <c r="K1898" i="1"/>
  <c r="K1598" i="1"/>
  <c r="K280" i="8"/>
  <c r="K279" i="8" s="1"/>
  <c r="K130" i="8"/>
  <c r="K129" i="8" s="1"/>
  <c r="K1253" i="1"/>
  <c r="K272" i="8" s="1"/>
  <c r="K271" i="8" s="1"/>
  <c r="K878" i="1"/>
  <c r="K928" i="1" s="1"/>
  <c r="K918" i="1"/>
  <c r="K268" i="8"/>
  <c r="K267" i="8" s="1"/>
  <c r="K1883" i="1"/>
  <c r="K125" i="8"/>
  <c r="K124" i="8" s="1"/>
  <c r="H675" i="7"/>
  <c r="H132" i="8"/>
  <c r="H131" i="8" s="1"/>
  <c r="L362" i="7"/>
  <c r="K812" i="1"/>
  <c r="M530" i="7"/>
  <c r="J632" i="1"/>
  <c r="J641" i="1" s="1"/>
  <c r="M641" i="1" s="1"/>
  <c r="H961" i="1"/>
  <c r="H1392" i="1" s="1"/>
  <c r="H440" i="8" s="1"/>
  <c r="J1253" i="1"/>
  <c r="J272" i="8" s="1"/>
  <c r="J926" i="1"/>
  <c r="J503" i="7" s="1"/>
  <c r="J359" i="7"/>
  <c r="J148" i="1"/>
  <c r="J147" i="1" s="1"/>
  <c r="J1129" i="1"/>
  <c r="J125" i="8" s="1"/>
  <c r="J634" i="1"/>
  <c r="J643" i="1" s="1"/>
  <c r="K365" i="7"/>
  <c r="I1140" i="1"/>
  <c r="G384" i="1"/>
  <c r="K510" i="7"/>
  <c r="M449" i="7"/>
  <c r="M452" i="7"/>
  <c r="J510" i="7"/>
  <c r="J923" i="1"/>
  <c r="L476" i="7"/>
  <c r="M462" i="7"/>
  <c r="M465" i="7"/>
  <c r="M473" i="7"/>
  <c r="H145" i="8"/>
  <c r="H682" i="7"/>
  <c r="J1423" i="1"/>
  <c r="J953" i="7" s="1"/>
  <c r="G1418" i="1"/>
  <c r="G489" i="8" s="1"/>
  <c r="G964" i="1"/>
  <c r="G541" i="7" s="1"/>
  <c r="G361" i="7"/>
  <c r="L297" i="7"/>
  <c r="H974" i="1"/>
  <c r="H551" i="7" s="1"/>
  <c r="G929" i="1"/>
  <c r="G931" i="1"/>
  <c r="G508" i="7" s="1"/>
  <c r="G849" i="1"/>
  <c r="G876" i="1" s="1"/>
  <c r="G458" i="7" s="1"/>
  <c r="G875" i="1"/>
  <c r="G457" i="7" s="1"/>
  <c r="J296" i="7"/>
  <c r="J929" i="1"/>
  <c r="J506" i="7" s="1"/>
  <c r="K508" i="7"/>
  <c r="M791" i="7"/>
  <c r="F496" i="7"/>
  <c r="F1136" i="1"/>
  <c r="I506" i="7"/>
  <c r="I930" i="1"/>
  <c r="H506" i="7"/>
  <c r="H930" i="1"/>
  <c r="O999" i="7"/>
  <c r="N999" i="7"/>
  <c r="G936" i="1"/>
  <c r="G513" i="7" s="1"/>
  <c r="H681" i="7"/>
  <c r="H143" i="8"/>
  <c r="J103" i="8"/>
  <c r="J299" i="7"/>
  <c r="L1102" i="7"/>
  <c r="K298" i="7"/>
  <c r="L627" i="7"/>
  <c r="M634" i="7"/>
  <c r="H1255" i="1"/>
  <c r="H276" i="8" s="1"/>
  <c r="H977" i="1"/>
  <c r="H554" i="7" s="1"/>
  <c r="H936" i="1"/>
  <c r="H922" i="1" s="1"/>
  <c r="I925" i="1"/>
  <c r="I502" i="7" s="1"/>
  <c r="L323" i="7"/>
  <c r="M622" i="7"/>
  <c r="N624" i="7"/>
  <c r="I864" i="1"/>
  <c r="I446" i="7" s="1"/>
  <c r="G129" i="8"/>
  <c r="G674" i="7"/>
  <c r="I733" i="1"/>
  <c r="H1132" i="1"/>
  <c r="H130" i="8" s="1"/>
  <c r="H915" i="1"/>
  <c r="H492" i="7" s="1"/>
  <c r="M294" i="7"/>
  <c r="L293" i="7"/>
  <c r="K300" i="7"/>
  <c r="J304" i="7"/>
  <c r="F1139" i="1"/>
  <c r="F681" i="7" s="1"/>
  <c r="L306" i="7"/>
  <c r="G1252" i="1"/>
  <c r="G270" i="8" s="1"/>
  <c r="L343" i="7"/>
  <c r="J347" i="7"/>
  <c r="K346" i="7"/>
  <c r="K348" i="7"/>
  <c r="K341" i="7"/>
  <c r="K559" i="7"/>
  <c r="L304" i="7"/>
  <c r="I875" i="1"/>
  <c r="I457" i="7" s="1"/>
  <c r="I849" i="1"/>
  <c r="L1080" i="7"/>
  <c r="L109" i="7"/>
  <c r="I899" i="1"/>
  <c r="I481" i="7" s="1"/>
  <c r="I851" i="1"/>
  <c r="I900" i="1" s="1"/>
  <c r="I482" i="7" s="1"/>
  <c r="I116" i="1"/>
  <c r="I115" i="1" s="1"/>
  <c r="I484" i="7"/>
  <c r="I935" i="1"/>
  <c r="I906" i="1"/>
  <c r="I820" i="1"/>
  <c r="I844" i="1" s="1"/>
  <c r="I855" i="1"/>
  <c r="I964" i="1"/>
  <c r="I541" i="7" s="1"/>
  <c r="M356" i="7"/>
  <c r="M301" i="7"/>
  <c r="M41" i="7"/>
  <c r="K86" i="7"/>
  <c r="L385" i="7"/>
  <c r="L382" i="7"/>
  <c r="L356" i="7"/>
  <c r="L352" i="7"/>
  <c r="K354" i="7"/>
  <c r="K355" i="7"/>
  <c r="N326" i="7"/>
  <c r="G925" i="1"/>
  <c r="G502" i="7" s="1"/>
  <c r="L340" i="7"/>
  <c r="L336" i="7"/>
  <c r="M308" i="7"/>
  <c r="L339" i="7"/>
  <c r="N129" i="7"/>
  <c r="N302" i="7"/>
  <c r="M610" i="7"/>
  <c r="G445" i="8"/>
  <c r="G925" i="7"/>
  <c r="O997" i="7"/>
  <c r="O998" i="7"/>
  <c r="N393" i="7"/>
  <c r="N390" i="7"/>
  <c r="M397" i="7"/>
  <c r="M394" i="7"/>
  <c r="L791" i="7"/>
  <c r="O26" i="7"/>
  <c r="O27" i="7"/>
  <c r="O1012" i="7"/>
  <c r="L373" i="7"/>
  <c r="L370" i="7"/>
  <c r="L389" i="7"/>
  <c r="L386" i="7"/>
  <c r="O486" i="7"/>
  <c r="O487" i="7"/>
  <c r="O463" i="7"/>
  <c r="O464" i="7"/>
  <c r="O450" i="7"/>
  <c r="O451" i="7"/>
  <c r="L381" i="7"/>
  <c r="L378" i="7"/>
  <c r="M611" i="7"/>
  <c r="N609" i="7"/>
  <c r="N610" i="7"/>
  <c r="K377" i="7"/>
  <c r="K374" i="7"/>
  <c r="N617" i="7"/>
  <c r="O606" i="7"/>
  <c r="O474" i="7"/>
  <c r="O475" i="7"/>
  <c r="O485" i="7"/>
  <c r="O625" i="7"/>
  <c r="N350" i="7"/>
  <c r="H925" i="1"/>
  <c r="H502" i="7" s="1"/>
  <c r="N340" i="7"/>
  <c r="K398" i="7"/>
  <c r="K401" i="7"/>
  <c r="J1133" i="1"/>
  <c r="J132" i="8" s="1"/>
  <c r="J779" i="1"/>
  <c r="J916" i="1"/>
  <c r="J493" i="7" s="1"/>
  <c r="H1252" i="1"/>
  <c r="H270" i="8" s="1"/>
  <c r="H779" i="7"/>
  <c r="H271" i="8"/>
  <c r="G728" i="1"/>
  <c r="N318" i="7"/>
  <c r="F779" i="7"/>
  <c r="F272" i="8"/>
  <c r="F271" i="8" s="1"/>
  <c r="I131" i="8"/>
  <c r="I675" i="7"/>
  <c r="F730" i="1"/>
  <c r="F1252" i="1" s="1"/>
  <c r="F925" i="7"/>
  <c r="F446" i="8"/>
  <c r="F445" i="8" s="1"/>
  <c r="F734" i="1"/>
  <c r="F954" i="1" s="1"/>
  <c r="F946" i="1"/>
  <c r="M317" i="7"/>
  <c r="M325" i="7"/>
  <c r="L341" i="7"/>
  <c r="M332" i="7"/>
  <c r="M328" i="7"/>
  <c r="L635" i="7"/>
  <c r="G681" i="7"/>
  <c r="G143" i="8"/>
  <c r="F457" i="7"/>
  <c r="G865" i="1"/>
  <c r="G447" i="7" s="1"/>
  <c r="F470" i="7"/>
  <c r="H676" i="7"/>
  <c r="H133" i="8"/>
  <c r="H847" i="1"/>
  <c r="H136" i="1" s="1"/>
  <c r="H865" i="1"/>
  <c r="H447" i="7" s="1"/>
  <c r="L522" i="7"/>
  <c r="N303" i="7"/>
  <c r="M295" i="7"/>
  <c r="K312" i="7"/>
  <c r="H526" i="7"/>
  <c r="H947" i="1"/>
  <c r="J522" i="7"/>
  <c r="F115" i="1"/>
  <c r="G540" i="7"/>
  <c r="G961" i="1"/>
  <c r="J928" i="8"/>
  <c r="J906" i="8"/>
  <c r="M351" i="7"/>
  <c r="I1094" i="7"/>
  <c r="K304" i="7"/>
  <c r="F841" i="1"/>
  <c r="F848" i="1"/>
  <c r="F1134" i="1" s="1"/>
  <c r="F864" i="1"/>
  <c r="M337" i="7"/>
  <c r="M333" i="7"/>
  <c r="L1108" i="7"/>
  <c r="M804" i="7"/>
  <c r="M1108" i="7"/>
  <c r="M955" i="7"/>
  <c r="M800" i="7"/>
  <c r="J845" i="1"/>
  <c r="J484" i="7"/>
  <c r="J906" i="1"/>
  <c r="J935" i="1"/>
  <c r="K637" i="7"/>
  <c r="F481" i="7"/>
  <c r="N950" i="7"/>
  <c r="I364" i="7"/>
  <c r="I963" i="1"/>
  <c r="I777" i="7"/>
  <c r="I267" i="8"/>
  <c r="F267" i="8"/>
  <c r="M560" i="7"/>
  <c r="M321" i="7"/>
  <c r="K783" i="7"/>
  <c r="I778" i="7"/>
  <c r="I269" i="8"/>
  <c r="F514" i="7"/>
  <c r="F121" i="1"/>
  <c r="F781" i="7"/>
  <c r="F276" i="8"/>
  <c r="F551" i="7"/>
  <c r="F936" i="1"/>
  <c r="I865" i="1"/>
  <c r="I447" i="7" s="1"/>
  <c r="L345" i="7"/>
  <c r="N294" i="7"/>
  <c r="H514" i="7"/>
  <c r="H121" i="1"/>
  <c r="F948" i="7"/>
  <c r="F489" i="8"/>
  <c r="F488" i="8" s="1"/>
  <c r="M29" i="7"/>
  <c r="L1071" i="7"/>
  <c r="N636" i="7"/>
  <c r="N630" i="7"/>
  <c r="N584" i="7"/>
  <c r="N445" i="7"/>
  <c r="N229" i="7"/>
  <c r="N194" i="7"/>
  <c r="O445" i="7"/>
  <c r="M793" i="7"/>
  <c r="L328" i="7"/>
  <c r="L359" i="7"/>
  <c r="N319" i="7"/>
  <c r="N1069" i="7"/>
  <c r="N1070" i="7"/>
  <c r="O929" i="7"/>
  <c r="M623" i="7"/>
  <c r="F505" i="7"/>
  <c r="F876" i="1"/>
  <c r="G207" i="1"/>
  <c r="G204" i="1" s="1"/>
  <c r="G201" i="1" s="1"/>
  <c r="G202" i="1" s="1"/>
  <c r="G226" i="1"/>
  <c r="G223" i="1" s="1"/>
  <c r="G1847" i="1"/>
  <c r="G988" i="1"/>
  <c r="G1254" i="1"/>
  <c r="G274" i="8" s="1"/>
  <c r="F889" i="1"/>
  <c r="H226" i="1"/>
  <c r="H223" i="1" s="1"/>
  <c r="H207" i="1"/>
  <c r="H204" i="1" s="1"/>
  <c r="H201" i="1" s="1"/>
  <c r="H202" i="1" s="1"/>
  <c r="H988" i="1"/>
  <c r="H1254" i="1"/>
  <c r="H274" i="8" s="1"/>
  <c r="H1847" i="1"/>
  <c r="L526" i="7"/>
  <c r="H522" i="7"/>
  <c r="H108" i="1"/>
  <c r="J526" i="7"/>
  <c r="J947" i="1"/>
  <c r="L354" i="7"/>
  <c r="L355" i="7"/>
  <c r="N310" i="7"/>
  <c r="N316" i="7"/>
  <c r="L1072" i="7"/>
  <c r="M354" i="7"/>
  <c r="M349" i="7"/>
  <c r="I124" i="8"/>
  <c r="J689" i="7"/>
  <c r="L314" i="7"/>
  <c r="L315" i="7"/>
  <c r="M335" i="7"/>
  <c r="L32" i="7"/>
  <c r="L264" i="7"/>
  <c r="L278" i="7"/>
  <c r="L291" i="7"/>
  <c r="L368" i="7"/>
  <c r="L405" i="7"/>
  <c r="L440" i="7"/>
  <c r="L517" i="7"/>
  <c r="L603" i="7"/>
  <c r="L669" i="7"/>
  <c r="L775" i="7"/>
  <c r="L919" i="7"/>
  <c r="L964" i="7"/>
  <c r="L1066" i="7"/>
  <c r="L1092" i="7"/>
  <c r="L582" i="7"/>
  <c r="L992" i="7"/>
  <c r="K344" i="7"/>
  <c r="M313" i="7"/>
  <c r="M314" i="7"/>
  <c r="M789" i="7"/>
  <c r="M1102" i="7"/>
  <c r="M792" i="7"/>
  <c r="M794" i="7"/>
  <c r="M949" i="7"/>
  <c r="N955" i="7"/>
  <c r="M803" i="7"/>
  <c r="M1081" i="7"/>
  <c r="J844" i="1"/>
  <c r="J787" i="1"/>
  <c r="L330" i="7"/>
  <c r="N351" i="7"/>
  <c r="F900" i="1"/>
  <c r="M329" i="7"/>
  <c r="M330" i="7"/>
  <c r="N334" i="7"/>
  <c r="N335" i="7"/>
  <c r="L444" i="7"/>
  <c r="M320" i="7"/>
  <c r="J680" i="8"/>
  <c r="J935" i="8"/>
  <c r="J828" i="8"/>
  <c r="F540" i="7"/>
  <c r="F961" i="1"/>
  <c r="F554" i="7"/>
  <c r="J925" i="1"/>
  <c r="J502" i="7" s="1"/>
  <c r="J1252" i="1"/>
  <c r="J270" i="8" s="1"/>
  <c r="N325" i="7"/>
  <c r="N327" i="7"/>
  <c r="L161" i="7"/>
  <c r="P144" i="7"/>
  <c r="K320" i="7"/>
  <c r="N28" i="7"/>
  <c r="N629" i="7"/>
  <c r="N241" i="7"/>
  <c r="N202" i="7"/>
  <c r="N252" i="7"/>
  <c r="M790" i="7"/>
  <c r="K524" i="7"/>
  <c r="K911" i="1" l="1"/>
  <c r="M911" i="1" s="1"/>
  <c r="M907" i="1"/>
  <c r="K937" i="1"/>
  <c r="K121" i="1" s="1"/>
  <c r="H538" i="7"/>
  <c r="K966" i="1"/>
  <c r="J362" i="7"/>
  <c r="K630" i="1"/>
  <c r="K639" i="1" s="1"/>
  <c r="M639" i="1" s="1"/>
  <c r="K633" i="1"/>
  <c r="K642" i="1" s="1"/>
  <c r="G335" i="1"/>
  <c r="I1418" i="1"/>
  <c r="I489" i="8" s="1"/>
  <c r="I488" i="8" s="1"/>
  <c r="K920" i="8"/>
  <c r="J498" i="8"/>
  <c r="J497" i="8" s="1"/>
  <c r="K828" i="8"/>
  <c r="K935" i="8"/>
  <c r="K680" i="8"/>
  <c r="K855" i="1"/>
  <c r="K811" i="1"/>
  <c r="K843" i="1" s="1"/>
  <c r="K732" i="1"/>
  <c r="K978" i="1" s="1"/>
  <c r="K936" i="1"/>
  <c r="K922" i="1" s="1"/>
  <c r="K1141" i="1" s="1"/>
  <c r="K148" i="8" s="1"/>
  <c r="K147" i="8" s="1"/>
  <c r="K1255" i="1"/>
  <c r="K276" i="8" s="1"/>
  <c r="K275" i="8" s="1"/>
  <c r="K977" i="1"/>
  <c r="K974" i="1"/>
  <c r="I146" i="8"/>
  <c r="I145" i="8" s="1"/>
  <c r="K731" i="1"/>
  <c r="K975" i="1" s="1"/>
  <c r="J124" i="8"/>
  <c r="J920" i="8" s="1"/>
  <c r="J1883" i="1"/>
  <c r="J1094" i="7" s="1"/>
  <c r="J671" i="7"/>
  <c r="J812" i="1"/>
  <c r="J358" i="7"/>
  <c r="J962" i="1"/>
  <c r="J539" i="7" s="1"/>
  <c r="J965" i="1"/>
  <c r="K362" i="7"/>
  <c r="J630" i="1"/>
  <c r="J639" i="1" s="1"/>
  <c r="J918" i="1"/>
  <c r="J495" i="7" s="1"/>
  <c r="J878" i="1"/>
  <c r="I682" i="7"/>
  <c r="K503" i="7"/>
  <c r="J633" i="1"/>
  <c r="J642" i="1" s="1"/>
  <c r="J271" i="8"/>
  <c r="J779" i="7"/>
  <c r="K359" i="7"/>
  <c r="M635" i="7"/>
  <c r="G385" i="1"/>
  <c r="J500" i="7"/>
  <c r="J1140" i="1"/>
  <c r="J146" i="8" s="1"/>
  <c r="N462" i="7"/>
  <c r="N465" i="7"/>
  <c r="K500" i="7"/>
  <c r="N449" i="7"/>
  <c r="N452" i="7"/>
  <c r="M509" i="7"/>
  <c r="M511" i="7"/>
  <c r="M476" i="7"/>
  <c r="N473" i="7"/>
  <c r="N509" i="7"/>
  <c r="L511" i="7"/>
  <c r="L300" i="7"/>
  <c r="G488" i="8"/>
  <c r="G948" i="7"/>
  <c r="G847" i="1"/>
  <c r="G136" i="1" s="1"/>
  <c r="G121" i="1"/>
  <c r="G922" i="1"/>
  <c r="G499" i="7" s="1"/>
  <c r="M293" i="7"/>
  <c r="G506" i="7"/>
  <c r="G1255" i="1"/>
  <c r="G276" i="8" s="1"/>
  <c r="G974" i="1"/>
  <c r="G551" i="7" s="1"/>
  <c r="G977" i="1"/>
  <c r="G554" i="7" s="1"/>
  <c r="G930" i="1"/>
  <c r="G1134" i="1"/>
  <c r="G134" i="8" s="1"/>
  <c r="J930" i="1"/>
  <c r="J507" i="7" s="1"/>
  <c r="M627" i="7"/>
  <c r="L298" i="7"/>
  <c r="K506" i="7"/>
  <c r="H513" i="7"/>
  <c r="K296" i="7"/>
  <c r="M297" i="7"/>
  <c r="K689" i="7"/>
  <c r="I507" i="7"/>
  <c r="I919" i="1"/>
  <c r="H507" i="7"/>
  <c r="H919" i="1"/>
  <c r="F678" i="7"/>
  <c r="F138" i="8"/>
  <c r="F137" i="8" s="1"/>
  <c r="J733" i="1"/>
  <c r="K734" i="1" s="1"/>
  <c r="K954" i="1" s="1"/>
  <c r="K299" i="7"/>
  <c r="H781" i="7"/>
  <c r="H275" i="8"/>
  <c r="N791" i="7"/>
  <c r="M633" i="7"/>
  <c r="L631" i="7"/>
  <c r="F144" i="8"/>
  <c r="F143" i="8" s="1"/>
  <c r="N622" i="7"/>
  <c r="G778" i="7"/>
  <c r="N333" i="7"/>
  <c r="L307" i="7"/>
  <c r="M355" i="7"/>
  <c r="L633" i="7"/>
  <c r="K543" i="7"/>
  <c r="I915" i="1"/>
  <c r="I492" i="7" s="1"/>
  <c r="I1132" i="1"/>
  <c r="I130" i="8" s="1"/>
  <c r="H674" i="7"/>
  <c r="H129" i="8"/>
  <c r="L363" i="7"/>
  <c r="J732" i="1"/>
  <c r="J978" i="1" s="1"/>
  <c r="J555" i="7" s="1"/>
  <c r="K363" i="7"/>
  <c r="M305" i="7"/>
  <c r="N317" i="7"/>
  <c r="K542" i="7"/>
  <c r="M306" i="7"/>
  <c r="M304" i="7"/>
  <c r="N308" i="7"/>
  <c r="L481" i="7"/>
  <c r="K482" i="7"/>
  <c r="K539" i="7"/>
  <c r="K358" i="7"/>
  <c r="K458" i="7"/>
  <c r="L470" i="7"/>
  <c r="M343" i="7"/>
  <c r="M342" i="7"/>
  <c r="L348" i="7"/>
  <c r="K470" i="7"/>
  <c r="K347" i="7"/>
  <c r="I876" i="1"/>
  <c r="I458" i="7" s="1"/>
  <c r="I1134" i="1"/>
  <c r="I134" i="8" s="1"/>
  <c r="N324" i="7"/>
  <c r="K493" i="7"/>
  <c r="N349" i="7"/>
  <c r="N330" i="7"/>
  <c r="M353" i="7"/>
  <c r="M109" i="7"/>
  <c r="M315" i="7"/>
  <c r="I488" i="7"/>
  <c r="I937" i="1"/>
  <c r="I888" i="1"/>
  <c r="I470" i="7" s="1"/>
  <c r="I850" i="1"/>
  <c r="I841" i="1"/>
  <c r="I1255" i="1"/>
  <c r="I276" i="8" s="1"/>
  <c r="I977" i="1"/>
  <c r="I554" i="7" s="1"/>
  <c r="I512" i="7"/>
  <c r="I974" i="1"/>
  <c r="I551" i="7" s="1"/>
  <c r="N301" i="7"/>
  <c r="M385" i="7"/>
  <c r="M382" i="7"/>
  <c r="H853" i="1"/>
  <c r="H917" i="1" s="1"/>
  <c r="H494" i="7" s="1"/>
  <c r="L86" i="7"/>
  <c r="N41" i="7"/>
  <c r="O129" i="7"/>
  <c r="P485" i="7"/>
  <c r="Q485" i="7"/>
  <c r="L377" i="7"/>
  <c r="L374" i="7"/>
  <c r="P474" i="7"/>
  <c r="P475" i="7"/>
  <c r="M389" i="7"/>
  <c r="M386" i="7"/>
  <c r="M373" i="7"/>
  <c r="M370" i="7"/>
  <c r="P997" i="7"/>
  <c r="P998" i="7"/>
  <c r="P606" i="7"/>
  <c r="Q606" i="7"/>
  <c r="O617" i="7"/>
  <c r="N611" i="7"/>
  <c r="N608" i="7"/>
  <c r="O609" i="7"/>
  <c r="O610" i="7"/>
  <c r="M608" i="7"/>
  <c r="M381" i="7"/>
  <c r="M378" i="7"/>
  <c r="P486" i="7"/>
  <c r="P487" i="7"/>
  <c r="P463" i="7"/>
  <c r="P464" i="7"/>
  <c r="P450" i="7"/>
  <c r="P451" i="7"/>
  <c r="P26" i="7"/>
  <c r="P27" i="7"/>
  <c r="P1012" i="7"/>
  <c r="N397" i="7"/>
  <c r="N394" i="7"/>
  <c r="O393" i="7"/>
  <c r="O390" i="7"/>
  <c r="P625" i="7"/>
  <c r="Q625" i="7"/>
  <c r="K552" i="7"/>
  <c r="F778" i="7"/>
  <c r="F270" i="8"/>
  <c r="F269" i="8" s="1"/>
  <c r="K555" i="7"/>
  <c r="O334" i="7"/>
  <c r="O350" i="7"/>
  <c r="F523" i="7"/>
  <c r="F943" i="1"/>
  <c r="H728" i="1"/>
  <c r="H778" i="7"/>
  <c r="H269" i="8"/>
  <c r="J675" i="7"/>
  <c r="J131" i="8"/>
  <c r="L401" i="7"/>
  <c r="L398" i="7"/>
  <c r="K675" i="7"/>
  <c r="F531" i="7"/>
  <c r="F951" i="1"/>
  <c r="F925" i="1"/>
  <c r="F502" i="7" s="1"/>
  <c r="H732" i="1"/>
  <c r="H978" i="1" s="1"/>
  <c r="G732" i="1"/>
  <c r="G978" i="1" s="1"/>
  <c r="G731" i="1"/>
  <c r="G975" i="1" s="1"/>
  <c r="J731" i="1"/>
  <c r="J975" i="1" s="1"/>
  <c r="J552" i="7" s="1"/>
  <c r="I731" i="1"/>
  <c r="I975" i="1" s="1"/>
  <c r="I732" i="1"/>
  <c r="I978" i="1" s="1"/>
  <c r="H731" i="1"/>
  <c r="H975" i="1" s="1"/>
  <c r="G946" i="1"/>
  <c r="G734" i="1"/>
  <c r="G954" i="1" s="1"/>
  <c r="F731" i="1"/>
  <c r="F975" i="1" s="1"/>
  <c r="F732" i="1"/>
  <c r="F978" i="1" s="1"/>
  <c r="N336" i="7"/>
  <c r="O351" i="7"/>
  <c r="O303" i="7"/>
  <c r="N295" i="7"/>
  <c r="N293" i="7"/>
  <c r="N356" i="7"/>
  <c r="N352" i="7"/>
  <c r="K778" i="7"/>
  <c r="N29" i="7"/>
  <c r="Q144" i="7"/>
  <c r="M161" i="7"/>
  <c r="J778" i="7"/>
  <c r="J269" i="8"/>
  <c r="F538" i="7"/>
  <c r="F1392" i="1"/>
  <c r="M526" i="7"/>
  <c r="O310" i="7"/>
  <c r="O316" i="7"/>
  <c r="F482" i="7"/>
  <c r="M1080" i="7"/>
  <c r="M316" i="7"/>
  <c r="O327" i="7"/>
  <c r="M307" i="7"/>
  <c r="J159" i="8"/>
  <c r="N313" i="7"/>
  <c r="N314" i="7"/>
  <c r="N309" i="7"/>
  <c r="O335" i="7"/>
  <c r="H983" i="1"/>
  <c r="H560" i="7" s="1"/>
  <c r="L524" i="7"/>
  <c r="H780" i="7"/>
  <c r="H273" i="8"/>
  <c r="G565" i="7"/>
  <c r="G1417" i="1"/>
  <c r="G487" i="8" s="1"/>
  <c r="N322" i="7"/>
  <c r="O584" i="7"/>
  <c r="O636" i="7"/>
  <c r="O630" i="7"/>
  <c r="O252" i="7"/>
  <c r="O229" i="7"/>
  <c r="O194" i="7"/>
  <c r="N789" i="7"/>
  <c r="N1080" i="7"/>
  <c r="N1102" i="7"/>
  <c r="N804" i="7"/>
  <c r="N1108" i="7"/>
  <c r="M1071" i="7"/>
  <c r="M32" i="7"/>
  <c r="M264" i="7"/>
  <c r="M278" i="7"/>
  <c r="M291" i="7"/>
  <c r="M368" i="7"/>
  <c r="M405" i="7"/>
  <c r="M517" i="7"/>
  <c r="M440" i="7"/>
  <c r="M582" i="7"/>
  <c r="M992" i="7"/>
  <c r="M603" i="7"/>
  <c r="M669" i="7"/>
  <c r="M775" i="7"/>
  <c r="M919" i="7"/>
  <c r="M964" i="7"/>
  <c r="M1066" i="7"/>
  <c r="M1092" i="7"/>
  <c r="N297" i="7"/>
  <c r="L346" i="7"/>
  <c r="F513" i="7"/>
  <c r="F922" i="1"/>
  <c r="F275" i="8"/>
  <c r="M322" i="7"/>
  <c r="I540" i="7"/>
  <c r="I961" i="1"/>
  <c r="O319" i="7"/>
  <c r="J488" i="7"/>
  <c r="J937" i="1"/>
  <c r="J936" i="1" s="1"/>
  <c r="L296" i="7"/>
  <c r="F847" i="1"/>
  <c r="F853" i="1" s="1"/>
  <c r="F865" i="1"/>
  <c r="M352" i="7"/>
  <c r="H524" i="7"/>
  <c r="H1395" i="1"/>
  <c r="H446" i="8" s="1"/>
  <c r="L530" i="7"/>
  <c r="L637" i="7"/>
  <c r="L358" i="7"/>
  <c r="M331" i="7"/>
  <c r="N790" i="7"/>
  <c r="N261" i="7"/>
  <c r="N793" i="7"/>
  <c r="M340" i="7"/>
  <c r="K925" i="7"/>
  <c r="N794" i="7"/>
  <c r="N803" i="7"/>
  <c r="N1107" i="7"/>
  <c r="N1081" i="7"/>
  <c r="O28" i="7"/>
  <c r="O311" i="7"/>
  <c r="N337" i="7"/>
  <c r="N338" i="7"/>
  <c r="N353" i="7"/>
  <c r="N354" i="7"/>
  <c r="J842" i="1"/>
  <c r="J850" i="1"/>
  <c r="J888" i="1"/>
  <c r="M1107" i="7"/>
  <c r="I920" i="8"/>
  <c r="M1072" i="7"/>
  <c r="N311" i="7"/>
  <c r="N312" i="7"/>
  <c r="J524" i="7"/>
  <c r="J1395" i="1"/>
  <c r="J446" i="8" s="1"/>
  <c r="H565" i="7"/>
  <c r="H1417" i="1"/>
  <c r="H487" i="8" s="1"/>
  <c r="F471" i="7"/>
  <c r="G780" i="7"/>
  <c r="G273" i="8"/>
  <c r="F458" i="7"/>
  <c r="N623" i="7"/>
  <c r="P929" i="7"/>
  <c r="O1069" i="7"/>
  <c r="O1070" i="7"/>
  <c r="L671" i="7"/>
  <c r="L1094" i="7"/>
  <c r="O629" i="7"/>
  <c r="O241" i="7"/>
  <c r="O202" i="7"/>
  <c r="O261" i="7"/>
  <c r="P445" i="7"/>
  <c r="N792" i="7"/>
  <c r="N800" i="7"/>
  <c r="N1105" i="7"/>
  <c r="N949" i="7"/>
  <c r="L360" i="7"/>
  <c r="K1109" i="7"/>
  <c r="K1003" i="7"/>
  <c r="M522" i="7"/>
  <c r="O950" i="7"/>
  <c r="K953" i="7"/>
  <c r="O318" i="7"/>
  <c r="J512" i="7"/>
  <c r="J1255" i="1"/>
  <c r="J276" i="8" s="1"/>
  <c r="J977" i="1"/>
  <c r="J974" i="1"/>
  <c r="J851" i="1"/>
  <c r="J899" i="1"/>
  <c r="G269" i="8"/>
  <c r="M1105" i="7"/>
  <c r="M338" i="7"/>
  <c r="M339" i="7"/>
  <c r="H499" i="7"/>
  <c r="H1141" i="1"/>
  <c r="H148" i="8" s="1"/>
  <c r="F676" i="7"/>
  <c r="F134" i="8"/>
  <c r="F446" i="7"/>
  <c r="F226" i="1"/>
  <c r="F207" i="1"/>
  <c r="F988" i="1"/>
  <c r="F1254" i="1"/>
  <c r="F1847" i="1"/>
  <c r="K361" i="7"/>
  <c r="G538" i="7"/>
  <c r="G1392" i="1"/>
  <c r="G440" i="8" s="1"/>
  <c r="H922" i="7"/>
  <c r="H439" i="8"/>
  <c r="K502" i="7"/>
  <c r="M323" i="7"/>
  <c r="K964" i="1" l="1"/>
  <c r="K1418" i="1"/>
  <c r="K489" i="8" s="1"/>
  <c r="K488" i="8" s="1"/>
  <c r="K116" i="1"/>
  <c r="K115" i="1" s="1"/>
  <c r="J364" i="7"/>
  <c r="K963" i="1"/>
  <c r="K961" i="1" s="1"/>
  <c r="K1392" i="1" s="1"/>
  <c r="K440" i="8" s="1"/>
  <c r="K439" i="8" s="1"/>
  <c r="H325" i="1"/>
  <c r="H324" i="1"/>
  <c r="I948" i="7"/>
  <c r="K973" i="1"/>
  <c r="K1414" i="1" s="1"/>
  <c r="K976" i="1"/>
  <c r="G1141" i="1"/>
  <c r="G148" i="8" s="1"/>
  <c r="G147" i="8" s="1"/>
  <c r="K951" i="1"/>
  <c r="K849" i="1"/>
  <c r="K1134" i="1" s="1"/>
  <c r="K875" i="1"/>
  <c r="K841" i="1"/>
  <c r="M359" i="7"/>
  <c r="L503" i="7"/>
  <c r="J542" i="7"/>
  <c r="J966" i="1"/>
  <c r="J964" i="1" s="1"/>
  <c r="J541" i="7" s="1"/>
  <c r="J365" i="7"/>
  <c r="J363" i="7"/>
  <c r="J1251" i="1"/>
  <c r="J268" i="8" s="1"/>
  <c r="M758" i="1"/>
  <c r="K671" i="7"/>
  <c r="K1094" i="7"/>
  <c r="J811" i="1"/>
  <c r="J843" i="1" s="1"/>
  <c r="J841" i="1" s="1"/>
  <c r="J855" i="1"/>
  <c r="K495" i="7"/>
  <c r="O530" i="7"/>
  <c r="K779" i="7"/>
  <c r="J928" i="1"/>
  <c r="J505" i="7" s="1"/>
  <c r="J460" i="7"/>
  <c r="K364" i="7"/>
  <c r="M387" i="1"/>
  <c r="H375" i="1"/>
  <c r="H374" i="1"/>
  <c r="O462" i="7"/>
  <c r="O465" i="7"/>
  <c r="L510" i="7"/>
  <c r="K682" i="7"/>
  <c r="J145" i="8"/>
  <c r="J682" i="7"/>
  <c r="N476" i="7"/>
  <c r="O473" i="7"/>
  <c r="O452" i="7"/>
  <c r="O449" i="7"/>
  <c r="G853" i="1"/>
  <c r="G927" i="1" s="1"/>
  <c r="G504" i="7" s="1"/>
  <c r="L299" i="7"/>
  <c r="J919" i="1"/>
  <c r="J1136" i="1" s="1"/>
  <c r="J138" i="8" s="1"/>
  <c r="G507" i="7"/>
  <c r="G919" i="1"/>
  <c r="G133" i="8"/>
  <c r="G676" i="7"/>
  <c r="G275" i="8"/>
  <c r="G781" i="7"/>
  <c r="K507" i="7"/>
  <c r="L458" i="7"/>
  <c r="M300" i="7"/>
  <c r="L508" i="7"/>
  <c r="H496" i="7"/>
  <c r="H1136" i="1"/>
  <c r="H138" i="8" s="1"/>
  <c r="I1136" i="1"/>
  <c r="I138" i="8" s="1"/>
  <c r="I496" i="7"/>
  <c r="O624" i="7"/>
  <c r="P999" i="7"/>
  <c r="L1003" i="7"/>
  <c r="L1109" i="7"/>
  <c r="L783" i="7"/>
  <c r="K457" i="7"/>
  <c r="K541" i="7"/>
  <c r="N634" i="7"/>
  <c r="K471" i="7"/>
  <c r="M298" i="7"/>
  <c r="N627" i="7"/>
  <c r="O308" i="7"/>
  <c r="K777" i="7"/>
  <c r="M631" i="7"/>
  <c r="I674" i="7"/>
  <c r="I129" i="8"/>
  <c r="J1132" i="1"/>
  <c r="J130" i="8" s="1"/>
  <c r="J915" i="1"/>
  <c r="J492" i="7" s="1"/>
  <c r="O294" i="7"/>
  <c r="K484" i="7"/>
  <c r="L471" i="7"/>
  <c r="K481" i="7"/>
  <c r="N315" i="7"/>
  <c r="M345" i="7"/>
  <c r="N305" i="7"/>
  <c r="L482" i="7"/>
  <c r="N329" i="7"/>
  <c r="O302" i="7"/>
  <c r="N306" i="7"/>
  <c r="N304" i="7"/>
  <c r="L344" i="7"/>
  <c r="M346" i="7"/>
  <c r="I676" i="7"/>
  <c r="I133" i="8"/>
  <c r="O332" i="7"/>
  <c r="N321" i="7"/>
  <c r="H927" i="1"/>
  <c r="H504" i="7" s="1"/>
  <c r="N323" i="7"/>
  <c r="O326" i="7"/>
  <c r="P302" i="7"/>
  <c r="N109" i="7"/>
  <c r="O353" i="7"/>
  <c r="I226" i="1"/>
  <c r="I223" i="1" s="1"/>
  <c r="I1847" i="1"/>
  <c r="I1254" i="1"/>
  <c r="I274" i="8" s="1"/>
  <c r="I207" i="1"/>
  <c r="I204" i="1" s="1"/>
  <c r="I201" i="1" s="1"/>
  <c r="I202" i="1" s="1"/>
  <c r="I988" i="1"/>
  <c r="I889" i="1"/>
  <c r="I471" i="7" s="1"/>
  <c r="I847" i="1"/>
  <c r="I136" i="1" s="1"/>
  <c r="I936" i="1"/>
  <c r="I514" i="7"/>
  <c r="I121" i="1"/>
  <c r="I275" i="8"/>
  <c r="I781" i="7"/>
  <c r="I1139" i="1"/>
  <c r="I144" i="8" s="1"/>
  <c r="M502" i="7"/>
  <c r="P444" i="7"/>
  <c r="O340" i="7"/>
  <c r="N503" i="7"/>
  <c r="N385" i="7"/>
  <c r="N382" i="7"/>
  <c r="O41" i="7"/>
  <c r="M86" i="7"/>
  <c r="P129" i="7"/>
  <c r="N355" i="7"/>
  <c r="P617" i="7"/>
  <c r="Q617" i="7"/>
  <c r="N373" i="7"/>
  <c r="N370" i="7"/>
  <c r="N389" i="7"/>
  <c r="N386" i="7"/>
  <c r="P393" i="7"/>
  <c r="P390" i="7"/>
  <c r="O397" i="7"/>
  <c r="O394" i="7"/>
  <c r="N381" i="7"/>
  <c r="N378" i="7"/>
  <c r="O611" i="7"/>
  <c r="P609" i="7"/>
  <c r="P610" i="7"/>
  <c r="M377" i="7"/>
  <c r="M374" i="7"/>
  <c r="Q326" i="7"/>
  <c r="M341" i="7"/>
  <c r="Q350" i="7"/>
  <c r="F552" i="7"/>
  <c r="F973" i="1"/>
  <c r="G523" i="7"/>
  <c r="G943" i="1"/>
  <c r="G1001" i="1"/>
  <c r="G578" i="7" s="1"/>
  <c r="I555" i="7"/>
  <c r="I976" i="1"/>
  <c r="I553" i="7" s="1"/>
  <c r="G555" i="7"/>
  <c r="G976" i="1"/>
  <c r="G553" i="7" s="1"/>
  <c r="L493" i="7"/>
  <c r="M398" i="7"/>
  <c r="M401" i="7"/>
  <c r="I728" i="1"/>
  <c r="F555" i="7"/>
  <c r="F976" i="1"/>
  <c r="F553" i="7" s="1"/>
  <c r="F1001" i="1"/>
  <c r="F578" i="7" s="1"/>
  <c r="G951" i="1"/>
  <c r="G531" i="7"/>
  <c r="H552" i="7"/>
  <c r="H973" i="1"/>
  <c r="I552" i="7"/>
  <c r="I973" i="1"/>
  <c r="G552" i="7"/>
  <c r="G973" i="1"/>
  <c r="H555" i="7"/>
  <c r="H976" i="1"/>
  <c r="H553" i="7" s="1"/>
  <c r="F528" i="7"/>
  <c r="F1394" i="1"/>
  <c r="H946" i="1"/>
  <c r="H734" i="1"/>
  <c r="H954" i="1" s="1"/>
  <c r="F1396" i="1"/>
  <c r="F520" i="7"/>
  <c r="O522" i="7"/>
  <c r="O526" i="7"/>
  <c r="O560" i="7"/>
  <c r="N343" i="7"/>
  <c r="O309" i="7"/>
  <c r="N530" i="7"/>
  <c r="L347" i="7"/>
  <c r="L689" i="7"/>
  <c r="M495" i="7"/>
  <c r="G922" i="7"/>
  <c r="G439" i="8"/>
  <c r="F780" i="7"/>
  <c r="F274" i="8"/>
  <c r="F917" i="1"/>
  <c r="F927" i="1"/>
  <c r="F204" i="1"/>
  <c r="P326" i="7"/>
  <c r="P332" i="7"/>
  <c r="K488" i="7"/>
  <c r="J900" i="1"/>
  <c r="J551" i="7"/>
  <c r="J973" i="1"/>
  <c r="J781" i="7"/>
  <c r="J513" i="7"/>
  <c r="J922" i="1"/>
  <c r="O321" i="7"/>
  <c r="O322" i="7"/>
  <c r="O317" i="7"/>
  <c r="O323" i="7"/>
  <c r="P950" i="7"/>
  <c r="L559" i="7"/>
  <c r="P636" i="7"/>
  <c r="P630" i="7"/>
  <c r="P584" i="7"/>
  <c r="P229" i="7"/>
  <c r="P194" i="7"/>
  <c r="O803" i="7"/>
  <c r="O1081" i="7"/>
  <c r="O1107" i="7"/>
  <c r="M690" i="1"/>
  <c r="O622" i="7"/>
  <c r="N635" i="7"/>
  <c r="O336" i="7"/>
  <c r="O328" i="7"/>
  <c r="J470" i="7"/>
  <c r="P318" i="7"/>
  <c r="P324" i="7"/>
  <c r="N332" i="7"/>
  <c r="O29" i="7"/>
  <c r="M336" i="7"/>
  <c r="L539" i="7"/>
  <c r="L953" i="7"/>
  <c r="M360" i="7"/>
  <c r="M559" i="7"/>
  <c r="F447" i="7"/>
  <c r="J514" i="7"/>
  <c r="J121" i="1"/>
  <c r="F499" i="7"/>
  <c r="F1141" i="1"/>
  <c r="O792" i="7"/>
  <c r="O794" i="7"/>
  <c r="O444" i="7"/>
  <c r="O949" i="7"/>
  <c r="O354" i="7"/>
  <c r="O349" i="7"/>
  <c r="M637" i="7"/>
  <c r="Q318" i="7"/>
  <c r="S318" i="7"/>
  <c r="O312" i="7"/>
  <c r="M524" i="7"/>
  <c r="F922" i="7"/>
  <c r="F440" i="8"/>
  <c r="F439" i="8" s="1"/>
  <c r="N161" i="7"/>
  <c r="H146" i="7"/>
  <c r="L147" i="7"/>
  <c r="P148" i="7"/>
  <c r="P146" i="7"/>
  <c r="H148" i="7"/>
  <c r="P147" i="7"/>
  <c r="L146" i="7"/>
  <c r="B139" i="7"/>
  <c r="F146" i="7"/>
  <c r="N146" i="7"/>
  <c r="J147" i="7"/>
  <c r="N148" i="7"/>
  <c r="Q148" i="7"/>
  <c r="M148" i="7"/>
  <c r="I148" i="7"/>
  <c r="Q147" i="7"/>
  <c r="M147" i="7"/>
  <c r="I147" i="7"/>
  <c r="Q146" i="7"/>
  <c r="M146" i="7"/>
  <c r="I146" i="7"/>
  <c r="L148" i="7"/>
  <c r="H147" i="7"/>
  <c r="J146" i="7"/>
  <c r="F147" i="7"/>
  <c r="N147" i="7"/>
  <c r="J148" i="7"/>
  <c r="O148" i="7"/>
  <c r="K148" i="7"/>
  <c r="G148" i="7"/>
  <c r="O147" i="7"/>
  <c r="K147" i="7"/>
  <c r="G147" i="7"/>
  <c r="O146" i="7"/>
  <c r="K146" i="7"/>
  <c r="G146" i="7"/>
  <c r="N32" i="7"/>
  <c r="N264" i="7"/>
  <c r="N278" i="7"/>
  <c r="N291" i="7"/>
  <c r="N368" i="7"/>
  <c r="N405" i="7"/>
  <c r="N440" i="7"/>
  <c r="N517" i="7"/>
  <c r="N603" i="7"/>
  <c r="N669" i="7"/>
  <c r="N775" i="7"/>
  <c r="N919" i="7"/>
  <c r="N964" i="7"/>
  <c r="N1066" i="7"/>
  <c r="N1092" i="7"/>
  <c r="N582" i="7"/>
  <c r="N992" i="7"/>
  <c r="P334" i="7"/>
  <c r="P335" i="7"/>
  <c r="F565" i="7"/>
  <c r="F1417" i="1"/>
  <c r="F223" i="1"/>
  <c r="F133" i="8"/>
  <c r="H683" i="7"/>
  <c r="H147" i="8"/>
  <c r="P327" i="7"/>
  <c r="J481" i="7"/>
  <c r="J554" i="7"/>
  <c r="J976" i="1"/>
  <c r="J553" i="7" s="1"/>
  <c r="Q310" i="7"/>
  <c r="S310" i="7"/>
  <c r="P629" i="7"/>
  <c r="P241" i="7"/>
  <c r="P202" i="7"/>
  <c r="P261" i="7"/>
  <c r="P252" i="7"/>
  <c r="O790" i="7"/>
  <c r="O793" i="7"/>
  <c r="S350" i="7"/>
  <c r="N320" i="7"/>
  <c r="P1069" i="7"/>
  <c r="P1070" i="7"/>
  <c r="Q929" i="7"/>
  <c r="O623" i="7"/>
  <c r="H947" i="7"/>
  <c r="H486" i="8"/>
  <c r="J925" i="7"/>
  <c r="J445" i="8"/>
  <c r="O337" i="7"/>
  <c r="O333" i="7"/>
  <c r="N1072" i="7"/>
  <c r="O329" i="7"/>
  <c r="O330" i="7"/>
  <c r="O325" i="7"/>
  <c r="J1139" i="1"/>
  <c r="J144" i="8" s="1"/>
  <c r="J889" i="1"/>
  <c r="J848" i="1"/>
  <c r="J864" i="1"/>
  <c r="P319" i="7"/>
  <c r="N342" i="7"/>
  <c r="P28" i="7"/>
  <c r="N331" i="7"/>
  <c r="L542" i="7"/>
  <c r="H925" i="7"/>
  <c r="H445" i="8"/>
  <c r="Q334" i="7"/>
  <c r="S334" i="7"/>
  <c r="F136" i="1"/>
  <c r="S326" i="7"/>
  <c r="N339" i="7"/>
  <c r="K446" i="7"/>
  <c r="L446" i="7"/>
  <c r="O301" i="7"/>
  <c r="I538" i="7"/>
  <c r="I1392" i="1"/>
  <c r="I440" i="8" s="1"/>
  <c r="P310" i="7"/>
  <c r="P311" i="7"/>
  <c r="N300" i="7"/>
  <c r="N298" i="7"/>
  <c r="N1071" i="7"/>
  <c r="O789" i="7"/>
  <c r="O804" i="7"/>
  <c r="O955" i="7"/>
  <c r="O800" i="7"/>
  <c r="P350" i="7"/>
  <c r="P356" i="7"/>
  <c r="P351" i="7"/>
  <c r="N633" i="7"/>
  <c r="G947" i="7"/>
  <c r="G486" i="8"/>
  <c r="L925" i="7"/>
  <c r="O295" i="7"/>
  <c r="M312" i="7"/>
  <c r="P303" i="7"/>
  <c r="O313" i="7"/>
  <c r="O314" i="7"/>
  <c r="N444" i="7"/>
  <c r="J963" i="1" l="1"/>
  <c r="J116" i="1"/>
  <c r="J115" i="1" s="1"/>
  <c r="J361" i="7"/>
  <c r="H334" i="1"/>
  <c r="J496" i="7"/>
  <c r="G924" i="1"/>
  <c r="G992" i="1" s="1"/>
  <c r="G683" i="7"/>
  <c r="K481" i="8"/>
  <c r="K480" i="8" s="1"/>
  <c r="K1847" i="1"/>
  <c r="K1254" i="1"/>
  <c r="K226" i="1"/>
  <c r="K223" i="1" s="1"/>
  <c r="K207" i="1"/>
  <c r="K204" i="1" s="1"/>
  <c r="K201" i="1" s="1"/>
  <c r="K202" i="1" s="1"/>
  <c r="K988" i="1"/>
  <c r="K1417" i="1" s="1"/>
  <c r="K487" i="8" s="1"/>
  <c r="K486" i="8" s="1"/>
  <c r="K134" i="8"/>
  <c r="K133" i="8" s="1"/>
  <c r="K876" i="1"/>
  <c r="K847" i="1"/>
  <c r="K853" i="1" s="1"/>
  <c r="K1394" i="1"/>
  <c r="K444" i="8" s="1"/>
  <c r="K443" i="8" s="1"/>
  <c r="L365" i="7"/>
  <c r="G917" i="1"/>
  <c r="G494" i="7" s="1"/>
  <c r="M718" i="1"/>
  <c r="L361" i="7"/>
  <c r="M362" i="7"/>
  <c r="K505" i="7"/>
  <c r="K460" i="7"/>
  <c r="J875" i="1"/>
  <c r="J457" i="7" s="1"/>
  <c r="J849" i="1"/>
  <c r="J876" i="1" s="1"/>
  <c r="J458" i="7" s="1"/>
  <c r="M364" i="7"/>
  <c r="M503" i="7"/>
  <c r="L779" i="7"/>
  <c r="M761" i="1"/>
  <c r="J543" i="7"/>
  <c r="J1418" i="1"/>
  <c r="J489" i="8" s="1"/>
  <c r="J267" i="8"/>
  <c r="J777" i="7"/>
  <c r="M767" i="1"/>
  <c r="P294" i="7"/>
  <c r="H384" i="1"/>
  <c r="P509" i="7"/>
  <c r="P473" i="7"/>
  <c r="P452" i="7"/>
  <c r="P449" i="7"/>
  <c r="L500" i="7"/>
  <c r="M510" i="7"/>
  <c r="N511" i="7"/>
  <c r="P462" i="7"/>
  <c r="P465" i="7"/>
  <c r="O509" i="7"/>
  <c r="O511" i="7"/>
  <c r="O476" i="7"/>
  <c r="M296" i="7"/>
  <c r="L484" i="7"/>
  <c r="O293" i="7"/>
  <c r="G1136" i="1"/>
  <c r="G138" i="8" s="1"/>
  <c r="G496" i="7"/>
  <c r="L457" i="7"/>
  <c r="L507" i="7"/>
  <c r="L506" i="7"/>
  <c r="K540" i="7"/>
  <c r="M783" i="7"/>
  <c r="H137" i="8"/>
  <c r="H678" i="7"/>
  <c r="J137" i="8"/>
  <c r="J678" i="7"/>
  <c r="M508" i="7"/>
  <c r="I137" i="8"/>
  <c r="I678" i="7"/>
  <c r="M689" i="7"/>
  <c r="P791" i="7"/>
  <c r="O1102" i="7"/>
  <c r="L777" i="7"/>
  <c r="N779" i="7"/>
  <c r="M1003" i="7"/>
  <c r="O297" i="7"/>
  <c r="M299" i="7"/>
  <c r="P622" i="7"/>
  <c r="M1109" i="7"/>
  <c r="O634" i="7"/>
  <c r="O627" i="7"/>
  <c r="P624" i="7"/>
  <c r="N631" i="7"/>
  <c r="H924" i="1"/>
  <c r="H501" i="7" s="1"/>
  <c r="M1094" i="7"/>
  <c r="O306" i="7"/>
  <c r="K948" i="7"/>
  <c r="K512" i="7"/>
  <c r="O305" i="7"/>
  <c r="O355" i="7"/>
  <c r="O331" i="7"/>
  <c r="K492" i="7"/>
  <c r="J674" i="7"/>
  <c r="J129" i="8"/>
  <c r="M671" i="7"/>
  <c r="P308" i="7"/>
  <c r="O307" i="7"/>
  <c r="Q302" i="7"/>
  <c r="O304" i="7"/>
  <c r="N307" i="7"/>
  <c r="M347" i="7"/>
  <c r="O1080" i="7"/>
  <c r="S302" i="7"/>
  <c r="O339" i="7"/>
  <c r="O109" i="7"/>
  <c r="I1417" i="1"/>
  <c r="I487" i="8" s="1"/>
  <c r="I565" i="7"/>
  <c r="I143" i="8"/>
  <c r="I681" i="7"/>
  <c r="I922" i="1"/>
  <c r="I513" i="7"/>
  <c r="I853" i="1"/>
  <c r="I273" i="8"/>
  <c r="I780" i="7"/>
  <c r="N86" i="7"/>
  <c r="P41" i="7"/>
  <c r="O382" i="7"/>
  <c r="O385" i="7"/>
  <c r="L552" i="7"/>
  <c r="M552" i="7"/>
  <c r="Q324" i="7"/>
  <c r="Q340" i="7"/>
  <c r="Q129" i="7"/>
  <c r="B418" i="1"/>
  <c r="Q316" i="7"/>
  <c r="N377" i="7"/>
  <c r="N374" i="7"/>
  <c r="P397" i="7"/>
  <c r="P394" i="7"/>
  <c r="Q393" i="7"/>
  <c r="Q390" i="7"/>
  <c r="O791" i="7"/>
  <c r="P611" i="7"/>
  <c r="P608" i="7"/>
  <c r="O608" i="7"/>
  <c r="O381" i="7"/>
  <c r="O378" i="7"/>
  <c r="O389" i="7"/>
  <c r="O386" i="7"/>
  <c r="O373" i="7"/>
  <c r="O370" i="7"/>
  <c r="P316" i="7"/>
  <c r="M542" i="7"/>
  <c r="M358" i="7"/>
  <c r="M539" i="7"/>
  <c r="M348" i="7"/>
  <c r="F926" i="7"/>
  <c r="F448" i="8"/>
  <c r="F447" i="8" s="1"/>
  <c r="H523" i="7"/>
  <c r="H943" i="1"/>
  <c r="H1001" i="1"/>
  <c r="H578" i="7" s="1"/>
  <c r="G1394" i="1"/>
  <c r="G444" i="8" s="1"/>
  <c r="G528" i="7"/>
  <c r="J728" i="1"/>
  <c r="N401" i="7"/>
  <c r="N398" i="7"/>
  <c r="M493" i="7"/>
  <c r="H951" i="1"/>
  <c r="H531" i="7"/>
  <c r="F924" i="7"/>
  <c r="F444" i="8"/>
  <c r="F443" i="8" s="1"/>
  <c r="G550" i="7"/>
  <c r="G1414" i="1"/>
  <c r="G481" i="8" s="1"/>
  <c r="I1414" i="1"/>
  <c r="I481" i="8" s="1"/>
  <c r="I550" i="7"/>
  <c r="H550" i="7"/>
  <c r="H1414" i="1"/>
  <c r="H481" i="8" s="1"/>
  <c r="I734" i="1"/>
  <c r="I954" i="1" s="1"/>
  <c r="I946" i="1"/>
  <c r="L675" i="7"/>
  <c r="G520" i="7"/>
  <c r="G1396" i="1"/>
  <c r="G448" i="8" s="1"/>
  <c r="F550" i="7"/>
  <c r="F1414" i="1"/>
  <c r="P340" i="7"/>
  <c r="Q336" i="7"/>
  <c r="P325" i="7"/>
  <c r="P293" i="7"/>
  <c r="Q319" i="7"/>
  <c r="S319" i="7"/>
  <c r="O343" i="7"/>
  <c r="P317" i="7"/>
  <c r="P295" i="7"/>
  <c r="Q317" i="7"/>
  <c r="S317" i="7"/>
  <c r="L778" i="7"/>
  <c r="N299" i="7"/>
  <c r="P352" i="7"/>
  <c r="O1108" i="7"/>
  <c r="N296" i="7"/>
  <c r="O342" i="7"/>
  <c r="K538" i="7"/>
  <c r="Q327" i="7"/>
  <c r="S327" i="7"/>
  <c r="Q335" i="7"/>
  <c r="S335" i="7"/>
  <c r="L512" i="7"/>
  <c r="P29" i="7"/>
  <c r="Q303" i="7"/>
  <c r="S303" i="7"/>
  <c r="J446" i="7"/>
  <c r="J226" i="1"/>
  <c r="J207" i="1"/>
  <c r="J988" i="1"/>
  <c r="J1254" i="1"/>
  <c r="J274" i="8" s="1"/>
  <c r="J1847" i="1"/>
  <c r="J471" i="7"/>
  <c r="O1072" i="7"/>
  <c r="P623" i="7"/>
  <c r="Q351" i="7"/>
  <c r="S351" i="7"/>
  <c r="P790" i="7"/>
  <c r="P793" i="7"/>
  <c r="Q313" i="7"/>
  <c r="S313" i="7"/>
  <c r="Q309" i="7"/>
  <c r="S309" i="7"/>
  <c r="O324" i="7"/>
  <c r="O320" i="7"/>
  <c r="K554" i="7"/>
  <c r="K553" i="7"/>
  <c r="F947" i="7"/>
  <c r="F487" i="8"/>
  <c r="F486" i="8" s="1"/>
  <c r="P336" i="7"/>
  <c r="G141" i="7"/>
  <c r="G145" i="7"/>
  <c r="O141" i="7"/>
  <c r="O145" i="7"/>
  <c r="N145" i="7"/>
  <c r="N141" i="7"/>
  <c r="P141" i="7"/>
  <c r="P145" i="7"/>
  <c r="M145" i="7"/>
  <c r="M141" i="7"/>
  <c r="F148" i="7"/>
  <c r="S148" i="7"/>
  <c r="J145" i="7"/>
  <c r="J141" i="7"/>
  <c r="H141" i="7"/>
  <c r="H145" i="7"/>
  <c r="P560" i="7"/>
  <c r="M953" i="7"/>
  <c r="P955" i="7"/>
  <c r="F683" i="7"/>
  <c r="F148" i="8"/>
  <c r="O32" i="7"/>
  <c r="O264" i="7"/>
  <c r="O278" i="7"/>
  <c r="O291" i="7"/>
  <c r="O368" i="7"/>
  <c r="O405" i="7"/>
  <c r="O517" i="7"/>
  <c r="O440" i="7"/>
  <c r="O582" i="7"/>
  <c r="O992" i="7"/>
  <c r="O603" i="7"/>
  <c r="O669" i="7"/>
  <c r="O775" i="7"/>
  <c r="O919" i="7"/>
  <c r="O964" i="7"/>
  <c r="O1066" i="7"/>
  <c r="O1092" i="7"/>
  <c r="N328" i="7"/>
  <c r="P320" i="7"/>
  <c r="M555" i="7"/>
  <c r="N637" i="7"/>
  <c r="O633" i="7"/>
  <c r="P530" i="7"/>
  <c r="P804" i="7"/>
  <c r="P1108" i="7"/>
  <c r="J499" i="7"/>
  <c r="J1141" i="1"/>
  <c r="J148" i="8" s="1"/>
  <c r="J482" i="7"/>
  <c r="P328" i="7"/>
  <c r="F504" i="7"/>
  <c r="F924" i="1"/>
  <c r="F273" i="8"/>
  <c r="M460" i="7"/>
  <c r="M505" i="7"/>
  <c r="L364" i="7"/>
  <c r="O315" i="7"/>
  <c r="N360" i="7"/>
  <c r="N559" i="7"/>
  <c r="L460" i="7"/>
  <c r="P305" i="7"/>
  <c r="P306" i="7"/>
  <c r="P301" i="7"/>
  <c r="P353" i="7"/>
  <c r="P354" i="7"/>
  <c r="P349" i="7"/>
  <c r="L495" i="7"/>
  <c r="O356" i="7"/>
  <c r="O1105" i="7"/>
  <c r="O1071" i="7"/>
  <c r="P313" i="7"/>
  <c r="P314" i="7"/>
  <c r="P309" i="7"/>
  <c r="I922" i="7"/>
  <c r="I439" i="8"/>
  <c r="L447" i="7"/>
  <c r="K676" i="7"/>
  <c r="K447" i="7"/>
  <c r="Q329" i="7"/>
  <c r="S329" i="7"/>
  <c r="Q325" i="7"/>
  <c r="S325" i="7"/>
  <c r="Q337" i="7"/>
  <c r="Q338" i="7"/>
  <c r="S337" i="7"/>
  <c r="Q333" i="7"/>
  <c r="S333" i="7"/>
  <c r="M363" i="7"/>
  <c r="Q308" i="7"/>
  <c r="Q305" i="7"/>
  <c r="S305" i="7"/>
  <c r="Q301" i="7"/>
  <c r="S301" i="7"/>
  <c r="N359" i="7"/>
  <c r="N345" i="7"/>
  <c r="N341" i="7"/>
  <c r="J865" i="1"/>
  <c r="J681" i="7"/>
  <c r="O338" i="7"/>
  <c r="O635" i="7"/>
  <c r="Q356" i="7"/>
  <c r="Q353" i="7"/>
  <c r="S353" i="7"/>
  <c r="Q349" i="7"/>
  <c r="S349" i="7"/>
  <c r="P794" i="7"/>
  <c r="P803" i="7"/>
  <c r="P1107" i="7"/>
  <c r="P1081" i="7"/>
  <c r="Q311" i="7"/>
  <c r="S311" i="7"/>
  <c r="P337" i="7"/>
  <c r="P338" i="7"/>
  <c r="P333" i="7"/>
  <c r="K141" i="7"/>
  <c r="K145" i="7"/>
  <c r="F145" i="7"/>
  <c r="I145" i="7"/>
  <c r="I141" i="7"/>
  <c r="Q145" i="7"/>
  <c r="Q141" i="7"/>
  <c r="L145" i="7"/>
  <c r="L141" i="7"/>
  <c r="O161" i="7"/>
  <c r="M925" i="7"/>
  <c r="Q321" i="7"/>
  <c r="S321" i="7"/>
  <c r="P321" i="7"/>
  <c r="P322" i="7"/>
  <c r="O503" i="7"/>
  <c r="L555" i="7"/>
  <c r="O631" i="7"/>
  <c r="M692" i="1"/>
  <c r="P789" i="7"/>
  <c r="P1080" i="7"/>
  <c r="P1102" i="7"/>
  <c r="P792" i="7"/>
  <c r="P800" i="7"/>
  <c r="P1105" i="7"/>
  <c r="P949" i="7"/>
  <c r="J275" i="8"/>
  <c r="J550" i="7"/>
  <c r="J1414" i="1"/>
  <c r="J481" i="8" s="1"/>
  <c r="K514" i="7"/>
  <c r="P329" i="7"/>
  <c r="P330" i="7"/>
  <c r="P297" i="7"/>
  <c r="F201" i="1"/>
  <c r="F494" i="7"/>
  <c r="J961" i="1" l="1"/>
  <c r="J540" i="7"/>
  <c r="H335" i="1"/>
  <c r="G501" i="7"/>
  <c r="J847" i="1"/>
  <c r="J853" i="1" s="1"/>
  <c r="J1134" i="1"/>
  <c r="K427" i="1"/>
  <c r="K527" i="1" s="1"/>
  <c r="K426" i="1"/>
  <c r="K525" i="1" s="1"/>
  <c r="K425" i="1"/>
  <c r="K524" i="1" s="1"/>
  <c r="K424" i="1"/>
  <c r="K927" i="1"/>
  <c r="K924" i="1" s="1"/>
  <c r="K992" i="1" s="1"/>
  <c r="K917" i="1"/>
  <c r="K274" i="8"/>
  <c r="K273" i="8" s="1"/>
  <c r="L541" i="7"/>
  <c r="L543" i="7"/>
  <c r="M779" i="7"/>
  <c r="J488" i="8"/>
  <c r="J948" i="7"/>
  <c r="M762" i="1"/>
  <c r="M763" i="1"/>
  <c r="H385" i="1"/>
  <c r="N510" i="7"/>
  <c r="P476" i="7"/>
  <c r="M500" i="7"/>
  <c r="L682" i="7"/>
  <c r="K496" i="7"/>
  <c r="L676" i="7"/>
  <c r="G137" i="8"/>
  <c r="G678" i="7"/>
  <c r="L565" i="7"/>
  <c r="L496" i="7"/>
  <c r="M506" i="7"/>
  <c r="K678" i="7"/>
  <c r="N508" i="7"/>
  <c r="P634" i="7"/>
  <c r="P627" i="7"/>
  <c r="L488" i="7"/>
  <c r="O298" i="7"/>
  <c r="K781" i="7"/>
  <c r="P300" i="7"/>
  <c r="K681" i="7"/>
  <c r="M778" i="7"/>
  <c r="N783" i="7"/>
  <c r="K513" i="7"/>
  <c r="N1003" i="7"/>
  <c r="N1109" i="7"/>
  <c r="H992" i="1"/>
  <c r="H997" i="1" s="1"/>
  <c r="H574" i="7" s="1"/>
  <c r="K551" i="7"/>
  <c r="L681" i="7"/>
  <c r="O524" i="7"/>
  <c r="P304" i="7"/>
  <c r="P339" i="7"/>
  <c r="P315" i="7"/>
  <c r="P355" i="7"/>
  <c r="P307" i="7"/>
  <c r="N347" i="7"/>
  <c r="L492" i="7"/>
  <c r="K674" i="7"/>
  <c r="O300" i="7"/>
  <c r="Q320" i="7"/>
  <c r="N502" i="7"/>
  <c r="O502" i="7"/>
  <c r="Q307" i="7"/>
  <c r="Q332" i="7"/>
  <c r="Q328" i="7"/>
  <c r="M540" i="7"/>
  <c r="P109" i="7"/>
  <c r="I927" i="1"/>
  <c r="I917" i="1"/>
  <c r="I494" i="7" s="1"/>
  <c r="I1141" i="1"/>
  <c r="I148" i="8" s="1"/>
  <c r="I499" i="7"/>
  <c r="I486" i="8"/>
  <c r="I947" i="7"/>
  <c r="O86" i="7"/>
  <c r="P385" i="7"/>
  <c r="P382" i="7"/>
  <c r="B287" i="1"/>
  <c r="Q41" i="7"/>
  <c r="S336" i="7"/>
  <c r="Q312" i="7"/>
  <c r="P312" i="7"/>
  <c r="H427" i="1"/>
  <c r="J427" i="1"/>
  <c r="F426" i="1"/>
  <c r="I427" i="1"/>
  <c r="I425" i="1"/>
  <c r="J426" i="1"/>
  <c r="F425" i="1"/>
  <c r="G427" i="1"/>
  <c r="G425" i="1"/>
  <c r="B124" i="7"/>
  <c r="H425" i="1"/>
  <c r="H426" i="1"/>
  <c r="H424" i="1"/>
  <c r="J425" i="1"/>
  <c r="F424" i="1"/>
  <c r="I426" i="1"/>
  <c r="I424" i="1"/>
  <c r="F427" i="1"/>
  <c r="J424" i="1"/>
  <c r="G426" i="1"/>
  <c r="G424" i="1"/>
  <c r="P381" i="7"/>
  <c r="P378" i="7"/>
  <c r="O377" i="7"/>
  <c r="O374" i="7"/>
  <c r="N348" i="7"/>
  <c r="P373" i="7"/>
  <c r="P370" i="7"/>
  <c r="P389" i="7"/>
  <c r="P386" i="7"/>
  <c r="Q397" i="7"/>
  <c r="Q394" i="7"/>
  <c r="Q342" i="7"/>
  <c r="M470" i="7"/>
  <c r="M471" i="7"/>
  <c r="M458" i="7"/>
  <c r="M457" i="7"/>
  <c r="Q355" i="7"/>
  <c r="M484" i="7"/>
  <c r="M482" i="7"/>
  <c r="M481" i="7"/>
  <c r="I523" i="7"/>
  <c r="I943" i="1"/>
  <c r="I1001" i="1"/>
  <c r="I578" i="7" s="1"/>
  <c r="H944" i="7"/>
  <c r="H480" i="8"/>
  <c r="G944" i="7"/>
  <c r="G480" i="8"/>
  <c r="N493" i="7"/>
  <c r="J734" i="1"/>
  <c r="J954" i="1" s="1"/>
  <c r="J946" i="1"/>
  <c r="M365" i="7"/>
  <c r="F481" i="8"/>
  <c r="F480" i="8" s="1"/>
  <c r="F944" i="7"/>
  <c r="G926" i="7"/>
  <c r="G447" i="8"/>
  <c r="I951" i="1"/>
  <c r="I531" i="7"/>
  <c r="I944" i="7"/>
  <c r="I480" i="8"/>
  <c r="H1394" i="1"/>
  <c r="H444" i="8" s="1"/>
  <c r="H528" i="7"/>
  <c r="M675" i="7"/>
  <c r="O398" i="7"/>
  <c r="O401" i="7"/>
  <c r="G924" i="7"/>
  <c r="G443" i="8"/>
  <c r="H1396" i="1"/>
  <c r="H448" i="8" s="1"/>
  <c r="H520" i="7"/>
  <c r="M344" i="7"/>
  <c r="P343" i="7"/>
  <c r="O925" i="7"/>
  <c r="P298" i="7"/>
  <c r="J944" i="7"/>
  <c r="J480" i="8"/>
  <c r="M694" i="1"/>
  <c r="O783" i="7"/>
  <c r="O1003" i="7"/>
  <c r="O1109" i="7"/>
  <c r="O779" i="7"/>
  <c r="P526" i="7"/>
  <c r="K550" i="7"/>
  <c r="Q343" i="7"/>
  <c r="S343" i="7"/>
  <c r="Q354" i="7"/>
  <c r="S354" i="7"/>
  <c r="P633" i="7"/>
  <c r="O689" i="7"/>
  <c r="J143" i="8"/>
  <c r="J136" i="1"/>
  <c r="N671" i="7"/>
  <c r="N1094" i="7"/>
  <c r="L514" i="7"/>
  <c r="Q339" i="7"/>
  <c r="L505" i="7"/>
  <c r="L540" i="7"/>
  <c r="F501" i="7"/>
  <c r="F992" i="1"/>
  <c r="N953" i="7"/>
  <c r="F147" i="8"/>
  <c r="Q314" i="7"/>
  <c r="S314" i="7"/>
  <c r="N526" i="7"/>
  <c r="P635" i="7"/>
  <c r="J565" i="7"/>
  <c r="J1417" i="1"/>
  <c r="J487" i="8" s="1"/>
  <c r="J204" i="1"/>
  <c r="N344" i="7"/>
  <c r="L554" i="7"/>
  <c r="L553" i="7"/>
  <c r="K565" i="7"/>
  <c r="G569" i="7"/>
  <c r="G995" i="1"/>
  <c r="G116" i="8" s="1"/>
  <c r="G997" i="1"/>
  <c r="G574" i="7" s="1"/>
  <c r="O360" i="7"/>
  <c r="O559" i="7"/>
  <c r="F202" i="1"/>
  <c r="P342" i="7"/>
  <c r="M693" i="1"/>
  <c r="N689" i="7"/>
  <c r="Q322" i="7"/>
  <c r="S322" i="7"/>
  <c r="P161" i="7"/>
  <c r="F141" i="7"/>
  <c r="S141" i="7"/>
  <c r="O637" i="7"/>
  <c r="S338" i="7"/>
  <c r="J447" i="7"/>
  <c r="N358" i="7"/>
  <c r="N362" i="7"/>
  <c r="N346" i="7"/>
  <c r="Q306" i="7"/>
  <c r="S306" i="7"/>
  <c r="M777" i="7"/>
  <c r="Q331" i="7"/>
  <c r="Q330" i="7"/>
  <c r="S330" i="7"/>
  <c r="N365" i="7"/>
  <c r="P1071" i="7"/>
  <c r="O352" i="7"/>
  <c r="J683" i="7"/>
  <c r="J147" i="8"/>
  <c r="L502" i="7"/>
  <c r="P522" i="7"/>
  <c r="K499" i="7"/>
  <c r="S342" i="7"/>
  <c r="Q315" i="7"/>
  <c r="N522" i="7"/>
  <c r="Q352" i="7"/>
  <c r="P1072" i="7"/>
  <c r="J780" i="7"/>
  <c r="J223" i="1"/>
  <c r="P32" i="7"/>
  <c r="P264" i="7"/>
  <c r="P278" i="7"/>
  <c r="P291" i="7"/>
  <c r="P368" i="7"/>
  <c r="P405" i="7"/>
  <c r="P440" i="7"/>
  <c r="P517" i="7"/>
  <c r="P603" i="7"/>
  <c r="P669" i="7"/>
  <c r="P775" i="7"/>
  <c r="P919" i="7"/>
  <c r="P964" i="7"/>
  <c r="P1066" i="7"/>
  <c r="P1092" i="7"/>
  <c r="P582" i="7"/>
  <c r="P992" i="7"/>
  <c r="L551" i="7"/>
  <c r="L781" i="7"/>
  <c r="K922" i="7"/>
  <c r="K780" i="7"/>
  <c r="O359" i="7"/>
  <c r="O345" i="7"/>
  <c r="O341" i="7"/>
  <c r="P503" i="7"/>
  <c r="Q323" i="7"/>
  <c r="P323" i="7"/>
  <c r="P331" i="7"/>
  <c r="J538" i="7" l="1"/>
  <c r="J1392" i="1"/>
  <c r="I325" i="1"/>
  <c r="I324" i="1"/>
  <c r="K1001" i="1"/>
  <c r="J134" i="8"/>
  <c r="J133" i="8" s="1"/>
  <c r="J676" i="7"/>
  <c r="K995" i="1"/>
  <c r="K116" i="8" s="1"/>
  <c r="K115" i="8" s="1"/>
  <c r="K997" i="1"/>
  <c r="K420" i="1"/>
  <c r="K523" i="1" s="1"/>
  <c r="K522" i="1"/>
  <c r="K1407" i="1" s="1"/>
  <c r="K469" i="8" s="1"/>
  <c r="K468" i="8" s="1"/>
  <c r="K293" i="1"/>
  <c r="K477" i="1" s="1"/>
  <c r="K292" i="1"/>
  <c r="K476" i="1" s="1"/>
  <c r="K291" i="1"/>
  <c r="L948" i="7"/>
  <c r="M629" i="1"/>
  <c r="M628" i="1"/>
  <c r="M764" i="1"/>
  <c r="I375" i="1"/>
  <c r="I374" i="1"/>
  <c r="M682" i="7"/>
  <c r="P511" i="7"/>
  <c r="N500" i="7"/>
  <c r="O510" i="7"/>
  <c r="O299" i="7"/>
  <c r="L780" i="7"/>
  <c r="N506" i="7"/>
  <c r="M507" i="7"/>
  <c r="O508" i="7"/>
  <c r="P631" i="7"/>
  <c r="H995" i="1"/>
  <c r="H569" i="7"/>
  <c r="N364" i="7"/>
  <c r="N555" i="7"/>
  <c r="S320" i="7"/>
  <c r="M538" i="7"/>
  <c r="L674" i="7"/>
  <c r="M492" i="7"/>
  <c r="P296" i="7"/>
  <c r="O296" i="7"/>
  <c r="S328" i="7"/>
  <c r="O552" i="7"/>
  <c r="O555" i="7"/>
  <c r="O482" i="7"/>
  <c r="Q341" i="7"/>
  <c r="Q345" i="7"/>
  <c r="O348" i="7"/>
  <c r="Q346" i="7"/>
  <c r="S312" i="7"/>
  <c r="N552" i="7"/>
  <c r="Q109" i="7"/>
  <c r="B396" i="1"/>
  <c r="I683" i="7"/>
  <c r="I147" i="8"/>
  <c r="I924" i="1"/>
  <c r="I504" i="7"/>
  <c r="F291" i="1"/>
  <c r="J291" i="1"/>
  <c r="F292" i="1"/>
  <c r="J292" i="1"/>
  <c r="F293" i="1"/>
  <c r="J293" i="1"/>
  <c r="G291" i="1"/>
  <c r="G293" i="1"/>
  <c r="I292" i="1"/>
  <c r="B38" i="7"/>
  <c r="H291" i="1"/>
  <c r="H292" i="1"/>
  <c r="H293" i="1"/>
  <c r="G292" i="1"/>
  <c r="I291" i="1"/>
  <c r="I293" i="1"/>
  <c r="Q382" i="7"/>
  <c r="Q385" i="7"/>
  <c r="P86" i="7"/>
  <c r="O130" i="7"/>
  <c r="G132" i="7"/>
  <c r="K133" i="7"/>
  <c r="N131" i="7"/>
  <c r="I130" i="7"/>
  <c r="I420" i="1"/>
  <c r="M131" i="7"/>
  <c r="F130" i="7"/>
  <c r="F420" i="1"/>
  <c r="N132" i="7"/>
  <c r="H130" i="7"/>
  <c r="H420" i="1"/>
  <c r="P133" i="7"/>
  <c r="H131" i="7"/>
  <c r="K130" i="7"/>
  <c r="O131" i="7"/>
  <c r="G133" i="7"/>
  <c r="F131" i="7"/>
  <c r="N133" i="7"/>
  <c r="I131" i="7"/>
  <c r="M132" i="7"/>
  <c r="F132" i="7"/>
  <c r="L131" i="7"/>
  <c r="P130" i="7"/>
  <c r="P131" i="7"/>
  <c r="G130" i="7"/>
  <c r="G420" i="1"/>
  <c r="K131" i="7"/>
  <c r="O132" i="7"/>
  <c r="J130" i="7"/>
  <c r="J420" i="1"/>
  <c r="F133" i="7"/>
  <c r="I132" i="7"/>
  <c r="M133" i="7"/>
  <c r="J131" i="7"/>
  <c r="P132" i="7"/>
  <c r="H132" i="7"/>
  <c r="L132" i="7"/>
  <c r="G131" i="7"/>
  <c r="K132" i="7"/>
  <c r="O133" i="7"/>
  <c r="J132" i="7"/>
  <c r="M130" i="7"/>
  <c r="I133" i="7"/>
  <c r="N130" i="7"/>
  <c r="J133" i="7"/>
  <c r="L133" i="7"/>
  <c r="H133" i="7"/>
  <c r="L130" i="7"/>
  <c r="Q381" i="7"/>
  <c r="Q378" i="7"/>
  <c r="Q389" i="7"/>
  <c r="Q386" i="7"/>
  <c r="P377" i="7"/>
  <c r="P374" i="7"/>
  <c r="M446" i="7"/>
  <c r="M512" i="7"/>
  <c r="M488" i="7"/>
  <c r="H926" i="7"/>
  <c r="H447" i="8"/>
  <c r="P401" i="7"/>
  <c r="P398" i="7"/>
  <c r="O493" i="7"/>
  <c r="H443" i="8"/>
  <c r="H924" i="7"/>
  <c r="I1394" i="1"/>
  <c r="I444" i="8" s="1"/>
  <c r="I528" i="7"/>
  <c r="M543" i="7"/>
  <c r="M541" i="7"/>
  <c r="J531" i="7"/>
  <c r="J951" i="1"/>
  <c r="I520" i="7"/>
  <c r="I1396" i="1"/>
  <c r="I448" i="8" s="1"/>
  <c r="M361" i="7"/>
  <c r="J523" i="7"/>
  <c r="J943" i="1"/>
  <c r="J1001" i="1"/>
  <c r="J578" i="7" s="1"/>
  <c r="N675" i="7"/>
  <c r="O362" i="7"/>
  <c r="L947" i="7"/>
  <c r="L513" i="7"/>
  <c r="Q304" i="7"/>
  <c r="S304" i="7"/>
  <c r="K683" i="7"/>
  <c r="N495" i="7"/>
  <c r="N363" i="7"/>
  <c r="N539" i="7"/>
  <c r="O953" i="7"/>
  <c r="P359" i="7"/>
  <c r="P345" i="7"/>
  <c r="S345" i="7"/>
  <c r="P341" i="7"/>
  <c r="L494" i="7"/>
  <c r="K947" i="7"/>
  <c r="J947" i="7"/>
  <c r="J486" i="8"/>
  <c r="P637" i="7"/>
  <c r="N524" i="7"/>
  <c r="S341" i="7"/>
  <c r="F569" i="7"/>
  <c r="F995" i="1"/>
  <c r="F997" i="1"/>
  <c r="F574" i="7" s="1"/>
  <c r="K944" i="7"/>
  <c r="M695" i="1"/>
  <c r="O365" i="7"/>
  <c r="P360" i="7"/>
  <c r="P559" i="7"/>
  <c r="P299" i="7"/>
  <c r="N361" i="7"/>
  <c r="P779" i="7"/>
  <c r="O495" i="7"/>
  <c r="O358" i="7"/>
  <c r="O346" i="7"/>
  <c r="O363" i="7"/>
  <c r="O671" i="7"/>
  <c r="O1094" i="7"/>
  <c r="L550" i="7"/>
  <c r="J917" i="1"/>
  <c r="J927" i="1"/>
  <c r="J273" i="8"/>
  <c r="S352" i="7"/>
  <c r="N543" i="7"/>
  <c r="N460" i="7"/>
  <c r="N542" i="7"/>
  <c r="N541" i="7"/>
  <c r="N484" i="7"/>
  <c r="Q161" i="7"/>
  <c r="B435" i="1"/>
  <c r="G572" i="7"/>
  <c r="G115" i="8"/>
  <c r="K494" i="7"/>
  <c r="J201" i="1"/>
  <c r="P783" i="7"/>
  <c r="P1003" i="7"/>
  <c r="P1109" i="7"/>
  <c r="N560" i="7"/>
  <c r="L538" i="7"/>
  <c r="P524" i="7"/>
  <c r="M696" i="1"/>
  <c r="O344" i="7"/>
  <c r="J440" i="8" l="1"/>
  <c r="J439" i="8" s="1"/>
  <c r="J922" i="7"/>
  <c r="I334" i="1"/>
  <c r="K443" i="1"/>
  <c r="K535" i="1" s="1"/>
  <c r="K442" i="1"/>
  <c r="K534" i="1" s="1"/>
  <c r="K441" i="1"/>
  <c r="K446" i="1"/>
  <c r="K539" i="1" s="1"/>
  <c r="H572" i="7"/>
  <c r="H116" i="8"/>
  <c r="H115" i="8" s="1"/>
  <c r="K1258" i="1"/>
  <c r="K1148" i="1"/>
  <c r="K162" i="8" s="1"/>
  <c r="K161" i="8" s="1"/>
  <c r="K406" i="1"/>
  <c r="K512" i="1" s="1"/>
  <c r="K405" i="1"/>
  <c r="K511" i="1" s="1"/>
  <c r="K404" i="1"/>
  <c r="K410" i="1"/>
  <c r="K516" i="1" s="1"/>
  <c r="K294" i="1"/>
  <c r="K478" i="1" s="1"/>
  <c r="K1403" i="1" s="1"/>
  <c r="K475" i="1"/>
  <c r="M627" i="1"/>
  <c r="M632" i="1"/>
  <c r="M631" i="1"/>
  <c r="I384" i="1"/>
  <c r="O500" i="7"/>
  <c r="N682" i="7"/>
  <c r="P510" i="7"/>
  <c r="L678" i="7"/>
  <c r="M496" i="7"/>
  <c r="N507" i="7"/>
  <c r="O506" i="7"/>
  <c r="O778" i="7"/>
  <c r="N778" i="7"/>
  <c r="P689" i="7"/>
  <c r="O481" i="7"/>
  <c r="O347" i="7"/>
  <c r="M674" i="7"/>
  <c r="N492" i="7"/>
  <c r="P502" i="7"/>
  <c r="P552" i="7"/>
  <c r="P555" i="7"/>
  <c r="H405" i="1"/>
  <c r="H404" i="1"/>
  <c r="F404" i="1"/>
  <c r="I410" i="1"/>
  <c r="J410" i="1"/>
  <c r="G406" i="1"/>
  <c r="G410" i="1"/>
  <c r="H406" i="1"/>
  <c r="F406" i="1"/>
  <c r="H410" i="1"/>
  <c r="I405" i="1"/>
  <c r="J406" i="1"/>
  <c r="F405" i="1"/>
  <c r="F410" i="1"/>
  <c r="G405" i="1"/>
  <c r="B102" i="7"/>
  <c r="J405" i="1"/>
  <c r="I406" i="1"/>
  <c r="I404" i="1"/>
  <c r="J404" i="1"/>
  <c r="G404" i="1"/>
  <c r="I992" i="1"/>
  <c r="I501" i="7"/>
  <c r="Q86" i="7"/>
  <c r="B346" i="1"/>
  <c r="I477" i="1"/>
  <c r="I198" i="7" s="1"/>
  <c r="I44" i="7"/>
  <c r="K198" i="7"/>
  <c r="K44" i="7"/>
  <c r="G476" i="1"/>
  <c r="G197" i="7" s="1"/>
  <c r="G43" i="7"/>
  <c r="P44" i="7"/>
  <c r="P198" i="7"/>
  <c r="H44" i="7"/>
  <c r="H477" i="1"/>
  <c r="H198" i="7" s="1"/>
  <c r="L43" i="7"/>
  <c r="L197" i="7"/>
  <c r="P42" i="7"/>
  <c r="P196" i="7"/>
  <c r="H42" i="7"/>
  <c r="H475" i="1"/>
  <c r="H196" i="7" s="1"/>
  <c r="H294" i="1"/>
  <c r="M198" i="7"/>
  <c r="M44" i="7"/>
  <c r="I476" i="1"/>
  <c r="I197" i="7" s="1"/>
  <c r="I43" i="7"/>
  <c r="O44" i="7"/>
  <c r="O198" i="7"/>
  <c r="K43" i="7"/>
  <c r="K197" i="7"/>
  <c r="G475" i="1"/>
  <c r="G196" i="7" s="1"/>
  <c r="G42" i="7"/>
  <c r="G294" i="1"/>
  <c r="J44" i="7"/>
  <c r="J477" i="1"/>
  <c r="J198" i="7" s="1"/>
  <c r="N43" i="7"/>
  <c r="N197" i="7"/>
  <c r="F43" i="7"/>
  <c r="F476" i="1"/>
  <c r="F197" i="7" s="1"/>
  <c r="J294" i="1"/>
  <c r="J42" i="7"/>
  <c r="J475" i="1"/>
  <c r="J196" i="7" s="1"/>
  <c r="M197" i="7"/>
  <c r="M43" i="7"/>
  <c r="I42" i="7"/>
  <c r="I294" i="1"/>
  <c r="I475" i="1"/>
  <c r="I196" i="7" s="1"/>
  <c r="O197" i="7"/>
  <c r="O43" i="7"/>
  <c r="K196" i="7"/>
  <c r="K42" i="7"/>
  <c r="L44" i="7"/>
  <c r="L198" i="7"/>
  <c r="P43" i="7"/>
  <c r="P197" i="7"/>
  <c r="H43" i="7"/>
  <c r="H476" i="1"/>
  <c r="H197" i="7" s="1"/>
  <c r="L42" i="7"/>
  <c r="L196" i="7"/>
  <c r="M196" i="7"/>
  <c r="M42" i="7"/>
  <c r="G44" i="7"/>
  <c r="G477" i="1"/>
  <c r="G198" i="7" s="1"/>
  <c r="O42" i="7"/>
  <c r="O196" i="7"/>
  <c r="N44" i="7"/>
  <c r="N198" i="7"/>
  <c r="F44" i="7"/>
  <c r="F477" i="1"/>
  <c r="F198" i="7" s="1"/>
  <c r="J43" i="7"/>
  <c r="J476" i="1"/>
  <c r="J197" i="7" s="1"/>
  <c r="N42" i="7"/>
  <c r="N196" i="7"/>
  <c r="F42" i="7"/>
  <c r="F475" i="1"/>
  <c r="F196" i="7" s="1"/>
  <c r="F294" i="1"/>
  <c r="N126" i="7"/>
  <c r="M126" i="7"/>
  <c r="J126" i="7"/>
  <c r="P126" i="7"/>
  <c r="K126" i="7"/>
  <c r="O126" i="7"/>
  <c r="L126" i="7"/>
  <c r="G523" i="1"/>
  <c r="G126" i="7"/>
  <c r="H126" i="7"/>
  <c r="F126" i="7"/>
  <c r="I126" i="7"/>
  <c r="Q377" i="7"/>
  <c r="Q374" i="7"/>
  <c r="M681" i="7"/>
  <c r="M781" i="7"/>
  <c r="M447" i="7"/>
  <c r="M514" i="7"/>
  <c r="M551" i="7"/>
  <c r="M553" i="7"/>
  <c r="M554" i="7"/>
  <c r="M676" i="7"/>
  <c r="I447" i="8"/>
  <c r="I926" i="7"/>
  <c r="M948" i="7"/>
  <c r="K531" i="7"/>
  <c r="J1396" i="1"/>
  <c r="J448" i="8" s="1"/>
  <c r="J520" i="7"/>
  <c r="J1394" i="1"/>
  <c r="J444" i="8" s="1"/>
  <c r="J528" i="7"/>
  <c r="I443" i="8"/>
  <c r="I924" i="7"/>
  <c r="O675" i="7"/>
  <c r="P493" i="7"/>
  <c r="Q401" i="7"/>
  <c r="Q398" i="7"/>
  <c r="K523" i="7"/>
  <c r="K578" i="7"/>
  <c r="Q348" i="7"/>
  <c r="J202" i="1"/>
  <c r="K504" i="7"/>
  <c r="G441" i="1"/>
  <c r="I446" i="1"/>
  <c r="G443" i="1"/>
  <c r="G446" i="1"/>
  <c r="G442" i="1"/>
  <c r="B156" i="7"/>
  <c r="I442" i="1"/>
  <c r="H446" i="1"/>
  <c r="H443" i="1"/>
  <c r="H442" i="1"/>
  <c r="H441" i="1"/>
  <c r="I441" i="1"/>
  <c r="I443" i="1"/>
  <c r="J446" i="1"/>
  <c r="F446" i="1"/>
  <c r="J443" i="1"/>
  <c r="F443" i="1"/>
  <c r="J442" i="1"/>
  <c r="F442" i="1"/>
  <c r="J441" i="1"/>
  <c r="F441" i="1"/>
  <c r="N512" i="7"/>
  <c r="O471" i="7"/>
  <c r="O470" i="7"/>
  <c r="N948" i="7"/>
  <c r="J494" i="7"/>
  <c r="O542" i="7"/>
  <c r="O541" i="7"/>
  <c r="O484" i="7"/>
  <c r="O543" i="7"/>
  <c r="M699" i="1"/>
  <c r="P778" i="7"/>
  <c r="N925" i="7"/>
  <c r="P953" i="7"/>
  <c r="L504" i="7"/>
  <c r="P346" i="7"/>
  <c r="S346" i="7"/>
  <c r="P495" i="7"/>
  <c r="O364" i="7"/>
  <c r="L499" i="7"/>
  <c r="L922" i="7"/>
  <c r="P348" i="7"/>
  <c r="O361" i="7"/>
  <c r="P925" i="7"/>
  <c r="N488" i="7"/>
  <c r="O458" i="7"/>
  <c r="O457" i="7"/>
  <c r="N505" i="7"/>
  <c r="J504" i="7"/>
  <c r="J924" i="1"/>
  <c r="L944" i="7"/>
  <c r="O539" i="7"/>
  <c r="O460" i="7"/>
  <c r="O505" i="7"/>
  <c r="F572" i="7"/>
  <c r="F116" i="8"/>
  <c r="F115" i="8" s="1"/>
  <c r="P358" i="7"/>
  <c r="P362" i="7"/>
  <c r="P671" i="7"/>
  <c r="P1094" i="7"/>
  <c r="N777" i="7"/>
  <c r="I335" i="1" l="1"/>
  <c r="K363" i="1"/>
  <c r="K503" i="1" s="1"/>
  <c r="K359" i="1"/>
  <c r="K499" i="1" s="1"/>
  <c r="K358" i="1"/>
  <c r="K357" i="1"/>
  <c r="K282" i="8"/>
  <c r="K281" i="8" s="1"/>
  <c r="K461" i="8"/>
  <c r="K460" i="8" s="1"/>
  <c r="K510" i="1"/>
  <c r="K533" i="1"/>
  <c r="I385" i="1"/>
  <c r="O682" i="7"/>
  <c r="P500" i="7"/>
  <c r="N540" i="7"/>
  <c r="O507" i="7"/>
  <c r="N496" i="7"/>
  <c r="M678" i="7"/>
  <c r="M922" i="7"/>
  <c r="O492" i="7"/>
  <c r="N674" i="7"/>
  <c r="Q347" i="7"/>
  <c r="K111" i="7"/>
  <c r="K232" i="7"/>
  <c r="J110" i="7"/>
  <c r="J510" i="1"/>
  <c r="J231" i="7" s="1"/>
  <c r="I110" i="7"/>
  <c r="I510" i="1"/>
  <c r="I231" i="7" s="1"/>
  <c r="L116" i="7"/>
  <c r="L237" i="7"/>
  <c r="N233" i="7"/>
  <c r="N112" i="7"/>
  <c r="L233" i="7"/>
  <c r="L112" i="7"/>
  <c r="K110" i="7"/>
  <c r="K231" i="7"/>
  <c r="O111" i="7"/>
  <c r="O232" i="7"/>
  <c r="F116" i="7"/>
  <c r="F516" i="1"/>
  <c r="F111" i="7"/>
  <c r="F511" i="1"/>
  <c r="F232" i="7" s="1"/>
  <c r="I511" i="1"/>
  <c r="I232" i="7" s="1"/>
  <c r="I111" i="7"/>
  <c r="M233" i="7"/>
  <c r="M112" i="7"/>
  <c r="P116" i="7"/>
  <c r="P237" i="7"/>
  <c r="F512" i="1"/>
  <c r="F233" i="7" s="1"/>
  <c r="F112" i="7"/>
  <c r="H112" i="7"/>
  <c r="H512" i="1"/>
  <c r="H233" i="7" s="1"/>
  <c r="L111" i="7"/>
  <c r="L232" i="7"/>
  <c r="P111" i="7"/>
  <c r="P232" i="7"/>
  <c r="O231" i="7"/>
  <c r="O110" i="7"/>
  <c r="J516" i="1"/>
  <c r="J237" i="7" s="1"/>
  <c r="J116" i="7"/>
  <c r="O237" i="7"/>
  <c r="O116" i="7"/>
  <c r="H510" i="1"/>
  <c r="H231" i="7" s="1"/>
  <c r="H110" i="7"/>
  <c r="G110" i="7"/>
  <c r="G510" i="1"/>
  <c r="G231" i="7" s="1"/>
  <c r="O112" i="7"/>
  <c r="O233" i="7"/>
  <c r="N232" i="7"/>
  <c r="N111" i="7"/>
  <c r="I112" i="7"/>
  <c r="I512" i="1"/>
  <c r="I233" i="7" s="1"/>
  <c r="J511" i="1"/>
  <c r="J232" i="7" s="1"/>
  <c r="J111" i="7"/>
  <c r="P231" i="7"/>
  <c r="P110" i="7"/>
  <c r="G111" i="7"/>
  <c r="G511" i="1"/>
  <c r="G232" i="7" s="1"/>
  <c r="K112" i="7"/>
  <c r="K233" i="7"/>
  <c r="N116" i="7"/>
  <c r="N237" i="7"/>
  <c r="J112" i="7"/>
  <c r="J512" i="1"/>
  <c r="J233" i="7" s="1"/>
  <c r="M231" i="7"/>
  <c r="M110" i="7"/>
  <c r="H516" i="1"/>
  <c r="H237" i="7" s="1"/>
  <c r="H116" i="7"/>
  <c r="N110" i="7"/>
  <c r="N231" i="7"/>
  <c r="M116" i="7"/>
  <c r="M237" i="7"/>
  <c r="G516" i="1"/>
  <c r="G237" i="7" s="1"/>
  <c r="G116" i="7"/>
  <c r="K237" i="7"/>
  <c r="K116" i="7"/>
  <c r="L231" i="7"/>
  <c r="L110" i="7"/>
  <c r="G112" i="7"/>
  <c r="G512" i="1"/>
  <c r="G233" i="7" s="1"/>
  <c r="I116" i="7"/>
  <c r="I516" i="1"/>
  <c r="I237" i="7" s="1"/>
  <c r="M111" i="7"/>
  <c r="M232" i="7"/>
  <c r="F510" i="1"/>
  <c r="F231" i="7" s="1"/>
  <c r="F110" i="7"/>
  <c r="F398" i="1"/>
  <c r="P233" i="7"/>
  <c r="P112" i="7"/>
  <c r="H511" i="1"/>
  <c r="H232" i="7" s="1"/>
  <c r="H111" i="7"/>
  <c r="I569" i="7"/>
  <c r="I997" i="1"/>
  <c r="I574" i="7" s="1"/>
  <c r="I995" i="1"/>
  <c r="I116" i="8" s="1"/>
  <c r="F478" i="1"/>
  <c r="F45" i="7"/>
  <c r="L45" i="7"/>
  <c r="G478" i="1"/>
  <c r="G45" i="7"/>
  <c r="P45" i="7"/>
  <c r="M87" i="7"/>
  <c r="I358" i="1"/>
  <c r="I88" i="7" s="1"/>
  <c r="F363" i="1"/>
  <c r="G358" i="1"/>
  <c r="G88" i="7" s="1"/>
  <c r="O87" i="7"/>
  <c r="G359" i="1"/>
  <c r="H363" i="1"/>
  <c r="B76" i="7"/>
  <c r="L87" i="7"/>
  <c r="H358" i="1"/>
  <c r="H88" i="7" s="1"/>
  <c r="P88" i="7"/>
  <c r="I363" i="1"/>
  <c r="J357" i="1"/>
  <c r="J87" i="7" s="1"/>
  <c r="F358" i="1"/>
  <c r="F88" i="7" s="1"/>
  <c r="N88" i="7"/>
  <c r="J359" i="1"/>
  <c r="G363" i="1"/>
  <c r="I357" i="1"/>
  <c r="I87" i="7" s="1"/>
  <c r="M88" i="7"/>
  <c r="I359" i="1"/>
  <c r="J363" i="1"/>
  <c r="K87" i="7"/>
  <c r="O88" i="7"/>
  <c r="G357" i="1"/>
  <c r="G87" i="7" s="1"/>
  <c r="K88" i="7"/>
  <c r="H357" i="1"/>
  <c r="H87" i="7" s="1"/>
  <c r="P87" i="7"/>
  <c r="L88" i="7"/>
  <c r="H359" i="1"/>
  <c r="F357" i="1"/>
  <c r="N87" i="7"/>
  <c r="J358" i="1"/>
  <c r="J88" i="7" s="1"/>
  <c r="F359" i="1"/>
  <c r="N45" i="7"/>
  <c r="O45" i="7"/>
  <c r="M45" i="7"/>
  <c r="K45" i="7"/>
  <c r="I478" i="1"/>
  <c r="I45" i="7"/>
  <c r="J478" i="1"/>
  <c r="J45" i="7"/>
  <c r="H478" i="1"/>
  <c r="H45" i="7"/>
  <c r="G1258" i="1"/>
  <c r="G282" i="8" s="1"/>
  <c r="G1148" i="1"/>
  <c r="G162" i="8" s="1"/>
  <c r="G244" i="7"/>
  <c r="P347" i="7"/>
  <c r="M550" i="7"/>
  <c r="M513" i="7"/>
  <c r="M565" i="7"/>
  <c r="M780" i="7"/>
  <c r="P675" i="7"/>
  <c r="J443" i="8"/>
  <c r="J924" i="7"/>
  <c r="J447" i="8"/>
  <c r="J926" i="7"/>
  <c r="L523" i="7"/>
  <c r="L578" i="7"/>
  <c r="K520" i="7"/>
  <c r="K528" i="7"/>
  <c r="L531" i="7"/>
  <c r="P777" i="7"/>
  <c r="P542" i="7"/>
  <c r="P484" i="7"/>
  <c r="P364" i="7"/>
  <c r="O538" i="7"/>
  <c r="J501" i="7"/>
  <c r="J992" i="1"/>
  <c r="N470" i="7"/>
  <c r="N457" i="7"/>
  <c r="N514" i="7"/>
  <c r="P365" i="7"/>
  <c r="O540" i="7"/>
  <c r="N481" i="7"/>
  <c r="O512" i="7"/>
  <c r="N551" i="7"/>
  <c r="N781" i="7"/>
  <c r="F436" i="1"/>
  <c r="F162" i="7"/>
  <c r="F533" i="1"/>
  <c r="F254" i="7" s="1"/>
  <c r="N162" i="7"/>
  <c r="N254" i="7"/>
  <c r="J163" i="7"/>
  <c r="J534" i="1"/>
  <c r="F164" i="7"/>
  <c r="F535" i="1"/>
  <c r="N164" i="7"/>
  <c r="J539" i="1"/>
  <c r="J167" i="7"/>
  <c r="I535" i="1"/>
  <c r="I164" i="7"/>
  <c r="O163" i="7"/>
  <c r="K167" i="7"/>
  <c r="L162" i="7"/>
  <c r="L254" i="7"/>
  <c r="H163" i="7"/>
  <c r="H534" i="1"/>
  <c r="P163" i="7"/>
  <c r="L164" i="7"/>
  <c r="H167" i="7"/>
  <c r="H539" i="1"/>
  <c r="P167" i="7"/>
  <c r="I163" i="7"/>
  <c r="I534" i="1"/>
  <c r="K164" i="7"/>
  <c r="O167" i="7"/>
  <c r="G164" i="7"/>
  <c r="G535" i="1"/>
  <c r="O162" i="7"/>
  <c r="O254" i="7"/>
  <c r="I167" i="7"/>
  <c r="I539" i="1"/>
  <c r="K163" i="7"/>
  <c r="K254" i="7"/>
  <c r="K162" i="7"/>
  <c r="O446" i="7"/>
  <c r="N538" i="7"/>
  <c r="P539" i="7"/>
  <c r="P344" i="7"/>
  <c r="S344" i="7"/>
  <c r="Q344" i="7"/>
  <c r="O777" i="7"/>
  <c r="L683" i="7"/>
  <c r="P460" i="7"/>
  <c r="P505" i="7"/>
  <c r="P363" i="7"/>
  <c r="L501" i="7"/>
  <c r="O948" i="7"/>
  <c r="O488" i="7"/>
  <c r="N554" i="7"/>
  <c r="N553" i="7"/>
  <c r="J162" i="7"/>
  <c r="J533" i="1"/>
  <c r="J254" i="7" s="1"/>
  <c r="F163" i="7"/>
  <c r="F534" i="1"/>
  <c r="N163" i="7"/>
  <c r="J164" i="7"/>
  <c r="J535" i="1"/>
  <c r="F167" i="7"/>
  <c r="F539" i="1"/>
  <c r="N167" i="7"/>
  <c r="M163" i="7"/>
  <c r="I162" i="7"/>
  <c r="I533" i="1"/>
  <c r="I254" i="7" s="1"/>
  <c r="O164" i="7"/>
  <c r="H162" i="7"/>
  <c r="H533" i="1"/>
  <c r="H254" i="7" s="1"/>
  <c r="P162" i="7"/>
  <c r="P254" i="7"/>
  <c r="L163" i="7"/>
  <c r="H164" i="7"/>
  <c r="H535" i="1"/>
  <c r="P164" i="7"/>
  <c r="L167" i="7"/>
  <c r="M162" i="7"/>
  <c r="M254" i="7"/>
  <c r="G163" i="7"/>
  <c r="G534" i="1"/>
  <c r="G167" i="7"/>
  <c r="G539" i="1"/>
  <c r="M167" i="7"/>
  <c r="M164" i="7"/>
  <c r="G162" i="7"/>
  <c r="G533" i="1"/>
  <c r="G254" i="7" s="1"/>
  <c r="K501" i="7"/>
  <c r="J325" i="1" l="1"/>
  <c r="J324" i="1"/>
  <c r="M630" i="1"/>
  <c r="J375" i="1"/>
  <c r="J374" i="1"/>
  <c r="P682" i="7"/>
  <c r="O496" i="7"/>
  <c r="P447" i="7"/>
  <c r="N678" i="7"/>
  <c r="N681" i="7"/>
  <c r="O681" i="7"/>
  <c r="O674" i="7"/>
  <c r="P492" i="7"/>
  <c r="F513" i="1"/>
  <c r="F234" i="7" s="1"/>
  <c r="F104" i="7"/>
  <c r="F407" i="1"/>
  <c r="F237" i="7"/>
  <c r="I115" i="8"/>
  <c r="I572" i="7"/>
  <c r="H199" i="7"/>
  <c r="H1403" i="1"/>
  <c r="H461" i="8" s="1"/>
  <c r="J1403" i="1"/>
  <c r="J461" i="8" s="1"/>
  <c r="J199" i="7"/>
  <c r="I199" i="7"/>
  <c r="I1403" i="1"/>
  <c r="I461" i="8" s="1"/>
  <c r="K199" i="7"/>
  <c r="M199" i="7"/>
  <c r="N199" i="7"/>
  <c r="N220" i="7"/>
  <c r="N89" i="7"/>
  <c r="F87" i="7"/>
  <c r="F350" i="1"/>
  <c r="F351" i="1"/>
  <c r="H89" i="7"/>
  <c r="H499" i="1"/>
  <c r="H220" i="7" s="1"/>
  <c r="N224" i="7"/>
  <c r="N93" i="7"/>
  <c r="L93" i="7"/>
  <c r="L224" i="7"/>
  <c r="J503" i="1"/>
  <c r="J224" i="7" s="1"/>
  <c r="J93" i="7"/>
  <c r="I499" i="1"/>
  <c r="I220" i="7" s="1"/>
  <c r="I89" i="7"/>
  <c r="G93" i="7"/>
  <c r="G503" i="1"/>
  <c r="G224" i="7" s="1"/>
  <c r="L220" i="7"/>
  <c r="L89" i="7"/>
  <c r="G89" i="7"/>
  <c r="G499" i="1"/>
  <c r="G220" i="7" s="1"/>
  <c r="P224" i="7"/>
  <c r="P93" i="7"/>
  <c r="M93" i="7"/>
  <c r="M224" i="7"/>
  <c r="M220" i="7"/>
  <c r="M89" i="7"/>
  <c r="O199" i="7"/>
  <c r="K93" i="7"/>
  <c r="K224" i="7"/>
  <c r="F499" i="1"/>
  <c r="F220" i="7" s="1"/>
  <c r="F89" i="7"/>
  <c r="P89" i="7"/>
  <c r="P220" i="7"/>
  <c r="O220" i="7"/>
  <c r="O89" i="7"/>
  <c r="O224" i="7"/>
  <c r="O93" i="7"/>
  <c r="J89" i="7"/>
  <c r="J499" i="1"/>
  <c r="J220" i="7" s="1"/>
  <c r="I503" i="1"/>
  <c r="I224" i="7" s="1"/>
  <c r="I93" i="7"/>
  <c r="H93" i="7"/>
  <c r="H503" i="1"/>
  <c r="H224" i="7" s="1"/>
  <c r="K220" i="7"/>
  <c r="K89" i="7"/>
  <c r="F93" i="7"/>
  <c r="F503" i="1"/>
  <c r="P199" i="7"/>
  <c r="G1403" i="1"/>
  <c r="G461" i="8" s="1"/>
  <c r="G199" i="7"/>
  <c r="L199" i="7"/>
  <c r="F1403" i="1"/>
  <c r="F199" i="7"/>
  <c r="G161" i="8"/>
  <c r="G690" i="7"/>
  <c r="G784" i="7"/>
  <c r="G281" i="8"/>
  <c r="M944" i="7"/>
  <c r="M494" i="7"/>
  <c r="M947" i="7"/>
  <c r="M499" i="7"/>
  <c r="L520" i="7"/>
  <c r="M531" i="7"/>
  <c r="L528" i="7"/>
  <c r="K924" i="7"/>
  <c r="K926" i="7"/>
  <c r="M523" i="7"/>
  <c r="M578" i="7"/>
  <c r="K569" i="7"/>
  <c r="K574" i="7"/>
  <c r="M256" i="7"/>
  <c r="M260" i="7"/>
  <c r="G260" i="7"/>
  <c r="G255" i="7"/>
  <c r="L260" i="7"/>
  <c r="P256" i="7"/>
  <c r="H256" i="7"/>
  <c r="L255" i="7"/>
  <c r="M255" i="7"/>
  <c r="L569" i="7"/>
  <c r="L574" i="7"/>
  <c r="N482" i="7"/>
  <c r="N922" i="7"/>
  <c r="K255" i="7"/>
  <c r="I260" i="7"/>
  <c r="G256" i="7"/>
  <c r="O260" i="7"/>
  <c r="K256" i="7"/>
  <c r="I255" i="7"/>
  <c r="P260" i="7"/>
  <c r="H260" i="7"/>
  <c r="L256" i="7"/>
  <c r="P255" i="7"/>
  <c r="H255" i="7"/>
  <c r="N256" i="7"/>
  <c r="F256" i="7"/>
  <c r="J255" i="7"/>
  <c r="N513" i="7"/>
  <c r="N550" i="7"/>
  <c r="O551" i="7"/>
  <c r="O781" i="7"/>
  <c r="P543" i="7"/>
  <c r="J569" i="7"/>
  <c r="J995" i="1"/>
  <c r="J116" i="8" s="1"/>
  <c r="J997" i="1"/>
  <c r="J574" i="7" s="1"/>
  <c r="O922" i="7"/>
  <c r="P488" i="7"/>
  <c r="P541" i="7"/>
  <c r="N446" i="7"/>
  <c r="O256" i="7"/>
  <c r="N260" i="7"/>
  <c r="F260" i="7"/>
  <c r="J256" i="7"/>
  <c r="N255" i="7"/>
  <c r="F255" i="7"/>
  <c r="O514" i="7"/>
  <c r="P361" i="7"/>
  <c r="N458" i="7"/>
  <c r="N471" i="7"/>
  <c r="P538" i="7"/>
  <c r="O676" i="7"/>
  <c r="O447" i="7"/>
  <c r="K260" i="7"/>
  <c r="O255" i="7"/>
  <c r="I256" i="7"/>
  <c r="J260" i="7"/>
  <c r="F444" i="1"/>
  <c r="F157" i="7"/>
  <c r="F536" i="1"/>
  <c r="O554" i="7"/>
  <c r="O553" i="7"/>
  <c r="P540" i="7"/>
  <c r="P512" i="7"/>
  <c r="N676" i="7"/>
  <c r="J334" i="1" l="1"/>
  <c r="J384" i="1"/>
  <c r="P446" i="7"/>
  <c r="P508" i="7"/>
  <c r="O678" i="7"/>
  <c r="Q294" i="7"/>
  <c r="P674" i="7"/>
  <c r="F80" i="7"/>
  <c r="F408" i="1"/>
  <c r="F113" i="7"/>
  <c r="L933" i="7"/>
  <c r="P933" i="7"/>
  <c r="O933" i="7"/>
  <c r="K933" i="7"/>
  <c r="I933" i="7"/>
  <c r="I460" i="8"/>
  <c r="H460" i="8"/>
  <c r="H933" i="7"/>
  <c r="F461" i="8"/>
  <c r="F460" i="8" s="1"/>
  <c r="F933" i="7"/>
  <c r="G933" i="7"/>
  <c r="G460" i="8"/>
  <c r="F224" i="7"/>
  <c r="F81" i="7"/>
  <c r="F360" i="1"/>
  <c r="N933" i="7"/>
  <c r="M933" i="7"/>
  <c r="J933" i="7"/>
  <c r="J460" i="8"/>
  <c r="M504" i="7"/>
  <c r="M683" i="7"/>
  <c r="M520" i="7"/>
  <c r="L924" i="7"/>
  <c r="M528" i="7"/>
  <c r="L926" i="7"/>
  <c r="N523" i="7"/>
  <c r="N578" i="7"/>
  <c r="N531" i="7"/>
  <c r="P481" i="7"/>
  <c r="P513" i="7"/>
  <c r="N565" i="7"/>
  <c r="P514" i="7"/>
  <c r="O550" i="7"/>
  <c r="N944" i="7"/>
  <c r="O780" i="7"/>
  <c r="L572" i="7"/>
  <c r="N447" i="7"/>
  <c r="F257" i="7"/>
  <c r="F165" i="7"/>
  <c r="F445" i="1"/>
  <c r="P922" i="7"/>
  <c r="N780" i="7"/>
  <c r="J572" i="7"/>
  <c r="J115" i="8"/>
  <c r="P948" i="7"/>
  <c r="O513" i="7"/>
  <c r="N499" i="7"/>
  <c r="O565" i="7"/>
  <c r="K572" i="7"/>
  <c r="J335" i="1" l="1"/>
  <c r="J385" i="1"/>
  <c r="P506" i="7"/>
  <c r="M620" i="1"/>
  <c r="S294" i="7" s="1"/>
  <c r="Q293" i="7"/>
  <c r="Q297" i="7"/>
  <c r="Q295" i="7"/>
  <c r="M621" i="1"/>
  <c r="S295" i="7" s="1"/>
  <c r="M623" i="1"/>
  <c r="S297" i="7" s="1"/>
  <c r="P780" i="7"/>
  <c r="P470" i="7"/>
  <c r="P676" i="7"/>
  <c r="P457" i="7"/>
  <c r="G398" i="1"/>
  <c r="F514" i="1"/>
  <c r="F114" i="7"/>
  <c r="F361" i="1"/>
  <c r="F90" i="7"/>
  <c r="M501" i="7"/>
  <c r="O523" i="7"/>
  <c r="O578" i="7"/>
  <c r="N520" i="7"/>
  <c r="M924" i="7"/>
  <c r="N528" i="7"/>
  <c r="O531" i="7"/>
  <c r="M926" i="7"/>
  <c r="O494" i="7"/>
  <c r="F166" i="7"/>
  <c r="F537" i="1"/>
  <c r="G436" i="1"/>
  <c r="O944" i="7"/>
  <c r="O947" i="7"/>
  <c r="N683" i="7"/>
  <c r="O499" i="7"/>
  <c r="P482" i="7"/>
  <c r="N947" i="7"/>
  <c r="P499" i="7"/>
  <c r="K325" i="1" l="1"/>
  <c r="K324" i="1"/>
  <c r="M324" i="1" s="1"/>
  <c r="K375" i="1"/>
  <c r="K374" i="1"/>
  <c r="P507" i="7"/>
  <c r="P781" i="7"/>
  <c r="P551" i="7"/>
  <c r="P554" i="7"/>
  <c r="P553" i="7"/>
  <c r="Q300" i="7"/>
  <c r="Q298" i="7"/>
  <c r="M624" i="1"/>
  <c r="S298" i="7" s="1"/>
  <c r="P947" i="7"/>
  <c r="M619" i="1"/>
  <c r="S293" i="7" s="1"/>
  <c r="P565" i="7"/>
  <c r="F51" i="7"/>
  <c r="M300" i="1"/>
  <c r="S51" i="7" s="1"/>
  <c r="F481" i="1"/>
  <c r="F307" i="1"/>
  <c r="P494" i="7"/>
  <c r="P458" i="7"/>
  <c r="P681" i="7"/>
  <c r="P471" i="7"/>
  <c r="F235" i="7"/>
  <c r="F1406" i="1"/>
  <c r="G513" i="1"/>
  <c r="G234" i="7" s="1"/>
  <c r="G104" i="7"/>
  <c r="G407" i="1"/>
  <c r="G351" i="1"/>
  <c r="F91" i="7"/>
  <c r="G350" i="1"/>
  <c r="G80" i="7" s="1"/>
  <c r="M569" i="7"/>
  <c r="M574" i="7"/>
  <c r="P523" i="7"/>
  <c r="P578" i="7"/>
  <c r="N926" i="7"/>
  <c r="P531" i="7"/>
  <c r="O528" i="7"/>
  <c r="N924" i="7"/>
  <c r="O520" i="7"/>
  <c r="P683" i="7"/>
  <c r="N504" i="7"/>
  <c r="O683" i="7"/>
  <c r="F1398" i="1"/>
  <c r="F258" i="7"/>
  <c r="O504" i="7"/>
  <c r="N494" i="7"/>
  <c r="G536" i="1"/>
  <c r="G157" i="7"/>
  <c r="G444" i="1"/>
  <c r="M325" i="1" l="1"/>
  <c r="K334" i="1"/>
  <c r="K335" i="1" s="1"/>
  <c r="K384" i="1"/>
  <c r="K385" i="1" s="1"/>
  <c r="P550" i="7"/>
  <c r="P496" i="7"/>
  <c r="Q299" i="7"/>
  <c r="P504" i="7"/>
  <c r="M307" i="1"/>
  <c r="F305" i="1"/>
  <c r="F58" i="7"/>
  <c r="F482" i="1"/>
  <c r="F309" i="1"/>
  <c r="F1264" i="1"/>
  <c r="F1099" i="1"/>
  <c r="F202" i="7"/>
  <c r="F540" i="1"/>
  <c r="F936" i="7"/>
  <c r="F467" i="8"/>
  <c r="F466" i="8" s="1"/>
  <c r="G113" i="7"/>
  <c r="G408" i="1"/>
  <c r="G81" i="7"/>
  <c r="G360" i="1"/>
  <c r="M572" i="7"/>
  <c r="O926" i="7"/>
  <c r="O924" i="7"/>
  <c r="P520" i="7"/>
  <c r="P528" i="7"/>
  <c r="N501" i="7"/>
  <c r="G165" i="7"/>
  <c r="G445" i="1"/>
  <c r="G257" i="7"/>
  <c r="O501" i="7"/>
  <c r="F452" i="8"/>
  <c r="F451" i="8" s="1"/>
  <c r="F928" i="7"/>
  <c r="P678" i="7" l="1"/>
  <c r="P944" i="7"/>
  <c r="Q296" i="7"/>
  <c r="M622" i="1"/>
  <c r="S296" i="7" s="1"/>
  <c r="P501" i="7"/>
  <c r="F203" i="7"/>
  <c r="M482" i="1"/>
  <c r="S203" i="7" s="1"/>
  <c r="F72" i="8"/>
  <c r="F292" i="8"/>
  <c r="F790" i="7"/>
  <c r="F1891" i="1"/>
  <c r="F1818" i="1"/>
  <c r="F56" i="7"/>
  <c r="F489" i="1"/>
  <c r="M305" i="1"/>
  <c r="S56" i="7" s="1"/>
  <c r="F261" i="7"/>
  <c r="F60" i="7"/>
  <c r="G309" i="1"/>
  <c r="S58" i="7"/>
  <c r="B308" i="1"/>
  <c r="B59" i="7" s="1"/>
  <c r="G114" i="7"/>
  <c r="G514" i="1"/>
  <c r="H398" i="1"/>
  <c r="G361" i="1"/>
  <c r="G90" i="7"/>
  <c r="P924" i="7"/>
  <c r="P926" i="7"/>
  <c r="G537" i="1"/>
  <c r="G166" i="7"/>
  <c r="H436" i="1"/>
  <c r="O569" i="7"/>
  <c r="O574" i="7"/>
  <c r="N569" i="7"/>
  <c r="N574" i="7"/>
  <c r="F291" i="8" l="1"/>
  <c r="F71" i="8"/>
  <c r="G60" i="7"/>
  <c r="H309" i="1"/>
  <c r="F1080" i="7"/>
  <c r="M489" i="1"/>
  <c r="S210" i="7" s="1"/>
  <c r="F125" i="1"/>
  <c r="F210" i="7"/>
  <c r="F1102" i="7"/>
  <c r="G235" i="7"/>
  <c r="G1406" i="1"/>
  <c r="G467" i="8" s="1"/>
  <c r="H513" i="1"/>
  <c r="H234" i="7" s="1"/>
  <c r="H407" i="1"/>
  <c r="H104" i="7"/>
  <c r="H350" i="1"/>
  <c r="H351" i="1"/>
  <c r="G91" i="7"/>
  <c r="N572" i="7"/>
  <c r="O572" i="7"/>
  <c r="H536" i="1"/>
  <c r="H157" i="7"/>
  <c r="H444" i="1"/>
  <c r="G1398" i="1"/>
  <c r="G452" i="8" s="1"/>
  <c r="G258" i="7"/>
  <c r="P569" i="7" l="1"/>
  <c r="P574" i="7"/>
  <c r="H60" i="7"/>
  <c r="I309" i="1"/>
  <c r="F928" i="8"/>
  <c r="F906" i="8"/>
  <c r="H113" i="7"/>
  <c r="H408" i="1"/>
  <c r="G466" i="8"/>
  <c r="G936" i="7"/>
  <c r="H81" i="7"/>
  <c r="H360" i="1"/>
  <c r="H80" i="7"/>
  <c r="G928" i="7"/>
  <c r="G451" i="8"/>
  <c r="P572" i="7"/>
  <c r="H165" i="7"/>
  <c r="H445" i="1"/>
  <c r="H257" i="7"/>
  <c r="I60" i="7" l="1"/>
  <c r="J309" i="1"/>
  <c r="K309" i="1" s="1"/>
  <c r="H114" i="7"/>
  <c r="I398" i="1"/>
  <c r="H514" i="1"/>
  <c r="H90" i="7"/>
  <c r="H361" i="1"/>
  <c r="H166" i="7"/>
  <c r="H537" i="1"/>
  <c r="I436" i="1"/>
  <c r="J60" i="7" l="1"/>
  <c r="I513" i="1"/>
  <c r="I234" i="7" s="1"/>
  <c r="I407" i="1"/>
  <c r="I104" i="7"/>
  <c r="H1406" i="1"/>
  <c r="H467" i="8" s="1"/>
  <c r="H235" i="7"/>
  <c r="I351" i="1"/>
  <c r="H91" i="7"/>
  <c r="I350" i="1"/>
  <c r="H258" i="7"/>
  <c r="H1398" i="1"/>
  <c r="H452" i="8" s="1"/>
  <c r="I157" i="7"/>
  <c r="I536" i="1"/>
  <c r="I444" i="1"/>
  <c r="K60" i="7" l="1"/>
  <c r="H466" i="8"/>
  <c r="H936" i="7"/>
  <c r="I113" i="7"/>
  <c r="I408" i="1"/>
  <c r="I80" i="7"/>
  <c r="I360" i="1"/>
  <c r="I81" i="7"/>
  <c r="I257" i="7"/>
  <c r="I165" i="7"/>
  <c r="I445" i="1"/>
  <c r="H451" i="8"/>
  <c r="H928" i="7"/>
  <c r="L60" i="7" l="1"/>
  <c r="I114" i="7"/>
  <c r="I514" i="1"/>
  <c r="J398" i="1"/>
  <c r="I90" i="7"/>
  <c r="I361" i="1"/>
  <c r="I537" i="1"/>
  <c r="I166" i="7"/>
  <c r="J436" i="1"/>
  <c r="M151" i="1" l="1"/>
  <c r="M60" i="7"/>
  <c r="I1406" i="1"/>
  <c r="I467" i="8" s="1"/>
  <c r="I235" i="7"/>
  <c r="J513" i="1"/>
  <c r="J234" i="7" s="1"/>
  <c r="J407" i="1"/>
  <c r="J104" i="7"/>
  <c r="J350" i="1"/>
  <c r="J351" i="1"/>
  <c r="I91" i="7"/>
  <c r="J536" i="1"/>
  <c r="J157" i="7"/>
  <c r="J444" i="1"/>
  <c r="I258" i="7"/>
  <c r="I1398" i="1"/>
  <c r="I452" i="8" s="1"/>
  <c r="M743" i="1" l="1"/>
  <c r="N60" i="7"/>
  <c r="J408" i="1"/>
  <c r="K398" i="1" s="1"/>
  <c r="K513" i="1" s="1"/>
  <c r="J113" i="7"/>
  <c r="I936" i="7"/>
  <c r="I466" i="8"/>
  <c r="J80" i="7"/>
  <c r="J81" i="7"/>
  <c r="J360" i="1"/>
  <c r="I451" i="8"/>
  <c r="I928" i="7"/>
  <c r="J165" i="7"/>
  <c r="J445" i="1"/>
  <c r="K436" i="1" s="1"/>
  <c r="K536" i="1" s="1"/>
  <c r="J257" i="7"/>
  <c r="K444" i="1" l="1"/>
  <c r="K445" i="1" s="1"/>
  <c r="K537" i="1" s="1"/>
  <c r="K1398" i="1" s="1"/>
  <c r="K452" i="8" s="1"/>
  <c r="K451" i="8" s="1"/>
  <c r="K407" i="1"/>
  <c r="K408" i="1" s="1"/>
  <c r="K514" i="1" s="1"/>
  <c r="K1406" i="1" s="1"/>
  <c r="K467" i="8" s="1"/>
  <c r="K466" i="8" s="1"/>
  <c r="M746" i="1"/>
  <c r="O60" i="7"/>
  <c r="J514" i="1"/>
  <c r="J114" i="7"/>
  <c r="J361" i="1"/>
  <c r="J90" i="7"/>
  <c r="J166" i="7"/>
  <c r="J537" i="1"/>
  <c r="K351" i="1" l="1"/>
  <c r="K350" i="1"/>
  <c r="M747" i="1"/>
  <c r="M820" i="1"/>
  <c r="M749" i="1"/>
  <c r="M748" i="1"/>
  <c r="P60" i="7"/>
  <c r="K104" i="7"/>
  <c r="K234" i="7"/>
  <c r="J235" i="7"/>
  <c r="J1406" i="1"/>
  <c r="J467" i="8" s="1"/>
  <c r="J91" i="7"/>
  <c r="J1398" i="1"/>
  <c r="J452" i="8" s="1"/>
  <c r="J258" i="7"/>
  <c r="K157" i="7"/>
  <c r="K360" i="1" l="1"/>
  <c r="K361" i="1" s="1"/>
  <c r="Q449" i="7"/>
  <c r="M867" i="1"/>
  <c r="S449" i="7" s="1"/>
  <c r="M143" i="1"/>
  <c r="M163" i="1"/>
  <c r="Q999" i="7"/>
  <c r="B1811" i="1"/>
  <c r="Q462" i="7"/>
  <c r="M880" i="1"/>
  <c r="S462" i="7" s="1"/>
  <c r="Q623" i="7"/>
  <c r="Q60" i="7"/>
  <c r="B302" i="1"/>
  <c r="K113" i="7"/>
  <c r="J936" i="7"/>
  <c r="J466" i="8"/>
  <c r="K80" i="7"/>
  <c r="K81" i="7"/>
  <c r="K165" i="7"/>
  <c r="K257" i="7"/>
  <c r="J928" i="7"/>
  <c r="J451" i="8"/>
  <c r="K312" i="1" l="1"/>
  <c r="K486" i="1" s="1"/>
  <c r="K311" i="1"/>
  <c r="K484" i="1" s="1"/>
  <c r="K310" i="1"/>
  <c r="K316" i="1"/>
  <c r="K490" i="1" s="1"/>
  <c r="K127" i="1" s="1"/>
  <c r="M274" i="1"/>
  <c r="M162" i="1"/>
  <c r="M829" i="1"/>
  <c r="M203" i="1"/>
  <c r="B1073" i="7"/>
  <c r="B1812" i="1"/>
  <c r="B1074" i="7" s="1"/>
  <c r="Q475" i="7"/>
  <c r="Q474" i="7"/>
  <c r="Q473" i="7"/>
  <c r="M891" i="1"/>
  <c r="S473" i="7" s="1"/>
  <c r="Q465" i="7"/>
  <c r="M883" i="1"/>
  <c r="S465" i="7" s="1"/>
  <c r="Q998" i="7"/>
  <c r="Q997" i="7"/>
  <c r="M552" i="1"/>
  <c r="B558" i="1" s="1"/>
  <c r="K558" i="1" s="1"/>
  <c r="M551" i="1"/>
  <c r="Q27" i="7"/>
  <c r="Q26" i="7"/>
  <c r="Q88" i="7"/>
  <c r="Q464" i="7"/>
  <c r="Q463" i="7"/>
  <c r="Q451" i="7"/>
  <c r="Q450" i="7"/>
  <c r="Q487" i="7"/>
  <c r="Q486" i="7"/>
  <c r="Q452" i="7"/>
  <c r="M870" i="1"/>
  <c r="S452" i="7" s="1"/>
  <c r="B53" i="7"/>
  <c r="F311" i="1"/>
  <c r="G316" i="1"/>
  <c r="J311" i="1"/>
  <c r="H311" i="1"/>
  <c r="I310" i="1"/>
  <c r="J316" i="1"/>
  <c r="J312" i="1"/>
  <c r="I311" i="1"/>
  <c r="J310" i="1"/>
  <c r="I316" i="1"/>
  <c r="I312" i="1"/>
  <c r="G310" i="1"/>
  <c r="F310" i="1"/>
  <c r="H316" i="1"/>
  <c r="G311" i="1"/>
  <c r="F312" i="1"/>
  <c r="H312" i="1"/>
  <c r="G312" i="1"/>
  <c r="H310" i="1"/>
  <c r="F316" i="1"/>
  <c r="K114" i="7"/>
  <c r="K90" i="7"/>
  <c r="K166" i="7"/>
  <c r="K483" i="1" l="1"/>
  <c r="Q204" i="7" s="1"/>
  <c r="M1861" i="1"/>
  <c r="M1858" i="1"/>
  <c r="M1863" i="1"/>
  <c r="M1857" i="1"/>
  <c r="M775" i="1"/>
  <c r="M1862" i="1"/>
  <c r="M1856" i="1"/>
  <c r="L1061" i="1"/>
  <c r="R636" i="7" s="1"/>
  <c r="Q28" i="7"/>
  <c r="M79" i="8"/>
  <c r="M80" i="8"/>
  <c r="M157" i="8"/>
  <c r="M158" i="8"/>
  <c r="M313" i="8"/>
  <c r="M314" i="8"/>
  <c r="Q220" i="7"/>
  <c r="Q89" i="7"/>
  <c r="Q233" i="7"/>
  <c r="Q112" i="7"/>
  <c r="Q232" i="7"/>
  <c r="Q111" i="7"/>
  <c r="Q198" i="7"/>
  <c r="Q44" i="7"/>
  <c r="Q132" i="7"/>
  <c r="M567" i="1"/>
  <c r="M566" i="1"/>
  <c r="M563" i="1"/>
  <c r="M50" i="8"/>
  <c r="M51" i="8"/>
  <c r="M312" i="8"/>
  <c r="M163" i="8"/>
  <c r="M164" i="8"/>
  <c r="Q87" i="7"/>
  <c r="Q167" i="7"/>
  <c r="M446" i="1"/>
  <c r="S167" i="7" s="1"/>
  <c r="Q254" i="7"/>
  <c r="Q162" i="7"/>
  <c r="Q196" i="7"/>
  <c r="Q42" i="7"/>
  <c r="Q133" i="7"/>
  <c r="M427" i="1"/>
  <c r="S133" i="7" s="1"/>
  <c r="Q1070" i="7"/>
  <c r="Q1069" i="7"/>
  <c r="M91" i="8"/>
  <c r="M92" i="8"/>
  <c r="M303" i="8"/>
  <c r="M304" i="8"/>
  <c r="L1034" i="1"/>
  <c r="R609" i="7" s="1"/>
  <c r="Q609" i="7"/>
  <c r="Q231" i="7"/>
  <c r="Q110" i="7"/>
  <c r="Q116" i="7"/>
  <c r="M410" i="1"/>
  <c r="S116" i="7" s="1"/>
  <c r="Q130" i="7"/>
  <c r="M93" i="8"/>
  <c r="M94" i="8"/>
  <c r="M95" i="8"/>
  <c r="M96" i="8"/>
  <c r="M284" i="8"/>
  <c r="M155" i="8"/>
  <c r="M156" i="8"/>
  <c r="Q93" i="7"/>
  <c r="M363" i="1"/>
  <c r="S93" i="7" s="1"/>
  <c r="Q255" i="7"/>
  <c r="Q163" i="7"/>
  <c r="Q256" i="7"/>
  <c r="Q164" i="7"/>
  <c r="Q197" i="7"/>
  <c r="Q43" i="7"/>
  <c r="Q131" i="7"/>
  <c r="F558" i="1"/>
  <c r="H558" i="1"/>
  <c r="G558" i="1"/>
  <c r="J558" i="1"/>
  <c r="F553" i="1"/>
  <c r="M553" i="1" s="1"/>
  <c r="K554" i="1" s="1"/>
  <c r="I558" i="1"/>
  <c r="Q476" i="7"/>
  <c r="M894" i="1"/>
  <c r="S476" i="7" s="1"/>
  <c r="N63" i="7"/>
  <c r="F304" i="1"/>
  <c r="F483" i="1"/>
  <c r="F204" i="7" s="1"/>
  <c r="F303" i="1"/>
  <c r="F61" i="7"/>
  <c r="Q67" i="7"/>
  <c r="H61" i="7"/>
  <c r="H483" i="1"/>
  <c r="H204" i="7" s="1"/>
  <c r="G63" i="7"/>
  <c r="G486" i="1"/>
  <c r="F486" i="1"/>
  <c r="F63" i="7"/>
  <c r="M204" i="7"/>
  <c r="M61" i="7"/>
  <c r="G483" i="1"/>
  <c r="G204" i="7" s="1"/>
  <c r="G61" i="7"/>
  <c r="L63" i="7"/>
  <c r="P63" i="7"/>
  <c r="J63" i="7"/>
  <c r="J486" i="1"/>
  <c r="Q63" i="7"/>
  <c r="L62" i="7"/>
  <c r="F484" i="1"/>
  <c r="F62" i="7"/>
  <c r="L67" i="7"/>
  <c r="I63" i="7"/>
  <c r="I486" i="1"/>
  <c r="K63" i="7"/>
  <c r="Q61" i="7"/>
  <c r="M63" i="7"/>
  <c r="H63" i="7"/>
  <c r="H486" i="1"/>
  <c r="N62" i="7"/>
  <c r="H490" i="1"/>
  <c r="H67" i="7"/>
  <c r="O63" i="7"/>
  <c r="I490" i="1"/>
  <c r="I67" i="7"/>
  <c r="I62" i="7"/>
  <c r="I484" i="1"/>
  <c r="O204" i="7"/>
  <c r="O61" i="7"/>
  <c r="H62" i="7"/>
  <c r="H484" i="1"/>
  <c r="Q62" i="7"/>
  <c r="K62" i="7"/>
  <c r="F490" i="1"/>
  <c r="M316" i="1"/>
  <c r="S67" i="7" s="1"/>
  <c r="F67" i="7"/>
  <c r="O67" i="7"/>
  <c r="N67" i="7"/>
  <c r="O62" i="7"/>
  <c r="I61" i="7"/>
  <c r="I483" i="1"/>
  <c r="I204" i="7" s="1"/>
  <c r="N61" i="7"/>
  <c r="N204" i="7"/>
  <c r="K204" i="7"/>
  <c r="K61" i="7"/>
  <c r="P62" i="7"/>
  <c r="M62" i="7"/>
  <c r="G484" i="1"/>
  <c r="G62" i="7"/>
  <c r="L204" i="7"/>
  <c r="L61" i="7"/>
  <c r="P204" i="7"/>
  <c r="P61" i="7"/>
  <c r="J483" i="1"/>
  <c r="J204" i="7" s="1"/>
  <c r="J61" i="7"/>
  <c r="P67" i="7"/>
  <c r="J67" i="7"/>
  <c r="J490" i="1"/>
  <c r="J62" i="7"/>
  <c r="J484" i="1"/>
  <c r="G67" i="7"/>
  <c r="G490" i="1"/>
  <c r="K67" i="7"/>
  <c r="M67" i="7"/>
  <c r="L104" i="7"/>
  <c r="L234" i="7"/>
  <c r="K235" i="7"/>
  <c r="K91" i="7"/>
  <c r="L157" i="7"/>
  <c r="K258" i="7"/>
  <c r="K557" i="1" l="1"/>
  <c r="K573" i="1" s="1"/>
  <c r="K123" i="1" s="1"/>
  <c r="K571" i="1"/>
  <c r="K1279" i="1" s="1"/>
  <c r="M374" i="1"/>
  <c r="Q522" i="7"/>
  <c r="M725" i="1"/>
  <c r="Q526" i="7"/>
  <c r="M558" i="1"/>
  <c r="Q45" i="7"/>
  <c r="Q629" i="7"/>
  <c r="M1054" i="1"/>
  <c r="S629" i="7" s="1"/>
  <c r="Q252" i="7"/>
  <c r="M531" i="1"/>
  <c r="S252" i="7" s="1"/>
  <c r="S361" i="7"/>
  <c r="Q361" i="7"/>
  <c r="S362" i="7"/>
  <c r="Q362" i="7"/>
  <c r="M772" i="1"/>
  <c r="Q202" i="7"/>
  <c r="M481" i="1"/>
  <c r="S359" i="7"/>
  <c r="Q359" i="7"/>
  <c r="M773" i="1"/>
  <c r="Q237" i="7"/>
  <c r="M516" i="1"/>
  <c r="S237" i="7" s="1"/>
  <c r="Q611" i="7"/>
  <c r="M1036" i="1"/>
  <c r="S611" i="7" s="1"/>
  <c r="M844" i="1"/>
  <c r="Q365" i="7"/>
  <c r="M771" i="1"/>
  <c r="M723" i="1"/>
  <c r="Q635" i="7"/>
  <c r="S363" i="7"/>
  <c r="Q363" i="7"/>
  <c r="Q636" i="7"/>
  <c r="Q624" i="7"/>
  <c r="L1049" i="1"/>
  <c r="R624" i="7" s="1"/>
  <c r="I554" i="1"/>
  <c r="H554" i="1"/>
  <c r="G554" i="1"/>
  <c r="J554" i="1"/>
  <c r="F554" i="1"/>
  <c r="M283" i="8"/>
  <c r="B899" i="8"/>
  <c r="Q126" i="7"/>
  <c r="M420" i="1"/>
  <c r="S126" i="7" s="1"/>
  <c r="Q610" i="7"/>
  <c r="M1035" i="1"/>
  <c r="S610" i="7" s="1"/>
  <c r="Q1071" i="7"/>
  <c r="Q950" i="7"/>
  <c r="L1060" i="1"/>
  <c r="S360" i="7"/>
  <c r="Q360" i="7"/>
  <c r="Q509" i="7"/>
  <c r="M932" i="1"/>
  <c r="S509" i="7" s="1"/>
  <c r="M722" i="1"/>
  <c r="Q630" i="7"/>
  <c r="M1055" i="1"/>
  <c r="S630" i="7" s="1"/>
  <c r="Q229" i="7"/>
  <c r="M508" i="1"/>
  <c r="S229" i="7" s="1"/>
  <c r="Q1072" i="7"/>
  <c r="Q224" i="7"/>
  <c r="M503" i="1"/>
  <c r="S224" i="7" s="1"/>
  <c r="Q260" i="7"/>
  <c r="M539" i="1"/>
  <c r="S260" i="7" s="1"/>
  <c r="M758" i="8"/>
  <c r="M831" i="8"/>
  <c r="M311" i="8"/>
  <c r="Q29" i="7"/>
  <c r="Q364" i="7"/>
  <c r="M774" i="1"/>
  <c r="Q584" i="7"/>
  <c r="M1007" i="1"/>
  <c r="S584" i="7" s="1"/>
  <c r="M580" i="1"/>
  <c r="M845" i="1"/>
  <c r="Q241" i="7"/>
  <c r="S358" i="7"/>
  <c r="Q358" i="7"/>
  <c r="Q511" i="7"/>
  <c r="M934" i="1"/>
  <c r="S511" i="7" s="1"/>
  <c r="Q194" i="7"/>
  <c r="M473" i="1"/>
  <c r="S194" i="7" s="1"/>
  <c r="K211" i="7"/>
  <c r="J205" i="7"/>
  <c r="P211" i="7"/>
  <c r="N211" i="7"/>
  <c r="Q205" i="7"/>
  <c r="H207" i="7"/>
  <c r="L211" i="7"/>
  <c r="L205" i="7"/>
  <c r="F207" i="7"/>
  <c r="M205" i="7"/>
  <c r="M490" i="1"/>
  <c r="S211" i="7" s="1"/>
  <c r="F211" i="7"/>
  <c r="I211" i="7"/>
  <c r="H211" i="7"/>
  <c r="I207" i="7"/>
  <c r="Q207" i="7"/>
  <c r="G207" i="7"/>
  <c r="F313" i="1"/>
  <c r="F55" i="7"/>
  <c r="M211" i="7"/>
  <c r="G211" i="7"/>
  <c r="J211" i="7"/>
  <c r="O205" i="7"/>
  <c r="O211" i="7"/>
  <c r="K205" i="7"/>
  <c r="H205" i="7"/>
  <c r="I205" i="7"/>
  <c r="F205" i="7"/>
  <c r="P207" i="7"/>
  <c r="G205" i="7"/>
  <c r="P205" i="7"/>
  <c r="O207" i="7"/>
  <c r="N205" i="7"/>
  <c r="M207" i="7"/>
  <c r="K207" i="7"/>
  <c r="J207" i="7"/>
  <c r="L207" i="7"/>
  <c r="Q211" i="7"/>
  <c r="F487" i="1"/>
  <c r="F54" i="7"/>
  <c r="N207" i="7"/>
  <c r="K936" i="7"/>
  <c r="L113" i="7"/>
  <c r="L81" i="7"/>
  <c r="L80" i="7"/>
  <c r="L165" i="7"/>
  <c r="K928" i="7"/>
  <c r="L257" i="7"/>
  <c r="K1748" i="1" l="1"/>
  <c r="K1677" i="1"/>
  <c r="K1604" i="1"/>
  <c r="K320" i="8"/>
  <c r="K319" i="8" s="1"/>
  <c r="K119" i="1"/>
  <c r="K129" i="1"/>
  <c r="M375" i="1"/>
  <c r="M811" i="1"/>
  <c r="B900" i="8"/>
  <c r="Q681" i="7"/>
  <c r="M1139" i="1"/>
  <c r="S681" i="7" s="1"/>
  <c r="Q541" i="7"/>
  <c r="Q542" i="7"/>
  <c r="Q481" i="7"/>
  <c r="M899" i="1"/>
  <c r="S481" i="7" s="1"/>
  <c r="M1101" i="1"/>
  <c r="M1676" i="1"/>
  <c r="Q804" i="7"/>
  <c r="M1278" i="1"/>
  <c r="S804" i="7" s="1"/>
  <c r="Q627" i="7"/>
  <c r="M1052" i="1"/>
  <c r="S627" i="7" s="1"/>
  <c r="Q637" i="7"/>
  <c r="M572" i="1"/>
  <c r="Q261" i="7"/>
  <c r="Q777" i="7"/>
  <c r="M1251" i="1"/>
  <c r="S777" i="7" s="1"/>
  <c r="Q794" i="7"/>
  <c r="M1268" i="1"/>
  <c r="S794" i="7" s="1"/>
  <c r="M1113" i="1"/>
  <c r="M1100" i="1"/>
  <c r="Q539" i="7"/>
  <c r="Q793" i="7"/>
  <c r="M851" i="1"/>
  <c r="Q955" i="7"/>
  <c r="Q540" i="7"/>
  <c r="Q1066" i="7"/>
  <c r="Q669" i="7"/>
  <c r="Q603" i="7"/>
  <c r="Q582" i="7"/>
  <c r="Q405" i="7"/>
  <c r="Q278" i="7"/>
  <c r="Q775" i="7"/>
  <c r="Q517" i="7"/>
  <c r="Q368" i="7"/>
  <c r="Q264" i="7"/>
  <c r="Q1092" i="7"/>
  <c r="Q992" i="7"/>
  <c r="Q964" i="7"/>
  <c r="Q919" i="7"/>
  <c r="Q440" i="7"/>
  <c r="Q291" i="7"/>
  <c r="Q32" i="7"/>
  <c r="F557" i="1"/>
  <c r="F571" i="1"/>
  <c r="M554" i="1"/>
  <c r="B555" i="1" s="1"/>
  <c r="K555" i="1" s="1"/>
  <c r="Q622" i="7"/>
  <c r="M1047" i="1"/>
  <c r="S622" i="7" s="1"/>
  <c r="Q949" i="7"/>
  <c r="Q445" i="7"/>
  <c r="M863" i="1"/>
  <c r="S445" i="7" s="1"/>
  <c r="Q470" i="7"/>
  <c r="M888" i="1"/>
  <c r="S470" i="7" s="1"/>
  <c r="Q671" i="7"/>
  <c r="M1129" i="1"/>
  <c r="S671" i="7" s="1"/>
  <c r="Q790" i="7"/>
  <c r="M1264" i="1"/>
  <c r="S790" i="7" s="1"/>
  <c r="Q524" i="7"/>
  <c r="Q789" i="7"/>
  <c r="M1263" i="1"/>
  <c r="S789" i="7" s="1"/>
  <c r="Q484" i="7"/>
  <c r="M902" i="1"/>
  <c r="S484" i="7" s="1"/>
  <c r="M1744" i="1"/>
  <c r="Q800" i="7"/>
  <c r="M1274" i="1"/>
  <c r="S800" i="7" s="1"/>
  <c r="Q779" i="7"/>
  <c r="M1253" i="1"/>
  <c r="S779" i="7" s="1"/>
  <c r="Q444" i="7"/>
  <c r="M862" i="1"/>
  <c r="S444" i="7" s="1"/>
  <c r="Q559" i="7"/>
  <c r="M107" i="1"/>
  <c r="J557" i="1"/>
  <c r="J573" i="1" s="1"/>
  <c r="J123" i="1" s="1"/>
  <c r="J119" i="1" s="1"/>
  <c r="J571" i="1"/>
  <c r="J1279" i="1" s="1"/>
  <c r="J320" i="8" s="1"/>
  <c r="H571" i="1"/>
  <c r="H1279" i="1" s="1"/>
  <c r="H320" i="8" s="1"/>
  <c r="H557" i="1"/>
  <c r="H573" i="1" s="1"/>
  <c r="H123" i="1" s="1"/>
  <c r="H119" i="1" s="1"/>
  <c r="Q608" i="7"/>
  <c r="M1033" i="1"/>
  <c r="S608" i="7" s="1"/>
  <c r="M148" i="1"/>
  <c r="S202" i="7"/>
  <c r="B449" i="1"/>
  <c r="M1099" i="1"/>
  <c r="M1109" i="1"/>
  <c r="Q503" i="7"/>
  <c r="M926" i="1"/>
  <c r="S503" i="7" s="1"/>
  <c r="M724" i="1"/>
  <c r="Q792" i="7"/>
  <c r="M1266" i="1"/>
  <c r="S792" i="7" s="1"/>
  <c r="M1120" i="1"/>
  <c r="Q510" i="7"/>
  <c r="M933" i="1"/>
  <c r="S510" i="7" s="1"/>
  <c r="L1062" i="1"/>
  <c r="R637" i="7" s="1"/>
  <c r="R635" i="7"/>
  <c r="G557" i="1"/>
  <c r="G573" i="1" s="1"/>
  <c r="G123" i="1" s="1"/>
  <c r="G119" i="1" s="1"/>
  <c r="G571" i="1"/>
  <c r="G1279" i="1" s="1"/>
  <c r="G320" i="8" s="1"/>
  <c r="I571" i="1"/>
  <c r="I1279" i="1" s="1"/>
  <c r="I320" i="8" s="1"/>
  <c r="I557" i="1"/>
  <c r="I573" i="1" s="1"/>
  <c r="I123" i="1" s="1"/>
  <c r="Q530" i="7"/>
  <c r="Q543" i="7"/>
  <c r="M850" i="1"/>
  <c r="M1104" i="1"/>
  <c r="M1675" i="1"/>
  <c r="Q803" i="7"/>
  <c r="M1277" i="1"/>
  <c r="S803" i="7" s="1"/>
  <c r="Q199" i="7"/>
  <c r="F208" i="7"/>
  <c r="F64" i="7"/>
  <c r="F314" i="1"/>
  <c r="L114" i="7"/>
  <c r="L90" i="7"/>
  <c r="L166" i="7"/>
  <c r="K761" i="8" l="1"/>
  <c r="K686" i="8"/>
  <c r="K834" i="8"/>
  <c r="K451" i="1"/>
  <c r="K498" i="1" s="1"/>
  <c r="K1408" i="1" s="1"/>
  <c r="K471" i="8" s="1"/>
  <c r="K470" i="8" s="1"/>
  <c r="K448" i="1"/>
  <c r="K1142" i="1" s="1"/>
  <c r="K1051" i="1"/>
  <c r="K556" i="1"/>
  <c r="K569" i="1" s="1"/>
  <c r="K920" i="1" s="1"/>
  <c r="K570" i="1"/>
  <c r="K1119" i="1" s="1"/>
  <c r="K108" i="8" s="1"/>
  <c r="K107" i="8" s="1"/>
  <c r="Q506" i="7"/>
  <c r="M929" i="1"/>
  <c r="S506" i="7" s="1"/>
  <c r="M843" i="1"/>
  <c r="M261" i="1"/>
  <c r="M252" i="1"/>
  <c r="M243" i="1"/>
  <c r="Q933" i="7"/>
  <c r="Q1107" i="7"/>
  <c r="M1896" i="1"/>
  <c r="S1107" i="7" s="1"/>
  <c r="M726" i="1"/>
  <c r="M89" i="8"/>
  <c r="M90" i="8"/>
  <c r="M730" i="1"/>
  <c r="Q488" i="7"/>
  <c r="M906" i="1"/>
  <c r="S488" i="7" s="1"/>
  <c r="Q1102" i="7"/>
  <c r="Q925" i="7"/>
  <c r="N1009" i="7"/>
  <c r="N805" i="7"/>
  <c r="F1279" i="1"/>
  <c r="M571" i="1"/>
  <c r="M73" i="8"/>
  <c r="M74" i="8"/>
  <c r="M116" i="1"/>
  <c r="M267" i="8"/>
  <c r="M268" i="8"/>
  <c r="Q953" i="7"/>
  <c r="Q1009" i="7"/>
  <c r="Q805" i="7"/>
  <c r="Q1108" i="7"/>
  <c r="M1897" i="1"/>
  <c r="S1108" i="7" s="1"/>
  <c r="M143" i="8"/>
  <c r="M144" i="8"/>
  <c r="M316" i="8"/>
  <c r="Q1081" i="7"/>
  <c r="M1819" i="1"/>
  <c r="S1081" i="7" s="1"/>
  <c r="Q948" i="7"/>
  <c r="P1009" i="7"/>
  <c r="P805" i="7"/>
  <c r="M295" i="8"/>
  <c r="M296" i="8"/>
  <c r="Q560" i="7"/>
  <c r="M108" i="1"/>
  <c r="M147" i="1"/>
  <c r="J319" i="8"/>
  <c r="J1677" i="1"/>
  <c r="J1604" i="1"/>
  <c r="J1009" i="7" s="1"/>
  <c r="J1748" i="1"/>
  <c r="J805" i="7"/>
  <c r="M310" i="8"/>
  <c r="Q512" i="7"/>
  <c r="M935" i="1"/>
  <c r="S512" i="7" s="1"/>
  <c r="M787" i="1"/>
  <c r="M125" i="8"/>
  <c r="Q1094" i="7"/>
  <c r="M1883" i="1"/>
  <c r="S1094" i="7" s="1"/>
  <c r="Q633" i="7"/>
  <c r="M1058" i="1"/>
  <c r="S633" i="7" s="1"/>
  <c r="F573" i="1"/>
  <c r="M557" i="1"/>
  <c r="Q370" i="7"/>
  <c r="Q373" i="7"/>
  <c r="M752" i="1"/>
  <c r="M299" i="8"/>
  <c r="M300" i="8"/>
  <c r="O805" i="7"/>
  <c r="O1009" i="7"/>
  <c r="M318" i="8"/>
  <c r="G319" i="8"/>
  <c r="G1604" i="1"/>
  <c r="G1009" i="7" s="1"/>
  <c r="G1677" i="1"/>
  <c r="G805" i="7"/>
  <c r="G1748" i="1"/>
  <c r="Q500" i="7"/>
  <c r="M923" i="1"/>
  <c r="S500" i="7" s="1"/>
  <c r="M1107" i="1"/>
  <c r="G448" i="1"/>
  <c r="I1051" i="1"/>
  <c r="I448" i="1"/>
  <c r="H451" i="1"/>
  <c r="B170" i="7"/>
  <c r="F448" i="1"/>
  <c r="I451" i="1"/>
  <c r="H448" i="1"/>
  <c r="G1051" i="1"/>
  <c r="J1051" i="1"/>
  <c r="H1051" i="1"/>
  <c r="F451" i="1"/>
  <c r="J451" i="1"/>
  <c r="J448" i="1"/>
  <c r="F1051" i="1"/>
  <c r="G451" i="1"/>
  <c r="Q631" i="7"/>
  <c r="M1056" i="1"/>
  <c r="S631" i="7" s="1"/>
  <c r="H319" i="8"/>
  <c r="H805" i="7"/>
  <c r="H1677" i="1"/>
  <c r="H1748" i="1"/>
  <c r="H1604" i="1"/>
  <c r="H1009" i="7" s="1"/>
  <c r="M729" i="1"/>
  <c r="M271" i="8"/>
  <c r="M272" i="8"/>
  <c r="Q1105" i="7"/>
  <c r="M1894" i="1"/>
  <c r="S1105" i="7" s="1"/>
  <c r="Q1080" i="7"/>
  <c r="M291" i="8"/>
  <c r="M292" i="8"/>
  <c r="M1009" i="7"/>
  <c r="M805" i="7"/>
  <c r="Q482" i="7"/>
  <c r="M900" i="1"/>
  <c r="S482" i="7" s="1"/>
  <c r="Q791" i="7"/>
  <c r="M1265" i="1"/>
  <c r="S791" i="7" s="1"/>
  <c r="M81" i="8"/>
  <c r="M82" i="8"/>
  <c r="Q471" i="7"/>
  <c r="M889" i="1"/>
  <c r="S471" i="7" s="1"/>
  <c r="I319" i="8"/>
  <c r="I1604" i="1"/>
  <c r="I1009" i="7" s="1"/>
  <c r="I805" i="7"/>
  <c r="I1677" i="1"/>
  <c r="I1748" i="1"/>
  <c r="M109" i="8"/>
  <c r="M110" i="8"/>
  <c r="Q523" i="7"/>
  <c r="M71" i="8"/>
  <c r="M72" i="8"/>
  <c r="L1009" i="7"/>
  <c r="L805" i="7"/>
  <c r="M290" i="8"/>
  <c r="G555" i="1"/>
  <c r="F555" i="1"/>
  <c r="J555" i="1"/>
  <c r="H555" i="1"/>
  <c r="I555" i="1"/>
  <c r="Q538" i="7"/>
  <c r="M97" i="8"/>
  <c r="M98" i="8"/>
  <c r="Q634" i="7"/>
  <c r="M1059" i="1"/>
  <c r="S634" i="7" s="1"/>
  <c r="K1009" i="7"/>
  <c r="K805" i="7"/>
  <c r="M75" i="8"/>
  <c r="M76" i="8"/>
  <c r="G304" i="1"/>
  <c r="F488" i="1"/>
  <c r="F65" i="7"/>
  <c r="G303" i="1"/>
  <c r="M104" i="7"/>
  <c r="M234" i="7"/>
  <c r="L235" i="7"/>
  <c r="L91" i="7"/>
  <c r="M157" i="7"/>
  <c r="L258" i="7"/>
  <c r="K1057" i="1" l="1"/>
  <c r="K177" i="1" s="1"/>
  <c r="K178" i="1" s="1"/>
  <c r="K49" i="8" s="1"/>
  <c r="K48" i="8" s="1"/>
  <c r="K1135" i="1"/>
  <c r="K152" i="8"/>
  <c r="K151" i="8" s="1"/>
  <c r="Q169" i="7"/>
  <c r="M931" i="1"/>
  <c r="S508" i="7" s="1"/>
  <c r="Q508" i="7"/>
  <c r="M849" i="1"/>
  <c r="M875" i="1"/>
  <c r="S457" i="7" s="1"/>
  <c r="Q457" i="7"/>
  <c r="Q555" i="7"/>
  <c r="M555" i="1"/>
  <c r="F570" i="1"/>
  <c r="F556" i="1"/>
  <c r="M289" i="8"/>
  <c r="M702" i="1"/>
  <c r="F626" i="7"/>
  <c r="M1051" i="1"/>
  <c r="S626" i="7" s="1"/>
  <c r="F1057" i="1"/>
  <c r="M169" i="7"/>
  <c r="F498" i="1"/>
  <c r="F172" i="7"/>
  <c r="M172" i="7"/>
  <c r="H1142" i="1"/>
  <c r="H152" i="8" s="1"/>
  <c r="H169" i="7"/>
  <c r="K626" i="7"/>
  <c r="I169" i="7"/>
  <c r="I1142" i="1"/>
  <c r="I152" i="8" s="1"/>
  <c r="G1142" i="1"/>
  <c r="G152" i="8" s="1"/>
  <c r="G169" i="7"/>
  <c r="Q626" i="7"/>
  <c r="Q551" i="7"/>
  <c r="M830" i="8"/>
  <c r="M931" i="8"/>
  <c r="M309" i="8"/>
  <c r="G570" i="1"/>
  <c r="G1119" i="1" s="1"/>
  <c r="G108" i="8" s="1"/>
  <c r="G556" i="1"/>
  <c r="G569" i="1" s="1"/>
  <c r="G920" i="1" s="1"/>
  <c r="M293" i="8"/>
  <c r="M294" i="8"/>
  <c r="Q778" i="7"/>
  <c r="M1252" i="1"/>
  <c r="S778" i="7" s="1"/>
  <c r="H834" i="8"/>
  <c r="H761" i="8"/>
  <c r="H686" i="8"/>
  <c r="N626" i="7"/>
  <c r="M626" i="7"/>
  <c r="J1142" i="1"/>
  <c r="J152" i="8" s="1"/>
  <c r="J169" i="7"/>
  <c r="N169" i="7"/>
  <c r="P172" i="7"/>
  <c r="I172" i="7"/>
  <c r="I498" i="1"/>
  <c r="P626" i="7"/>
  <c r="K169" i="7"/>
  <c r="Q682" i="7"/>
  <c r="M1140" i="1"/>
  <c r="S682" i="7" s="1"/>
  <c r="M778" i="1"/>
  <c r="M1212" i="1"/>
  <c r="Q781" i="7"/>
  <c r="M1255" i="1"/>
  <c r="S781" i="7" s="1"/>
  <c r="Q552" i="7"/>
  <c r="M269" i="1"/>
  <c r="Q922" i="7"/>
  <c r="H556" i="1"/>
  <c r="H569" i="1" s="1"/>
  <c r="H920" i="1" s="1"/>
  <c r="H570" i="1"/>
  <c r="H1119" i="1" s="1"/>
  <c r="H108" i="8" s="1"/>
  <c r="Q520" i="7"/>
  <c r="I834" i="8"/>
  <c r="I686" i="8"/>
  <c r="I761" i="8"/>
  <c r="Q502" i="7"/>
  <c r="M925" i="1"/>
  <c r="S502" i="7" s="1"/>
  <c r="M1117" i="1"/>
  <c r="K172" i="7"/>
  <c r="L169" i="7"/>
  <c r="N172" i="7"/>
  <c r="H626" i="7"/>
  <c r="H1057" i="1"/>
  <c r="O172" i="7"/>
  <c r="M448" i="1"/>
  <c r="K452" i="1" s="1"/>
  <c r="F169" i="7"/>
  <c r="F1142" i="1"/>
  <c r="L172" i="7"/>
  <c r="O626" i="7"/>
  <c r="O169" i="7"/>
  <c r="G686" i="8"/>
  <c r="G834" i="8"/>
  <c r="G761" i="8"/>
  <c r="M920" i="8"/>
  <c r="M124" i="8"/>
  <c r="M842" i="1"/>
  <c r="Q554" i="7"/>
  <c r="Q513" i="7"/>
  <c r="M936" i="1"/>
  <c r="S513" i="7" s="1"/>
  <c r="J761" i="8"/>
  <c r="J686" i="8"/>
  <c r="J834" i="8"/>
  <c r="Q495" i="7"/>
  <c r="M918" i="1"/>
  <c r="S495" i="7" s="1"/>
  <c r="F1604" i="1"/>
  <c r="M1279" i="1"/>
  <c r="S805" i="7" s="1"/>
  <c r="F320" i="8"/>
  <c r="F805" i="7"/>
  <c r="F1748" i="1"/>
  <c r="M1748" i="1" s="1"/>
  <c r="F1677" i="1"/>
  <c r="M1677" i="1" s="1"/>
  <c r="I556" i="1"/>
  <c r="I569" i="1" s="1"/>
  <c r="I920" i="1" s="1"/>
  <c r="I570" i="1"/>
  <c r="I1119" i="1" s="1"/>
  <c r="I108" i="8" s="1"/>
  <c r="J556" i="1"/>
  <c r="J569" i="1" s="1"/>
  <c r="J920" i="1" s="1"/>
  <c r="J570" i="1"/>
  <c r="J1119" i="1" s="1"/>
  <c r="J108" i="8" s="1"/>
  <c r="M1742" i="1"/>
  <c r="Q783" i="7"/>
  <c r="M1257" i="1"/>
  <c r="S783" i="7" s="1"/>
  <c r="G172" i="7"/>
  <c r="G498" i="1"/>
  <c r="P169" i="7"/>
  <c r="J172" i="7"/>
  <c r="J498" i="1"/>
  <c r="J626" i="7"/>
  <c r="J1057" i="1"/>
  <c r="G626" i="7"/>
  <c r="G1057" i="1"/>
  <c r="L626" i="7"/>
  <c r="H172" i="7"/>
  <c r="H498" i="1"/>
  <c r="I1057" i="1"/>
  <c r="I626" i="7"/>
  <c r="Q172" i="7"/>
  <c r="M86" i="8"/>
  <c r="M87" i="8"/>
  <c r="M934" i="8"/>
  <c r="M760" i="8"/>
  <c r="M317" i="8"/>
  <c r="M573" i="1"/>
  <c r="F123" i="1"/>
  <c r="Q460" i="7"/>
  <c r="M878" i="1"/>
  <c r="S460" i="7" s="1"/>
  <c r="M933" i="8"/>
  <c r="M907" i="8"/>
  <c r="M759" i="8"/>
  <c r="M315" i="8"/>
  <c r="M115" i="1"/>
  <c r="Q514" i="7"/>
  <c r="M937" i="1"/>
  <c r="S514" i="7" s="1"/>
  <c r="M121" i="1"/>
  <c r="M120" i="1"/>
  <c r="F1404" i="1"/>
  <c r="F209" i="7"/>
  <c r="G55" i="7"/>
  <c r="G313" i="1"/>
  <c r="G54" i="7"/>
  <c r="G487" i="1"/>
  <c r="L936" i="7"/>
  <c r="M113" i="7"/>
  <c r="M80" i="7"/>
  <c r="M81" i="7"/>
  <c r="M165" i="7"/>
  <c r="L928" i="7"/>
  <c r="M257" i="7"/>
  <c r="K497" i="1" l="1"/>
  <c r="K559" i="1"/>
  <c r="K136" i="8"/>
  <c r="K135" i="8" s="1"/>
  <c r="Q507" i="7"/>
  <c r="M930" i="1"/>
  <c r="S507" i="7" s="1"/>
  <c r="M876" i="1"/>
  <c r="S458" i="7" s="1"/>
  <c r="Q458" i="7"/>
  <c r="L632" i="7"/>
  <c r="I177" i="1"/>
  <c r="I178" i="1" s="1"/>
  <c r="I49" i="8" s="1"/>
  <c r="I632" i="7"/>
  <c r="M280" i="8"/>
  <c r="Q1003" i="7"/>
  <c r="M1598" i="1"/>
  <c r="S1003" i="7" s="1"/>
  <c r="J497" i="7"/>
  <c r="J1135" i="1"/>
  <c r="J136" i="8" s="1"/>
  <c r="M320" i="8"/>
  <c r="F319" i="8"/>
  <c r="M848" i="1"/>
  <c r="O632" i="7"/>
  <c r="H177" i="1"/>
  <c r="H178" i="1" s="1"/>
  <c r="H49" i="8" s="1"/>
  <c r="H632" i="7"/>
  <c r="M103" i="8"/>
  <c r="M104" i="8"/>
  <c r="Q497" i="7"/>
  <c r="H497" i="7"/>
  <c r="H1135" i="1"/>
  <c r="H136" i="8" s="1"/>
  <c r="J151" i="8"/>
  <c r="J684" i="7"/>
  <c r="N632" i="7"/>
  <c r="G107" i="8"/>
  <c r="H151" i="8"/>
  <c r="H684" i="7"/>
  <c r="F219" i="7"/>
  <c r="F1408" i="1"/>
  <c r="M556" i="1"/>
  <c r="B556" i="1" s="1"/>
  <c r="F569" i="1"/>
  <c r="K575" i="1" s="1"/>
  <c r="H559" i="1"/>
  <c r="I559" i="1"/>
  <c r="F559" i="1"/>
  <c r="G559" i="1"/>
  <c r="J559" i="1"/>
  <c r="M123" i="1"/>
  <c r="F119" i="1"/>
  <c r="G632" i="7"/>
  <c r="G177" i="1"/>
  <c r="G178" i="1" s="1"/>
  <c r="G49" i="8" s="1"/>
  <c r="J219" i="7"/>
  <c r="J1408" i="1"/>
  <c r="J471" i="8" s="1"/>
  <c r="G219" i="7"/>
  <c r="G1408" i="1"/>
  <c r="G471" i="8" s="1"/>
  <c r="Q1109" i="7"/>
  <c r="M1898" i="1"/>
  <c r="S1109" i="7" s="1"/>
  <c r="I107" i="8"/>
  <c r="Q499" i="7"/>
  <c r="M922" i="1"/>
  <c r="S499" i="7" s="1"/>
  <c r="Q446" i="7"/>
  <c r="M864" i="1"/>
  <c r="S446" i="7" s="1"/>
  <c r="J452" i="1"/>
  <c r="G452" i="1"/>
  <c r="S169" i="7"/>
  <c r="F452" i="1"/>
  <c r="H452" i="1"/>
  <c r="I452" i="1"/>
  <c r="L684" i="7"/>
  <c r="Q926" i="7"/>
  <c r="O497" i="7"/>
  <c r="Q493" i="7"/>
  <c r="M916" i="1"/>
  <c r="S493" i="7" s="1"/>
  <c r="I219" i="7"/>
  <c r="I1408" i="1"/>
  <c r="I471" i="8" s="1"/>
  <c r="N684" i="7"/>
  <c r="N497" i="7"/>
  <c r="Q684" i="7"/>
  <c r="M219" i="7"/>
  <c r="F1119" i="1"/>
  <c r="M570" i="1"/>
  <c r="K497" i="7"/>
  <c r="H219" i="7"/>
  <c r="H1408" i="1"/>
  <c r="H471" i="8" s="1"/>
  <c r="Q505" i="7"/>
  <c r="M928" i="1"/>
  <c r="S505" i="7" s="1"/>
  <c r="Q219" i="7"/>
  <c r="P497" i="7"/>
  <c r="I497" i="7"/>
  <c r="I1135" i="1"/>
  <c r="I136" i="8" s="1"/>
  <c r="F1009" i="7"/>
  <c r="M1604" i="1"/>
  <c r="S1009" i="7" s="1"/>
  <c r="Q676" i="7"/>
  <c r="M1134" i="1"/>
  <c r="S676" i="7" s="1"/>
  <c r="O684" i="7"/>
  <c r="L219" i="7"/>
  <c r="O219" i="7"/>
  <c r="K219" i="7"/>
  <c r="Q675" i="7"/>
  <c r="M1133" i="1"/>
  <c r="S675" i="7" s="1"/>
  <c r="K684" i="7"/>
  <c r="M632" i="7"/>
  <c r="M269" i="8"/>
  <c r="M270" i="8"/>
  <c r="G151" i="8"/>
  <c r="G684" i="7"/>
  <c r="K632" i="7"/>
  <c r="M684" i="7"/>
  <c r="J632" i="7"/>
  <c r="J177" i="1"/>
  <c r="J178" i="1" s="1"/>
  <c r="J49" i="8" s="1"/>
  <c r="P684" i="7"/>
  <c r="J107" i="8"/>
  <c r="Q553" i="7"/>
  <c r="M1847" i="1"/>
  <c r="M841" i="1"/>
  <c r="F152" i="8"/>
  <c r="M1142" i="1"/>
  <c r="S684" i="7" s="1"/>
  <c r="F684" i="7"/>
  <c r="N219" i="7"/>
  <c r="H107" i="8"/>
  <c r="M275" i="8"/>
  <c r="M276" i="8"/>
  <c r="Q689" i="7"/>
  <c r="M1147" i="1"/>
  <c r="S689" i="7" s="1"/>
  <c r="M145" i="8"/>
  <c r="M146" i="8"/>
  <c r="P632" i="7"/>
  <c r="P219" i="7"/>
  <c r="G497" i="7"/>
  <c r="G1135" i="1"/>
  <c r="G136" i="8" s="1"/>
  <c r="L497" i="7"/>
  <c r="Q632" i="7"/>
  <c r="I151" i="8"/>
  <c r="I684" i="7"/>
  <c r="F632" i="7"/>
  <c r="M1057" i="1"/>
  <c r="S632" i="7" s="1"/>
  <c r="F177" i="1"/>
  <c r="M497" i="7"/>
  <c r="G208" i="7"/>
  <c r="G64" i="7"/>
  <c r="G314" i="1"/>
  <c r="F934" i="7"/>
  <c r="F463" i="8"/>
  <c r="F462" i="8" s="1"/>
  <c r="M114" i="7"/>
  <c r="M90" i="7"/>
  <c r="M166" i="7"/>
  <c r="K1393" i="1" l="1"/>
  <c r="K442" i="8" s="1"/>
  <c r="K441" i="8" s="1"/>
  <c r="K1415" i="1"/>
  <c r="Q496" i="7"/>
  <c r="M919" i="1"/>
  <c r="S496" i="7" s="1"/>
  <c r="M207" i="1"/>
  <c r="M853" i="1"/>
  <c r="I135" i="8"/>
  <c r="I677" i="7"/>
  <c r="K677" i="7"/>
  <c r="P218" i="7"/>
  <c r="P173" i="7"/>
  <c r="J173" i="7"/>
  <c r="J497" i="1"/>
  <c r="J218" i="7" s="1"/>
  <c r="M319" i="8"/>
  <c r="F686" i="8"/>
  <c r="M686" i="8" s="1"/>
  <c r="F834" i="8"/>
  <c r="M834" i="8" s="1"/>
  <c r="F761" i="8"/>
  <c r="M761" i="8" s="1"/>
  <c r="M677" i="7"/>
  <c r="L677" i="7"/>
  <c r="P938" i="7"/>
  <c r="M159" i="8"/>
  <c r="M160" i="8"/>
  <c r="N938" i="7"/>
  <c r="F151" i="8"/>
  <c r="M151" i="8" s="1"/>
  <c r="M152" i="8"/>
  <c r="M131" i="8"/>
  <c r="M132" i="8"/>
  <c r="O938" i="7"/>
  <c r="M938" i="7"/>
  <c r="N677" i="7"/>
  <c r="H173" i="7"/>
  <c r="H497" i="1"/>
  <c r="H218" i="7" s="1"/>
  <c r="O218" i="7"/>
  <c r="O173" i="7"/>
  <c r="N173" i="7"/>
  <c r="N218" i="7"/>
  <c r="J470" i="8"/>
  <c r="J938" i="7"/>
  <c r="M569" i="1"/>
  <c r="F920" i="1"/>
  <c r="G575" i="1"/>
  <c r="I575" i="1"/>
  <c r="H575" i="1"/>
  <c r="F575" i="1"/>
  <c r="J575" i="1"/>
  <c r="H135" i="8"/>
  <c r="H677" i="7"/>
  <c r="I48" i="8"/>
  <c r="F178" i="1"/>
  <c r="M177" i="1"/>
  <c r="Q565" i="7"/>
  <c r="P677" i="7"/>
  <c r="H470" i="8"/>
  <c r="H938" i="7"/>
  <c r="I470" i="8"/>
  <c r="I938" i="7"/>
  <c r="I173" i="7"/>
  <c r="I497" i="1"/>
  <c r="I218" i="7" s="1"/>
  <c r="M218" i="7"/>
  <c r="M173" i="7"/>
  <c r="G497" i="1"/>
  <c r="G218" i="7" s="1"/>
  <c r="G173" i="7"/>
  <c r="Q683" i="7"/>
  <c r="M1141" i="1"/>
  <c r="S683" i="7" s="1"/>
  <c r="Q677" i="7"/>
  <c r="H48" i="8"/>
  <c r="Q447" i="7"/>
  <c r="M865" i="1"/>
  <c r="S447" i="7" s="1"/>
  <c r="J135" i="8"/>
  <c r="J677" i="7"/>
  <c r="G135" i="8"/>
  <c r="G677" i="7"/>
  <c r="M223" i="1"/>
  <c r="M226" i="1"/>
  <c r="Q780" i="7"/>
  <c r="M1254" i="1"/>
  <c r="S780" i="7" s="1"/>
  <c r="J48" i="8"/>
  <c r="K938" i="7"/>
  <c r="L938" i="7"/>
  <c r="M133" i="8"/>
  <c r="M134" i="8"/>
  <c r="Q938" i="7"/>
  <c r="M1119" i="1"/>
  <c r="F108" i="8"/>
  <c r="O677" i="7"/>
  <c r="Q218" i="7"/>
  <c r="Q173" i="7"/>
  <c r="L173" i="7"/>
  <c r="L218" i="7"/>
  <c r="F173" i="7"/>
  <c r="F497" i="1"/>
  <c r="F218" i="7" s="1"/>
  <c r="F450" i="1"/>
  <c r="K173" i="7"/>
  <c r="K218" i="7"/>
  <c r="G938" i="7"/>
  <c r="G470" i="8"/>
  <c r="G48" i="8"/>
  <c r="F938" i="7"/>
  <c r="F471" i="8"/>
  <c r="F470" i="8" s="1"/>
  <c r="Q550" i="7"/>
  <c r="M847" i="1"/>
  <c r="M828" i="8"/>
  <c r="M680" i="8"/>
  <c r="M935" i="8"/>
  <c r="M279" i="8"/>
  <c r="H304" i="1"/>
  <c r="G488" i="1"/>
  <c r="G65" i="7"/>
  <c r="H303" i="1"/>
  <c r="M235" i="7"/>
  <c r="N234" i="7"/>
  <c r="N104" i="7"/>
  <c r="M91" i="7"/>
  <c r="N157" i="7"/>
  <c r="M258" i="7"/>
  <c r="K483" i="8" l="1"/>
  <c r="K482" i="8" s="1"/>
  <c r="K1413" i="1"/>
  <c r="M1136" i="1"/>
  <c r="S678" i="7" s="1"/>
  <c r="Q678" i="7"/>
  <c r="M136" i="1"/>
  <c r="F453" i="1"/>
  <c r="F171" i="7"/>
  <c r="F500" i="1"/>
  <c r="M108" i="8"/>
  <c r="F107" i="8"/>
  <c r="M107" i="8" s="1"/>
  <c r="F49" i="8"/>
  <c r="M178" i="1"/>
  <c r="F497" i="7"/>
  <c r="F1135" i="1"/>
  <c r="M920" i="1"/>
  <c r="S497" i="7" s="1"/>
  <c r="Q494" i="7"/>
  <c r="M917" i="1"/>
  <c r="S494" i="7" s="1"/>
  <c r="Q944" i="7"/>
  <c r="M273" i="8"/>
  <c r="M274" i="8"/>
  <c r="M147" i="8"/>
  <c r="M148" i="8"/>
  <c r="M733" i="1"/>
  <c r="Q504" i="7"/>
  <c r="M927" i="1"/>
  <c r="S504" i="7" s="1"/>
  <c r="Q947" i="7"/>
  <c r="M204" i="1"/>
  <c r="H55" i="7"/>
  <c r="H313" i="1"/>
  <c r="H487" i="1"/>
  <c r="H54" i="7"/>
  <c r="G1404" i="1"/>
  <c r="G463" i="8" s="1"/>
  <c r="G209" i="7"/>
  <c r="N113" i="7"/>
  <c r="M936" i="7"/>
  <c r="N81" i="7"/>
  <c r="N80" i="7"/>
  <c r="M928" i="7"/>
  <c r="N165" i="7"/>
  <c r="N257" i="7"/>
  <c r="K479" i="8" l="1"/>
  <c r="K478" i="8" s="1"/>
  <c r="M138" i="8"/>
  <c r="M137" i="8"/>
  <c r="M201" i="1"/>
  <c r="Q501" i="7"/>
  <c r="M924" i="1"/>
  <c r="S501" i="7" s="1"/>
  <c r="F48" i="8"/>
  <c r="M48" i="8" s="1"/>
  <c r="M49" i="8"/>
  <c r="F221" i="7"/>
  <c r="F877" i="1"/>
  <c r="Q492" i="7"/>
  <c r="M915" i="1"/>
  <c r="S492" i="7" s="1"/>
  <c r="Q674" i="7"/>
  <c r="M1132" i="1"/>
  <c r="S674" i="7" s="1"/>
  <c r="Q531" i="7"/>
  <c r="Q578" i="7"/>
  <c r="F677" i="7"/>
  <c r="M1135" i="1"/>
  <c r="S677" i="7" s="1"/>
  <c r="F136" i="8"/>
  <c r="G450" i="1"/>
  <c r="F174" i="7"/>
  <c r="F501" i="1"/>
  <c r="H64" i="7"/>
  <c r="H314" i="1"/>
  <c r="H208" i="7"/>
  <c r="G934" i="7"/>
  <c r="G462" i="8"/>
  <c r="N114" i="7"/>
  <c r="N90" i="7"/>
  <c r="N166" i="7"/>
  <c r="F1405" i="1" l="1"/>
  <c r="F158" i="1"/>
  <c r="F157" i="1" s="1"/>
  <c r="F222" i="7"/>
  <c r="F135" i="8"/>
  <c r="M135" i="8" s="1"/>
  <c r="M136" i="8"/>
  <c r="Q528" i="7"/>
  <c r="M129" i="8"/>
  <c r="M130" i="8"/>
  <c r="F459" i="7"/>
  <c r="F921" i="1"/>
  <c r="G171" i="7"/>
  <c r="G500" i="1"/>
  <c r="G453" i="1"/>
  <c r="Q569" i="7"/>
  <c r="M202" i="1"/>
  <c r="H488" i="1"/>
  <c r="H65" i="7"/>
  <c r="I304" i="1"/>
  <c r="I303" i="1"/>
  <c r="O104" i="7"/>
  <c r="O234" i="7"/>
  <c r="N235" i="7"/>
  <c r="N91" i="7"/>
  <c r="O157" i="7"/>
  <c r="N258" i="7"/>
  <c r="G221" i="7" l="1"/>
  <c r="G877" i="1"/>
  <c r="Q574" i="7"/>
  <c r="F914" i="1"/>
  <c r="F491" i="7" s="1"/>
  <c r="F1137" i="1"/>
  <c r="F498" i="7"/>
  <c r="F985" i="1"/>
  <c r="F562" i="7" s="1"/>
  <c r="F1144" i="1"/>
  <c r="Q572" i="7"/>
  <c r="G501" i="1"/>
  <c r="G174" i="7"/>
  <c r="H450" i="1"/>
  <c r="Q924" i="7"/>
  <c r="F1402" i="1"/>
  <c r="F465" i="8"/>
  <c r="F464" i="8" s="1"/>
  <c r="F935" i="7"/>
  <c r="H1404" i="1"/>
  <c r="H463" i="8" s="1"/>
  <c r="H209" i="7"/>
  <c r="I54" i="7"/>
  <c r="I487" i="1"/>
  <c r="I55" i="7"/>
  <c r="I313" i="1"/>
  <c r="N936" i="7"/>
  <c r="O113" i="7"/>
  <c r="O80" i="7"/>
  <c r="O81" i="7"/>
  <c r="N928" i="7"/>
  <c r="O165" i="7"/>
  <c r="O257" i="7"/>
  <c r="H500" i="1" l="1"/>
  <c r="H171" i="7"/>
  <c r="H453" i="1"/>
  <c r="F459" i="8"/>
  <c r="F458" i="8" s="1"/>
  <c r="F932" i="7"/>
  <c r="F686" i="7"/>
  <c r="F150" i="8"/>
  <c r="F149" i="8" s="1"/>
  <c r="G921" i="1"/>
  <c r="G459" i="7"/>
  <c r="G1405" i="1"/>
  <c r="G465" i="8" s="1"/>
  <c r="G222" i="7"/>
  <c r="G158" i="1"/>
  <c r="G157" i="1" s="1"/>
  <c r="F140" i="8"/>
  <c r="F139" i="8" s="1"/>
  <c r="F904" i="8" s="1"/>
  <c r="F1816" i="1"/>
  <c r="F1078" i="7" s="1"/>
  <c r="F1130" i="1"/>
  <c r="F679" i="7"/>
  <c r="H934" i="7"/>
  <c r="H462" i="8"/>
  <c r="I208" i="7"/>
  <c r="I64" i="7"/>
  <c r="I314" i="1"/>
  <c r="O114" i="7"/>
  <c r="O90" i="7"/>
  <c r="O166" i="7"/>
  <c r="G985" i="1" l="1"/>
  <c r="G562" i="7" s="1"/>
  <c r="G1144" i="1"/>
  <c r="G150" i="8" s="1"/>
  <c r="I450" i="1"/>
  <c r="H174" i="7"/>
  <c r="H501" i="1"/>
  <c r="G464" i="8"/>
  <c r="G935" i="7"/>
  <c r="G1402" i="1"/>
  <c r="G459" i="8" s="1"/>
  <c r="F1138" i="1"/>
  <c r="F672" i="7"/>
  <c r="F1489" i="1"/>
  <c r="F969" i="7" s="1"/>
  <c r="F127" i="8"/>
  <c r="F126" i="8" s="1"/>
  <c r="F1884" i="1"/>
  <c r="F1095" i="7" s="1"/>
  <c r="F1492" i="1"/>
  <c r="F972" i="7" s="1"/>
  <c r="H221" i="7"/>
  <c r="H877" i="1"/>
  <c r="G1137" i="1"/>
  <c r="G140" i="8" s="1"/>
  <c r="G914" i="1"/>
  <c r="G491" i="7" s="1"/>
  <c r="G498" i="7"/>
  <c r="J304" i="1"/>
  <c r="I488" i="1"/>
  <c r="I65" i="7"/>
  <c r="J303" i="1"/>
  <c r="O235" i="7"/>
  <c r="P104" i="7"/>
  <c r="P234" i="7"/>
  <c r="O91" i="7"/>
  <c r="P157" i="7"/>
  <c r="O258" i="7"/>
  <c r="F1493" i="1" l="1"/>
  <c r="F1494" i="1" s="1"/>
  <c r="F974" i="7" s="1"/>
  <c r="H921" i="1"/>
  <c r="H459" i="7"/>
  <c r="F142" i="8"/>
  <c r="F141" i="8" s="1"/>
  <c r="F1145" i="1"/>
  <c r="F680" i="7"/>
  <c r="I500" i="1"/>
  <c r="I171" i="7"/>
  <c r="I453" i="1"/>
  <c r="F572" i="8"/>
  <c r="F573" i="8" s="1"/>
  <c r="F574" i="8" s="1"/>
  <c r="F569" i="8"/>
  <c r="F921" i="8"/>
  <c r="H1405" i="1"/>
  <c r="H465" i="8" s="1"/>
  <c r="H222" i="7"/>
  <c r="H158" i="1"/>
  <c r="H157" i="1" s="1"/>
  <c r="G139" i="8"/>
  <c r="G904" i="8" s="1"/>
  <c r="G1816" i="1"/>
  <c r="G1078" i="7" s="1"/>
  <c r="G1130" i="1"/>
  <c r="G127" i="8" s="1"/>
  <c r="G679" i="7"/>
  <c r="G458" i="8"/>
  <c r="G932" i="7"/>
  <c r="G149" i="8"/>
  <c r="G686" i="7"/>
  <c r="I209" i="7"/>
  <c r="I1404" i="1"/>
  <c r="I463" i="8" s="1"/>
  <c r="J55" i="7"/>
  <c r="J313" i="1"/>
  <c r="J54" i="7"/>
  <c r="J487" i="1"/>
  <c r="P113" i="7"/>
  <c r="O936" i="7"/>
  <c r="P81" i="7"/>
  <c r="P80" i="7"/>
  <c r="O928" i="7"/>
  <c r="P165" i="7"/>
  <c r="P257" i="7"/>
  <c r="F973" i="7" l="1"/>
  <c r="G126" i="8"/>
  <c r="G1138" i="1"/>
  <c r="G142" i="8" s="1"/>
  <c r="G1489" i="1"/>
  <c r="G969" i="7" s="1"/>
  <c r="G1884" i="1"/>
  <c r="G1095" i="7" s="1"/>
  <c r="G672" i="7"/>
  <c r="G1492" i="1"/>
  <c r="G972" i="7" s="1"/>
  <c r="H464" i="8"/>
  <c r="H935" i="7"/>
  <c r="H1402" i="1"/>
  <c r="H459" i="8" s="1"/>
  <c r="H498" i="7"/>
  <c r="H914" i="1"/>
  <c r="H491" i="7" s="1"/>
  <c r="H1137" i="1"/>
  <c r="H140" i="8" s="1"/>
  <c r="I221" i="7"/>
  <c r="I877" i="1"/>
  <c r="F687" i="7"/>
  <c r="F154" i="8"/>
  <c r="F153" i="8" s="1"/>
  <c r="H985" i="1"/>
  <c r="H562" i="7" s="1"/>
  <c r="H1144" i="1"/>
  <c r="H150" i="8" s="1"/>
  <c r="I501" i="1"/>
  <c r="J450" i="1"/>
  <c r="I174" i="7"/>
  <c r="J64" i="7"/>
  <c r="J314" i="1"/>
  <c r="J208" i="7"/>
  <c r="I462" i="8"/>
  <c r="I934" i="7"/>
  <c r="P114" i="7"/>
  <c r="P90" i="7"/>
  <c r="P166" i="7"/>
  <c r="K304" i="1" l="1"/>
  <c r="K303" i="1"/>
  <c r="G1493" i="1"/>
  <c r="G1494" i="1" s="1"/>
  <c r="G974" i="7" s="1"/>
  <c r="I222" i="7"/>
  <c r="I1405" i="1"/>
  <c r="I465" i="8" s="1"/>
  <c r="I158" i="1"/>
  <c r="I157" i="1" s="1"/>
  <c r="H139" i="8"/>
  <c r="H904" i="8" s="1"/>
  <c r="H1130" i="1"/>
  <c r="H127" i="8" s="1"/>
  <c r="H679" i="7"/>
  <c r="H1816" i="1"/>
  <c r="H1078" i="7" s="1"/>
  <c r="H458" i="8"/>
  <c r="H932" i="7"/>
  <c r="G141" i="8"/>
  <c r="G680" i="7"/>
  <c r="G1145" i="1"/>
  <c r="G154" i="8" s="1"/>
  <c r="G921" i="8"/>
  <c r="G569" i="8"/>
  <c r="G572" i="8"/>
  <c r="G573" i="8" s="1"/>
  <c r="G574" i="8" s="1"/>
  <c r="J171" i="7"/>
  <c r="J500" i="1"/>
  <c r="J453" i="1"/>
  <c r="K450" i="1" s="1"/>
  <c r="H149" i="8"/>
  <c r="H686" i="7"/>
  <c r="I459" i="7"/>
  <c r="I921" i="1"/>
  <c r="J65" i="7"/>
  <c r="J488" i="1"/>
  <c r="P235" i="7"/>
  <c r="P91" i="7"/>
  <c r="P258" i="7"/>
  <c r="K487" i="1" l="1"/>
  <c r="K500" i="1"/>
  <c r="K453" i="1"/>
  <c r="K501" i="1" s="1"/>
  <c r="K1405" i="1" s="1"/>
  <c r="K465" i="8" s="1"/>
  <c r="K464" i="8" s="1"/>
  <c r="K313" i="1"/>
  <c r="K314" i="1" s="1"/>
  <c r="K488" i="1" s="1"/>
  <c r="K1404" i="1" s="1"/>
  <c r="G973" i="7"/>
  <c r="J221" i="7"/>
  <c r="J877" i="1"/>
  <c r="H126" i="8"/>
  <c r="H1138" i="1"/>
  <c r="H142" i="8" s="1"/>
  <c r="H672" i="7"/>
  <c r="H1884" i="1"/>
  <c r="H1095" i="7" s="1"/>
  <c r="H1489" i="1"/>
  <c r="H969" i="7" s="1"/>
  <c r="H1492" i="1"/>
  <c r="H972" i="7" s="1"/>
  <c r="I1144" i="1"/>
  <c r="I150" i="8" s="1"/>
  <c r="I985" i="1"/>
  <c r="I562" i="7" s="1"/>
  <c r="I464" i="8"/>
  <c r="I935" i="7"/>
  <c r="I1402" i="1"/>
  <c r="I459" i="8" s="1"/>
  <c r="I498" i="7"/>
  <c r="I1137" i="1"/>
  <c r="I140" i="8" s="1"/>
  <c r="I914" i="1"/>
  <c r="I491" i="7" s="1"/>
  <c r="J174" i="7"/>
  <c r="J501" i="1"/>
  <c r="J158" i="1" s="1"/>
  <c r="J157" i="1" s="1"/>
  <c r="G153" i="8"/>
  <c r="G687" i="7"/>
  <c r="G1150" i="1"/>
  <c r="G166" i="8" s="1"/>
  <c r="K55" i="7"/>
  <c r="K54" i="7"/>
  <c r="J209" i="7"/>
  <c r="J1404" i="1"/>
  <c r="J463" i="8" s="1"/>
  <c r="P936" i="7"/>
  <c r="P928" i="7"/>
  <c r="K877" i="1" l="1"/>
  <c r="K921" i="1" s="1"/>
  <c r="K1137" i="1" s="1"/>
  <c r="K463" i="8"/>
  <c r="K462" i="8" s="1"/>
  <c r="K1402" i="1"/>
  <c r="K158" i="1"/>
  <c r="K157" i="1" s="1"/>
  <c r="J1405" i="1"/>
  <c r="J465" i="8" s="1"/>
  <c r="J222" i="7"/>
  <c r="I139" i="8"/>
  <c r="I904" i="8" s="1"/>
  <c r="I1816" i="1"/>
  <c r="I1078" i="7" s="1"/>
  <c r="I679" i="7"/>
  <c r="I1130" i="1"/>
  <c r="I127" i="8" s="1"/>
  <c r="I458" i="8"/>
  <c r="I932" i="7"/>
  <c r="H1493" i="1"/>
  <c r="H141" i="8"/>
  <c r="H1145" i="1"/>
  <c r="H154" i="8" s="1"/>
  <c r="H680" i="7"/>
  <c r="K171" i="7"/>
  <c r="K221" i="7"/>
  <c r="I149" i="8"/>
  <c r="I686" i="7"/>
  <c r="H921" i="8"/>
  <c r="H572" i="8"/>
  <c r="H573" i="8" s="1"/>
  <c r="H574" i="8" s="1"/>
  <c r="H569" i="8"/>
  <c r="J921" i="1"/>
  <c r="J459" i="7"/>
  <c r="G1509" i="1"/>
  <c r="G989" i="7" s="1"/>
  <c r="G165" i="8"/>
  <c r="G692" i="7"/>
  <c r="G1215" i="1"/>
  <c r="G174" i="8" s="1"/>
  <c r="G1887" i="1"/>
  <c r="G1098" i="7" s="1"/>
  <c r="G175" i="1"/>
  <c r="J462" i="8"/>
  <c r="J934" i="7"/>
  <c r="J985" i="1"/>
  <c r="J562" i="7" s="1"/>
  <c r="J1144" i="1"/>
  <c r="J150" i="8" s="1"/>
  <c r="K208" i="7"/>
  <c r="K64" i="7"/>
  <c r="K914" i="1" l="1"/>
  <c r="K985" i="1"/>
  <c r="K1144" i="1"/>
  <c r="K150" i="8" s="1"/>
  <c r="K149" i="8" s="1"/>
  <c r="K1409" i="1"/>
  <c r="K459" i="8"/>
  <c r="K458" i="8" s="1"/>
  <c r="K1816" i="1"/>
  <c r="K140" i="8"/>
  <c r="K139" i="8" s="1"/>
  <c r="K904" i="8" s="1"/>
  <c r="K1130" i="1"/>
  <c r="J1402" i="1"/>
  <c r="J464" i="8"/>
  <c r="H153" i="8"/>
  <c r="H687" i="7"/>
  <c r="I126" i="8"/>
  <c r="I1138" i="1"/>
  <c r="I142" i="8" s="1"/>
  <c r="I1489" i="1"/>
  <c r="I969" i="7" s="1"/>
  <c r="I1492" i="1"/>
  <c r="I972" i="7" s="1"/>
  <c r="I1884" i="1"/>
  <c r="I1095" i="7" s="1"/>
  <c r="I672" i="7"/>
  <c r="G1496" i="1"/>
  <c r="G976" i="7" s="1"/>
  <c r="G1885" i="1"/>
  <c r="G1096" i="7" s="1"/>
  <c r="G1216" i="1"/>
  <c r="G176" i="8" s="1"/>
  <c r="J914" i="1"/>
  <c r="J491" i="7" s="1"/>
  <c r="J498" i="7"/>
  <c r="J1137" i="1"/>
  <c r="J140" i="8" s="1"/>
  <c r="H1494" i="1"/>
  <c r="H974" i="7" s="1"/>
  <c r="H973" i="7"/>
  <c r="J935" i="7"/>
  <c r="K459" i="7"/>
  <c r="G176" i="1"/>
  <c r="G47" i="8" s="1"/>
  <c r="G589" i="8"/>
  <c r="G173" i="8"/>
  <c r="G924" i="8"/>
  <c r="K174" i="7"/>
  <c r="J686" i="7"/>
  <c r="J149" i="8"/>
  <c r="K65" i="7"/>
  <c r="J459" i="8" l="1"/>
  <c r="J458" i="8" s="1"/>
  <c r="K1492" i="1"/>
  <c r="K1493" i="1" s="1"/>
  <c r="K1494" i="1" s="1"/>
  <c r="K1884" i="1"/>
  <c r="K127" i="8"/>
  <c r="K126" i="8" s="1"/>
  <c r="K1489" i="1"/>
  <c r="K1138" i="1"/>
  <c r="K473" i="8"/>
  <c r="K472" i="8" s="1"/>
  <c r="J932" i="7"/>
  <c r="K498" i="7"/>
  <c r="I141" i="8"/>
  <c r="I680" i="7"/>
  <c r="I1145" i="1"/>
  <c r="I154" i="8" s="1"/>
  <c r="I572" i="8"/>
  <c r="I573" i="8" s="1"/>
  <c r="I574" i="8" s="1"/>
  <c r="I921" i="8"/>
  <c r="I569" i="8"/>
  <c r="L171" i="7"/>
  <c r="L221" i="7"/>
  <c r="G46" i="8"/>
  <c r="K222" i="7"/>
  <c r="G175" i="8"/>
  <c r="G922" i="8"/>
  <c r="G576" i="8"/>
  <c r="J139" i="8"/>
  <c r="J904" i="8" s="1"/>
  <c r="J679" i="7"/>
  <c r="J1130" i="1"/>
  <c r="J127" i="8" s="1"/>
  <c r="J1816" i="1"/>
  <c r="J1078" i="7" s="1"/>
  <c r="G1886" i="1"/>
  <c r="G1097" i="7" s="1"/>
  <c r="G1497" i="1"/>
  <c r="G977" i="7" s="1"/>
  <c r="I1493" i="1"/>
  <c r="K209" i="7"/>
  <c r="L55" i="7"/>
  <c r="L54" i="7"/>
  <c r="K572" i="8" l="1"/>
  <c r="K573" i="8" s="1"/>
  <c r="K574" i="8" s="1"/>
  <c r="K921" i="8"/>
  <c r="K569" i="8"/>
  <c r="K1145" i="1"/>
  <c r="K142" i="8"/>
  <c r="K141" i="8" s="1"/>
  <c r="K491" i="7"/>
  <c r="K679" i="7"/>
  <c r="G923" i="8"/>
  <c r="G577" i="8"/>
  <c r="K935" i="7"/>
  <c r="L174" i="7"/>
  <c r="J126" i="8"/>
  <c r="J1492" i="1"/>
  <c r="J672" i="7"/>
  <c r="J1884" i="1"/>
  <c r="J1095" i="7" s="1"/>
  <c r="J1489" i="1"/>
  <c r="J969" i="7" s="1"/>
  <c r="J1138" i="1"/>
  <c r="J142" i="8" s="1"/>
  <c r="I1494" i="1"/>
  <c r="I974" i="7" s="1"/>
  <c r="I973" i="7"/>
  <c r="I153" i="8"/>
  <c r="I687" i="7"/>
  <c r="L208" i="7"/>
  <c r="K934" i="7"/>
  <c r="L64" i="7"/>
  <c r="K562" i="7"/>
  <c r="K1150" i="1" l="1"/>
  <c r="K1509" i="1" s="1"/>
  <c r="K154" i="8"/>
  <c r="K153" i="8" s="1"/>
  <c r="K1078" i="7"/>
  <c r="J921" i="8"/>
  <c r="J572" i="8"/>
  <c r="J573" i="8" s="1"/>
  <c r="J574" i="8" s="1"/>
  <c r="J569" i="8"/>
  <c r="M171" i="7"/>
  <c r="M221" i="7"/>
  <c r="L222" i="7"/>
  <c r="J141" i="8"/>
  <c r="J1145" i="1"/>
  <c r="J154" i="8" s="1"/>
  <c r="J680" i="7"/>
  <c r="J972" i="7"/>
  <c r="J1493" i="1"/>
  <c r="K932" i="7"/>
  <c r="L65" i="7"/>
  <c r="K686" i="7"/>
  <c r="L459" i="7"/>
  <c r="K1215" i="1" l="1"/>
  <c r="K1887" i="1"/>
  <c r="K175" i="1"/>
  <c r="K166" i="8"/>
  <c r="K165" i="8" s="1"/>
  <c r="K589" i="8" s="1"/>
  <c r="K1095" i="7"/>
  <c r="K972" i="7"/>
  <c r="K969" i="7"/>
  <c r="K672" i="7"/>
  <c r="J1494" i="1"/>
  <c r="J974" i="7" s="1"/>
  <c r="J973" i="7"/>
  <c r="J153" i="8"/>
  <c r="J687" i="7"/>
  <c r="L935" i="7"/>
  <c r="M174" i="7"/>
  <c r="M54" i="7"/>
  <c r="L498" i="7"/>
  <c r="L491" i="7"/>
  <c r="L209" i="7"/>
  <c r="M55" i="7"/>
  <c r="K173" i="8" l="1"/>
  <c r="K924" i="8"/>
  <c r="K176" i="1"/>
  <c r="K47" i="8" s="1"/>
  <c r="K46" i="8" s="1"/>
  <c r="K1216" i="1"/>
  <c r="K1885" i="1"/>
  <c r="K174" i="8"/>
  <c r="K1496" i="1"/>
  <c r="K680" i="7"/>
  <c r="K973" i="7"/>
  <c r="N171" i="7"/>
  <c r="N221" i="7"/>
  <c r="M222" i="7"/>
  <c r="L934" i="7"/>
  <c r="L562" i="7"/>
  <c r="L679" i="7"/>
  <c r="M64" i="7"/>
  <c r="M208" i="7"/>
  <c r="K1886" i="1" l="1"/>
  <c r="K176" i="8"/>
  <c r="K1497" i="1"/>
  <c r="K175" i="8"/>
  <c r="K922" i="8"/>
  <c r="K576" i="8"/>
  <c r="K687" i="7"/>
  <c r="K974" i="7"/>
  <c r="M935" i="7"/>
  <c r="N174" i="7"/>
  <c r="L932" i="7"/>
  <c r="L672" i="7"/>
  <c r="L969" i="7"/>
  <c r="L972" i="7"/>
  <c r="L686" i="7"/>
  <c r="M65" i="7"/>
  <c r="L1078" i="7"/>
  <c r="M459" i="7"/>
  <c r="K923" i="8" l="1"/>
  <c r="K577" i="8"/>
  <c r="O171" i="7"/>
  <c r="O221" i="7"/>
  <c r="N222" i="7"/>
  <c r="L974" i="7"/>
  <c r="M491" i="7"/>
  <c r="M498" i="7"/>
  <c r="N55" i="7"/>
  <c r="N54" i="7"/>
  <c r="M209" i="7"/>
  <c r="L680" i="7"/>
  <c r="L1095" i="7"/>
  <c r="N935" i="7" l="1"/>
  <c r="O174" i="7"/>
  <c r="L973" i="7"/>
  <c r="M562" i="7"/>
  <c r="L687" i="7"/>
  <c r="N64" i="7"/>
  <c r="M679" i="7"/>
  <c r="M934" i="7"/>
  <c r="N208" i="7"/>
  <c r="O222" i="7" l="1"/>
  <c r="P171" i="7"/>
  <c r="M1078" i="7"/>
  <c r="M932" i="7"/>
  <c r="M672" i="7"/>
  <c r="M969" i="7"/>
  <c r="M972" i="7"/>
  <c r="M686" i="7"/>
  <c r="N65" i="7"/>
  <c r="N459" i="7"/>
  <c r="P221" i="7" l="1"/>
  <c r="P174" i="7"/>
  <c r="O935" i="7"/>
  <c r="N209" i="7"/>
  <c r="M680" i="7"/>
  <c r="N491" i="7"/>
  <c r="N498" i="7"/>
  <c r="O54" i="7"/>
  <c r="M1095" i="7"/>
  <c r="O55" i="7"/>
  <c r="P222" i="7" l="1"/>
  <c r="M973" i="7"/>
  <c r="M974" i="7"/>
  <c r="O64" i="7"/>
  <c r="N679" i="7"/>
  <c r="M687" i="7"/>
  <c r="N934" i="7"/>
  <c r="O208" i="7"/>
  <c r="N562" i="7"/>
  <c r="P935" i="7" l="1"/>
  <c r="N686" i="7"/>
  <c r="N932" i="7"/>
  <c r="N969" i="7"/>
  <c r="N672" i="7"/>
  <c r="N972" i="7"/>
  <c r="O65" i="7"/>
  <c r="O459" i="7"/>
  <c r="N1078" i="7"/>
  <c r="N974" i="7" l="1"/>
  <c r="N680" i="7"/>
  <c r="P55" i="7"/>
  <c r="N1095" i="7"/>
  <c r="O209" i="7"/>
  <c r="O491" i="7"/>
  <c r="O498" i="7"/>
  <c r="P54" i="7"/>
  <c r="N973" i="7" l="1"/>
  <c r="O562" i="7"/>
  <c r="P208" i="7"/>
  <c r="O679" i="7"/>
  <c r="N687" i="7"/>
  <c r="O934" i="7"/>
  <c r="P64" i="7"/>
  <c r="O672" i="7" l="1"/>
  <c r="O969" i="7"/>
  <c r="P65" i="7"/>
  <c r="O932" i="7"/>
  <c r="O1078" i="7"/>
  <c r="P459" i="7"/>
  <c r="O972" i="7"/>
  <c r="O686" i="7"/>
  <c r="O680" i="7" l="1"/>
  <c r="P491" i="7"/>
  <c r="P498" i="7"/>
  <c r="P209" i="7"/>
  <c r="O1095" i="7"/>
  <c r="P562" i="7" l="1"/>
  <c r="O973" i="7"/>
  <c r="O974" i="7"/>
  <c r="P934" i="7"/>
  <c r="P679" i="7"/>
  <c r="O687" i="7"/>
  <c r="P1078" i="7" l="1"/>
  <c r="P932" i="7"/>
  <c r="P972" i="7"/>
  <c r="P686" i="7"/>
  <c r="P969" i="7"/>
  <c r="P672" i="7"/>
  <c r="P973" i="7" l="1"/>
  <c r="P1095" i="7"/>
  <c r="P680" i="7"/>
  <c r="P974" i="7" l="1"/>
  <c r="P687" i="7"/>
  <c r="Q171" i="7" l="1"/>
  <c r="M450" i="1"/>
  <c r="S171" i="7" s="1"/>
  <c r="Q80" i="7"/>
  <c r="M350" i="1"/>
  <c r="S80" i="7" s="1"/>
  <c r="Q81" i="7"/>
  <c r="M351" i="1"/>
  <c r="S81" i="7" s="1"/>
  <c r="Q221" i="7" l="1"/>
  <c r="M500" i="1"/>
  <c r="S221" i="7" s="1"/>
  <c r="Q91" i="7"/>
  <c r="Q90" i="7"/>
  <c r="Q174" i="7"/>
  <c r="Q222" i="7" l="1"/>
  <c r="Q935" i="7" l="1"/>
  <c r="Q157" i="7" l="1"/>
  <c r="M436" i="1"/>
  <c r="S157" i="7" s="1"/>
  <c r="Q165" i="7" l="1"/>
  <c r="Q104" i="7"/>
  <c r="M398" i="1"/>
  <c r="S104" i="7" s="1"/>
  <c r="Q257" i="7"/>
  <c r="M536" i="1"/>
  <c r="S257" i="7" s="1"/>
  <c r="Q166" i="7" l="1"/>
  <c r="Q234" i="7"/>
  <c r="M513" i="1"/>
  <c r="S234" i="7" s="1"/>
  <c r="Q113" i="7"/>
  <c r="Q258" i="7" l="1"/>
  <c r="Q114" i="7"/>
  <c r="Q928" i="7" l="1"/>
  <c r="Q235" i="7"/>
  <c r="Q936" i="7" l="1"/>
  <c r="Q54" i="7" l="1"/>
  <c r="M303" i="1"/>
  <c r="S54" i="7" s="1"/>
  <c r="Q55" i="7"/>
  <c r="M304" i="1"/>
  <c r="S55" i="7" s="1"/>
  <c r="Q208" i="7" l="1"/>
  <c r="M487" i="1"/>
  <c r="S208" i="7" s="1"/>
  <c r="Q64" i="7"/>
  <c r="Q459" i="7" l="1"/>
  <c r="M877" i="1"/>
  <c r="S459" i="7" s="1"/>
  <c r="Q65" i="7"/>
  <c r="Q209" i="7" l="1"/>
  <c r="Q498" i="7"/>
  <c r="M921" i="1"/>
  <c r="S498" i="7" s="1"/>
  <c r="Q679" i="7" l="1"/>
  <c r="M1137" i="1"/>
  <c r="S679" i="7" s="1"/>
  <c r="Q934" i="7"/>
  <c r="Q491" i="7"/>
  <c r="M914" i="1"/>
  <c r="S491" i="7" s="1"/>
  <c r="Q562" i="7"/>
  <c r="M157" i="1"/>
  <c r="M140" i="8" l="1"/>
  <c r="Q1078" i="7"/>
  <c r="M1816" i="1"/>
  <c r="S1078" i="7" s="1"/>
  <c r="Q686" i="7"/>
  <c r="M1144" i="1"/>
  <c r="S686" i="7" s="1"/>
  <c r="Q932" i="7"/>
  <c r="Q972" i="7"/>
  <c r="Q969" i="7"/>
  <c r="Q672" i="7"/>
  <c r="M1130" i="1"/>
  <c r="S672" i="7" s="1"/>
  <c r="Q680" i="7" l="1"/>
  <c r="M1138" i="1"/>
  <c r="S680" i="7" s="1"/>
  <c r="Q1095" i="7"/>
  <c r="M1884" i="1"/>
  <c r="S1095" i="7" s="1"/>
  <c r="M904" i="8"/>
  <c r="M139" i="8"/>
  <c r="M127" i="8"/>
  <c r="M149" i="8"/>
  <c r="M150" i="8"/>
  <c r="Q974" i="7" l="1"/>
  <c r="Q973" i="7"/>
  <c r="M141" i="8"/>
  <c r="M142" i="8"/>
  <c r="M921" i="8"/>
  <c r="M126" i="8"/>
  <c r="Q687" i="7"/>
  <c r="M1145" i="1"/>
  <c r="S687" i="7" s="1"/>
  <c r="M154" i="8" l="1"/>
  <c r="M153" i="8" l="1"/>
  <c r="I520" i="1" l="1"/>
  <c r="I241" i="7" l="1"/>
  <c r="I540" i="1"/>
  <c r="I1102" i="1"/>
  <c r="I78" i="8" s="1"/>
  <c r="I521" i="1"/>
  <c r="I1267" i="1"/>
  <c r="I298" i="8" s="1"/>
  <c r="I242" i="7" l="1"/>
  <c r="I261" i="7"/>
  <c r="I526" i="1"/>
  <c r="I1818" i="1"/>
  <c r="I793" i="7"/>
  <c r="I1891" i="1"/>
  <c r="I1080" i="7" l="1"/>
  <c r="I77" i="8"/>
  <c r="I1102" i="7"/>
  <c r="J523" i="1"/>
  <c r="I523" i="1"/>
  <c r="I247" i="7"/>
  <c r="I125" i="1"/>
  <c r="I297" i="8"/>
  <c r="I244" i="7" l="1"/>
  <c r="I1258" i="1"/>
  <c r="I282" i="8" s="1"/>
  <c r="I1148" i="1"/>
  <c r="I162" i="8" s="1"/>
  <c r="I906" i="8"/>
  <c r="I928" i="8"/>
  <c r="I119" i="1"/>
  <c r="J244" i="7"/>
  <c r="J1258" i="1"/>
  <c r="J282" i="8" s="1"/>
  <c r="J1148" i="1"/>
  <c r="J162" i="8" s="1"/>
  <c r="I161" i="8" l="1"/>
  <c r="I690" i="7"/>
  <c r="I1150" i="1"/>
  <c r="J784" i="7"/>
  <c r="J281" i="8"/>
  <c r="I281" i="8"/>
  <c r="I784" i="7"/>
  <c r="J161" i="8"/>
  <c r="J690" i="7"/>
  <c r="J1150" i="1"/>
  <c r="I1509" i="1" l="1"/>
  <c r="I989" i="7" s="1"/>
  <c r="I166" i="8"/>
  <c r="I165" i="8" s="1"/>
  <c r="I589" i="8" s="1"/>
  <c r="J1509" i="1"/>
  <c r="J989" i="7" s="1"/>
  <c r="J166" i="8"/>
  <c r="J165" i="8" s="1"/>
  <c r="J589" i="8" s="1"/>
  <c r="I1215" i="1"/>
  <c r="I174" i="8" s="1"/>
  <c r="I692" i="7"/>
  <c r="I1887" i="1"/>
  <c r="I1098" i="7" s="1"/>
  <c r="I175" i="1"/>
  <c r="J692" i="7"/>
  <c r="J1887" i="1"/>
  <c r="J1098" i="7" s="1"/>
  <c r="J1215" i="1"/>
  <c r="J174" i="8" s="1"/>
  <c r="J175" i="1"/>
  <c r="J924" i="8" l="1"/>
  <c r="J173" i="8"/>
  <c r="J176" i="1"/>
  <c r="I1885" i="1"/>
  <c r="I1096" i="7" s="1"/>
  <c r="I1216" i="1"/>
  <c r="I176" i="8" s="1"/>
  <c r="I1496" i="1"/>
  <c r="I976" i="7" s="1"/>
  <c r="I176" i="1"/>
  <c r="I924" i="8"/>
  <c r="I173" i="8"/>
  <c r="J1216" i="1"/>
  <c r="J176" i="8" s="1"/>
  <c r="J1496" i="1"/>
  <c r="J976" i="7" s="1"/>
  <c r="J1885" i="1"/>
  <c r="J1096" i="7" s="1"/>
  <c r="I47" i="8" l="1"/>
  <c r="I46" i="8" s="1"/>
  <c r="J47" i="8"/>
  <c r="J46" i="8" s="1"/>
  <c r="J922" i="8"/>
  <c r="J576" i="8"/>
  <c r="J175" i="8"/>
  <c r="J1497" i="1"/>
  <c r="J977" i="7" s="1"/>
  <c r="J1886" i="1"/>
  <c r="J1097" i="7" s="1"/>
  <c r="I1497" i="1"/>
  <c r="I977" i="7" s="1"/>
  <c r="I1886" i="1"/>
  <c r="I1097" i="7" s="1"/>
  <c r="I922" i="8"/>
  <c r="I576" i="8"/>
  <c r="I175" i="8"/>
  <c r="J923" i="8" l="1"/>
  <c r="J577" i="8"/>
  <c r="I577" i="8"/>
  <c r="I923" i="8"/>
  <c r="K793" i="7" l="1"/>
  <c r="M1267" i="1"/>
  <c r="S793" i="7" s="1"/>
  <c r="M520" i="1"/>
  <c r="S241" i="7" s="1"/>
  <c r="K241" i="7"/>
  <c r="G522" i="1" l="1"/>
  <c r="G524" i="1"/>
  <c r="G525" i="1"/>
  <c r="I522" i="1"/>
  <c r="F525" i="1"/>
  <c r="I524" i="1"/>
  <c r="J522" i="1"/>
  <c r="J524" i="1"/>
  <c r="I525" i="1"/>
  <c r="H524" i="1"/>
  <c r="H527" i="1"/>
  <c r="G527" i="1"/>
  <c r="H525" i="1"/>
  <c r="J525" i="1"/>
  <c r="I527" i="1"/>
  <c r="F524" i="1"/>
  <c r="M298" i="8"/>
  <c r="M540" i="1"/>
  <c r="S261" i="7" s="1"/>
  <c r="K261" i="7"/>
  <c r="J527" i="1"/>
  <c r="M1891" i="1"/>
  <c r="S1102" i="7" s="1"/>
  <c r="K1102" i="7"/>
  <c r="M1102" i="1"/>
  <c r="M1818" i="1"/>
  <c r="S1080" i="7" s="1"/>
  <c r="K1080" i="7"/>
  <c r="M521" i="1"/>
  <c r="S242" i="7" s="1"/>
  <c r="K242" i="7"/>
  <c r="K248" i="7" l="1"/>
  <c r="J248" i="7"/>
  <c r="J127" i="1"/>
  <c r="J129" i="1" s="1"/>
  <c r="H522" i="1"/>
  <c r="H523" i="1"/>
  <c r="P246" i="7"/>
  <c r="N248" i="7"/>
  <c r="P248" i="7"/>
  <c r="J246" i="7"/>
  <c r="J1415" i="1"/>
  <c r="J483" i="8" s="1"/>
  <c r="H246" i="7"/>
  <c r="H1415" i="1"/>
  <c r="H483" i="8" s="1"/>
  <c r="H245" i="7"/>
  <c r="H1393" i="1"/>
  <c r="H442" i="8" s="1"/>
  <c r="J243" i="7"/>
  <c r="J1407" i="1"/>
  <c r="J469" i="8" s="1"/>
  <c r="G246" i="7"/>
  <c r="G1415" i="1"/>
  <c r="G483" i="8" s="1"/>
  <c r="N246" i="7"/>
  <c r="F245" i="7"/>
  <c r="F1393" i="1"/>
  <c r="Q246" i="7"/>
  <c r="O245" i="7"/>
  <c r="I248" i="7"/>
  <c r="I127" i="1"/>
  <c r="I129" i="1" s="1"/>
  <c r="K246" i="7"/>
  <c r="L245" i="7"/>
  <c r="I246" i="7"/>
  <c r="I1415" i="1"/>
  <c r="I483" i="8" s="1"/>
  <c r="I245" i="7"/>
  <c r="I1393" i="1"/>
  <c r="I442" i="8" s="1"/>
  <c r="G245" i="7"/>
  <c r="G1393" i="1"/>
  <c r="G442" i="8" s="1"/>
  <c r="Q248" i="7"/>
  <c r="L248" i="7"/>
  <c r="M246" i="7"/>
  <c r="L246" i="7"/>
  <c r="N245" i="7"/>
  <c r="G248" i="7"/>
  <c r="G127" i="1"/>
  <c r="G129" i="1" s="1"/>
  <c r="K245" i="7"/>
  <c r="F246" i="7"/>
  <c r="F1415" i="1"/>
  <c r="Q245" i="7"/>
  <c r="M526" i="1"/>
  <c r="S247" i="7" s="1"/>
  <c r="K247" i="7"/>
  <c r="M297" i="8"/>
  <c r="M906" i="8"/>
  <c r="M928" i="8"/>
  <c r="F527" i="1"/>
  <c r="P245" i="7"/>
  <c r="O248" i="7"/>
  <c r="M78" i="8"/>
  <c r="M77" i="8"/>
  <c r="F522" i="1"/>
  <c r="O246" i="7"/>
  <c r="M245" i="7"/>
  <c r="H248" i="7"/>
  <c r="H127" i="1"/>
  <c r="H129" i="1" s="1"/>
  <c r="J245" i="7"/>
  <c r="J1393" i="1"/>
  <c r="J442" i="8" s="1"/>
  <c r="I243" i="7"/>
  <c r="I1407" i="1"/>
  <c r="I469" i="8" s="1"/>
  <c r="G243" i="7"/>
  <c r="G1407" i="1"/>
  <c r="G469" i="8" s="1"/>
  <c r="M248" i="7" l="1"/>
  <c r="P244" i="7"/>
  <c r="M527" i="1"/>
  <c r="S248" i="7" s="1"/>
  <c r="F248" i="7"/>
  <c r="F127" i="1"/>
  <c r="K128" i="1" s="1"/>
  <c r="Q923" i="7"/>
  <c r="K923" i="7"/>
  <c r="N923" i="7"/>
  <c r="G923" i="7"/>
  <c r="G441" i="8"/>
  <c r="I482" i="8"/>
  <c r="I945" i="7"/>
  <c r="I1413" i="1"/>
  <c r="I479" i="8" s="1"/>
  <c r="K945" i="7"/>
  <c r="O923" i="7"/>
  <c r="F923" i="7"/>
  <c r="F442" i="8"/>
  <c r="F441" i="8" s="1"/>
  <c r="G482" i="8"/>
  <c r="G945" i="7"/>
  <c r="G1413" i="1"/>
  <c r="G479" i="8" s="1"/>
  <c r="H923" i="7"/>
  <c r="H441" i="8"/>
  <c r="J482" i="8"/>
  <c r="J945" i="7"/>
  <c r="J1413" i="1"/>
  <c r="J479" i="8" s="1"/>
  <c r="O244" i="7"/>
  <c r="P945" i="7"/>
  <c r="N244" i="7"/>
  <c r="I937" i="7"/>
  <c r="I468" i="8"/>
  <c r="I1409" i="1"/>
  <c r="I473" i="8" s="1"/>
  <c r="G468" i="8"/>
  <c r="G937" i="7"/>
  <c r="G1409" i="1"/>
  <c r="G473" i="8" s="1"/>
  <c r="J923" i="7"/>
  <c r="J441" i="8"/>
  <c r="M923" i="7"/>
  <c r="O945" i="7"/>
  <c r="Q243" i="7"/>
  <c r="P243" i="7"/>
  <c r="Q244" i="7"/>
  <c r="M125" i="1"/>
  <c r="M119" i="1"/>
  <c r="O243" i="7"/>
  <c r="N243" i="7"/>
  <c r="K244" i="7"/>
  <c r="M244" i="7"/>
  <c r="F523" i="1"/>
  <c r="P923" i="7"/>
  <c r="F945" i="7"/>
  <c r="F483" i="8"/>
  <c r="F482" i="8" s="1"/>
  <c r="F1413" i="1"/>
  <c r="L945" i="7"/>
  <c r="M945" i="7"/>
  <c r="I923" i="7"/>
  <c r="I441" i="8"/>
  <c r="L923" i="7"/>
  <c r="Q945" i="7"/>
  <c r="N945" i="7"/>
  <c r="J468" i="8"/>
  <c r="J937" i="7"/>
  <c r="J1409" i="1"/>
  <c r="J473" i="8" s="1"/>
  <c r="H482" i="8"/>
  <c r="H945" i="7"/>
  <c r="H1413" i="1"/>
  <c r="H479" i="8" s="1"/>
  <c r="L244" i="7"/>
  <c r="H244" i="7"/>
  <c r="H1258" i="1"/>
  <c r="H282" i="8" s="1"/>
  <c r="H1148" i="1"/>
  <c r="H162" i="8" s="1"/>
  <c r="K243" i="7"/>
  <c r="M243" i="7"/>
  <c r="F243" i="7"/>
  <c r="F1407" i="1"/>
  <c r="L243" i="7"/>
  <c r="H243" i="7"/>
  <c r="H1407" i="1"/>
  <c r="H469" i="8" s="1"/>
  <c r="H690" i="7" l="1"/>
  <c r="H161" i="8"/>
  <c r="H1150" i="1"/>
  <c r="H478" i="8"/>
  <c r="H943" i="7"/>
  <c r="M690" i="7"/>
  <c r="M989" i="7"/>
  <c r="O937" i="7"/>
  <c r="Q784" i="7"/>
  <c r="N690" i="7"/>
  <c r="N989" i="7"/>
  <c r="F1409" i="1"/>
  <c r="F937" i="7"/>
  <c r="F469" i="8"/>
  <c r="F468" i="8" s="1"/>
  <c r="K784" i="7"/>
  <c r="H784" i="7"/>
  <c r="H281" i="8"/>
  <c r="L690" i="7"/>
  <c r="L989" i="7"/>
  <c r="Q943" i="7"/>
  <c r="L943" i="7"/>
  <c r="F479" i="8"/>
  <c r="F478" i="8" s="1"/>
  <c r="F943" i="7"/>
  <c r="M784" i="7"/>
  <c r="Q937" i="7"/>
  <c r="I939" i="7"/>
  <c r="I472" i="8"/>
  <c r="N784" i="7"/>
  <c r="I943" i="7"/>
  <c r="I478" i="8"/>
  <c r="P690" i="7"/>
  <c r="P989" i="7"/>
  <c r="F244" i="7"/>
  <c r="M523" i="1"/>
  <c r="S244" i="7" s="1"/>
  <c r="F1258" i="1"/>
  <c r="F1148" i="1"/>
  <c r="N937" i="7"/>
  <c r="P937" i="7"/>
  <c r="G939" i="7"/>
  <c r="G472" i="8"/>
  <c r="O784" i="7"/>
  <c r="J478" i="8"/>
  <c r="J943" i="7"/>
  <c r="K943" i="7"/>
  <c r="M127" i="1"/>
  <c r="G128" i="1"/>
  <c r="F128" i="1"/>
  <c r="H128" i="1"/>
  <c r="I128" i="1"/>
  <c r="J128" i="1"/>
  <c r="F129" i="1"/>
  <c r="P784" i="7"/>
  <c r="H937" i="7"/>
  <c r="H468" i="8"/>
  <c r="H1409" i="1"/>
  <c r="H473" i="8" s="1"/>
  <c r="K937" i="7"/>
  <c r="L937" i="7"/>
  <c r="M937" i="7"/>
  <c r="L784" i="7"/>
  <c r="N943" i="7"/>
  <c r="M943" i="7"/>
  <c r="J939" i="7"/>
  <c r="J472" i="8"/>
  <c r="K690" i="7"/>
  <c r="K989" i="7"/>
  <c r="Q690" i="7"/>
  <c r="Q989" i="7"/>
  <c r="O943" i="7"/>
  <c r="P943" i="7"/>
  <c r="O690" i="7"/>
  <c r="O989" i="7"/>
  <c r="G943" i="7"/>
  <c r="G478" i="8"/>
  <c r="H1509" i="1" l="1"/>
  <c r="H989" i="7" s="1"/>
  <c r="H166" i="8"/>
  <c r="H165" i="8" s="1"/>
  <c r="H589" i="8" s="1"/>
  <c r="M939" i="7"/>
  <c r="H939" i="7"/>
  <c r="H472" i="8"/>
  <c r="O939" i="7"/>
  <c r="P939" i="7"/>
  <c r="M1148" i="1"/>
  <c r="S690" i="7" s="1"/>
  <c r="F690" i="7"/>
  <c r="F162" i="8"/>
  <c r="F1150" i="1"/>
  <c r="P692" i="7"/>
  <c r="P1098" i="7"/>
  <c r="H692" i="7"/>
  <c r="H1887" i="1"/>
  <c r="H1098" i="7" s="1"/>
  <c r="H1215" i="1"/>
  <c r="H174" i="8" s="1"/>
  <c r="H175" i="1"/>
  <c r="O692" i="7"/>
  <c r="O1098" i="7"/>
  <c r="K939" i="7"/>
  <c r="Q692" i="7"/>
  <c r="Q1098" i="7"/>
  <c r="L939" i="7"/>
  <c r="M129" i="1"/>
  <c r="F131" i="1"/>
  <c r="F126" i="1"/>
  <c r="N939" i="7"/>
  <c r="M1258" i="1"/>
  <c r="S784" i="7" s="1"/>
  <c r="F784" i="7"/>
  <c r="F217" i="1"/>
  <c r="F282" i="8"/>
  <c r="Q939" i="7"/>
  <c r="K692" i="7"/>
  <c r="K1098" i="7"/>
  <c r="L692" i="7"/>
  <c r="L1098" i="7"/>
  <c r="F939" i="7"/>
  <c r="F473" i="8"/>
  <c r="F472" i="8" s="1"/>
  <c r="N692" i="7"/>
  <c r="N1098" i="7"/>
  <c r="M692" i="7"/>
  <c r="M1098" i="7"/>
  <c r="N1096" i="7" l="1"/>
  <c r="N976" i="7"/>
  <c r="M976" i="7"/>
  <c r="M1096" i="7"/>
  <c r="K976" i="7"/>
  <c r="K1096" i="7"/>
  <c r="M282" i="8"/>
  <c r="F281" i="8"/>
  <c r="F981" i="1"/>
  <c r="O976" i="7"/>
  <c r="O1096" i="7"/>
  <c r="P1096" i="7"/>
  <c r="P976" i="7"/>
  <c r="F161" i="8"/>
  <c r="M161" i="8" s="1"/>
  <c r="M162" i="8"/>
  <c r="G131" i="1"/>
  <c r="G126" i="1"/>
  <c r="H924" i="8"/>
  <c r="H173" i="8"/>
  <c r="F218" i="1"/>
  <c r="F220" i="1" s="1"/>
  <c r="G219" i="1" s="1"/>
  <c r="L976" i="7"/>
  <c r="L1096" i="7"/>
  <c r="H176" i="1"/>
  <c r="F1397" i="1"/>
  <c r="Q1096" i="7"/>
  <c r="Q976" i="7"/>
  <c r="H1216" i="1"/>
  <c r="H176" i="8" s="1"/>
  <c r="H1496" i="1"/>
  <c r="H976" i="7" s="1"/>
  <c r="H1885" i="1"/>
  <c r="H1096" i="7" s="1"/>
  <c r="F1509" i="1"/>
  <c r="F989" i="7" s="1"/>
  <c r="F692" i="7"/>
  <c r="F1887" i="1"/>
  <c r="M1150" i="1"/>
  <c r="S692" i="7" s="1"/>
  <c r="F1215" i="1"/>
  <c r="F166" i="8"/>
  <c r="F175" i="1"/>
  <c r="H47" i="8" l="1"/>
  <c r="H46" i="8" s="1"/>
  <c r="F176" i="1"/>
  <c r="M175" i="1"/>
  <c r="F181" i="1"/>
  <c r="F185" i="1" s="1"/>
  <c r="F450" i="8"/>
  <c r="F449" i="8" s="1"/>
  <c r="F927" i="7"/>
  <c r="G981" i="1"/>
  <c r="Q977" i="7"/>
  <c r="Q1097" i="7"/>
  <c r="M166" i="8"/>
  <c r="F165" i="8"/>
  <c r="F1098" i="7"/>
  <c r="M1887" i="1"/>
  <c r="S1098" i="7" s="1"/>
  <c r="H1886" i="1"/>
  <c r="H1097" i="7" s="1"/>
  <c r="H1497" i="1"/>
  <c r="H977" i="7" s="1"/>
  <c r="L977" i="7"/>
  <c r="L1097" i="7"/>
  <c r="H576" i="8"/>
  <c r="H175" i="8"/>
  <c r="H922" i="8"/>
  <c r="H131" i="1"/>
  <c r="H126" i="1"/>
  <c r="G1397" i="1"/>
  <c r="G450" i="8" s="1"/>
  <c r="F558" i="7"/>
  <c r="M1097" i="7"/>
  <c r="M977" i="7"/>
  <c r="N1097" i="7"/>
  <c r="N977" i="7"/>
  <c r="F174" i="8"/>
  <c r="M174" i="8" s="1"/>
  <c r="M1215" i="1"/>
  <c r="F1885" i="1"/>
  <c r="F1496" i="1"/>
  <c r="F976" i="7" s="1"/>
  <c r="F1216" i="1"/>
  <c r="O1097" i="7"/>
  <c r="O977" i="7"/>
  <c r="K977" i="7"/>
  <c r="K1097" i="7"/>
  <c r="F221" i="1"/>
  <c r="P977" i="7"/>
  <c r="P1097" i="7"/>
  <c r="M281" i="8"/>
  <c r="F186" i="1" l="1"/>
  <c r="F57" i="8" s="1"/>
  <c r="G183" i="1"/>
  <c r="F1096" i="7"/>
  <c r="M1885" i="1"/>
  <c r="S1096" i="7" s="1"/>
  <c r="I131" i="1"/>
  <c r="I126" i="1"/>
  <c r="H1397" i="1"/>
  <c r="H450" i="8" s="1"/>
  <c r="G558" i="7"/>
  <c r="G217" i="1"/>
  <c r="F215" i="1"/>
  <c r="M1216" i="1"/>
  <c r="F1497" i="1"/>
  <c r="F977" i="7" s="1"/>
  <c r="F176" i="8"/>
  <c r="M176" i="8" s="1"/>
  <c r="F1886" i="1"/>
  <c r="G449" i="8"/>
  <c r="G927" i="7"/>
  <c r="H923" i="8"/>
  <c r="H577" i="8"/>
  <c r="H981" i="1"/>
  <c r="F589" i="8"/>
  <c r="F173" i="8"/>
  <c r="M165" i="8"/>
  <c r="F924" i="8"/>
  <c r="M924" i="8" s="1"/>
  <c r="G181" i="1"/>
  <c r="F187" i="1"/>
  <c r="F182" i="1"/>
  <c r="F53" i="8" s="1"/>
  <c r="F52" i="8" s="1"/>
  <c r="F47" i="8"/>
  <c r="M176" i="1"/>
  <c r="F576" i="8" l="1"/>
  <c r="M173" i="8"/>
  <c r="F175" i="8"/>
  <c r="F922" i="8"/>
  <c r="M922" i="8" s="1"/>
  <c r="G218" i="1"/>
  <c r="G220" i="1" s="1"/>
  <c r="H219" i="1" s="1"/>
  <c r="H927" i="7"/>
  <c r="H449" i="8"/>
  <c r="F188" i="1"/>
  <c r="F59" i="8" s="1"/>
  <c r="F173" i="1"/>
  <c r="F1097" i="7"/>
  <c r="M1886" i="1"/>
  <c r="S1097" i="7" s="1"/>
  <c r="I981" i="1"/>
  <c r="J131" i="1"/>
  <c r="J126" i="1"/>
  <c r="I1397" i="1"/>
  <c r="I450" i="8" s="1"/>
  <c r="G184" i="1"/>
  <c r="G55" i="8" s="1"/>
  <c r="G185" i="1"/>
  <c r="G186" i="1" s="1"/>
  <c r="G57" i="8" s="1"/>
  <c r="G182" i="1"/>
  <c r="H181" i="1"/>
  <c r="F46" i="8"/>
  <c r="M47" i="8"/>
  <c r="H558" i="7"/>
  <c r="F216" i="1"/>
  <c r="K131" i="1" l="1"/>
  <c r="K1397" i="1" s="1"/>
  <c r="K450" i="8" s="1"/>
  <c r="K449" i="8" s="1"/>
  <c r="K126" i="1"/>
  <c r="G53" i="8"/>
  <c r="G52" i="8" s="1"/>
  <c r="G187" i="1"/>
  <c r="G188" i="1" s="1"/>
  <c r="G59" i="8" s="1"/>
  <c r="H183" i="1"/>
  <c r="H185" i="1" s="1"/>
  <c r="H186" i="1" s="1"/>
  <c r="H57" i="8" s="1"/>
  <c r="F62" i="8"/>
  <c r="I927" i="7"/>
  <c r="I449" i="8"/>
  <c r="F56" i="8"/>
  <c r="G54" i="8" s="1"/>
  <c r="M46" i="8"/>
  <c r="J981" i="1"/>
  <c r="H182" i="1"/>
  <c r="I181" i="1"/>
  <c r="J1397" i="1"/>
  <c r="J450" i="8" s="1"/>
  <c r="I558" i="7"/>
  <c r="F984" i="1"/>
  <c r="F1151" i="1"/>
  <c r="F1500" i="1" s="1"/>
  <c r="F174" i="1"/>
  <c r="F1850" i="1"/>
  <c r="F228" i="1"/>
  <c r="F1849" i="1"/>
  <c r="G221" i="1"/>
  <c r="F577" i="8"/>
  <c r="M175" i="8"/>
  <c r="F923" i="8"/>
  <c r="M923" i="8" s="1"/>
  <c r="F980" i="7" l="1"/>
  <c r="F1824" i="1"/>
  <c r="F1086" i="7" s="1"/>
  <c r="H53" i="8"/>
  <c r="H52" i="8" s="1"/>
  <c r="G56" i="8"/>
  <c r="G58" i="8" s="1"/>
  <c r="G44" i="8" s="1"/>
  <c r="K981" i="1"/>
  <c r="G173" i="1"/>
  <c r="G174" i="1" s="1"/>
  <c r="G45" i="8" s="1"/>
  <c r="F58" i="8"/>
  <c r="F44" i="8" s="1"/>
  <c r="H184" i="1"/>
  <c r="H55" i="8" s="1"/>
  <c r="I183" i="1"/>
  <c r="I185" i="1" s="1"/>
  <c r="I186" i="1" s="1"/>
  <c r="I57" i="8" s="1"/>
  <c r="H187" i="1"/>
  <c r="H188" i="1" s="1"/>
  <c r="H59" i="8" s="1"/>
  <c r="F1256" i="1"/>
  <c r="F561" i="7"/>
  <c r="F980" i="1"/>
  <c r="J927" i="7"/>
  <c r="J449" i="8"/>
  <c r="F1868" i="1"/>
  <c r="J558" i="7"/>
  <c r="G215" i="1"/>
  <c r="H217" i="1"/>
  <c r="F45" i="8"/>
  <c r="I182" i="1"/>
  <c r="J181" i="1"/>
  <c r="K181" i="1" s="1"/>
  <c r="F1867" i="1"/>
  <c r="F693" i="7"/>
  <c r="F1217" i="1"/>
  <c r="F168" i="8"/>
  <c r="F1152" i="1"/>
  <c r="F61" i="8"/>
  <c r="F1488" i="1" l="1"/>
  <c r="F968" i="7" s="1"/>
  <c r="F1490" i="1"/>
  <c r="F970" i="7" s="1"/>
  <c r="H54" i="8"/>
  <c r="H56" i="8" s="1"/>
  <c r="H58" i="8" s="1"/>
  <c r="H44" i="8" s="1"/>
  <c r="I53" i="8"/>
  <c r="I52" i="8" s="1"/>
  <c r="K182" i="1"/>
  <c r="K53" i="8" s="1"/>
  <c r="K52" i="8" s="1"/>
  <c r="G228" i="1"/>
  <c r="G1256" i="1" s="1"/>
  <c r="G278" i="8" s="1"/>
  <c r="I184" i="1"/>
  <c r="I55" i="8" s="1"/>
  <c r="H173" i="1"/>
  <c r="H174" i="1" s="1"/>
  <c r="H45" i="8" s="1"/>
  <c r="G1849" i="1"/>
  <c r="G1867" i="1" s="1"/>
  <c r="G1874" i="1" s="1"/>
  <c r="J183" i="1"/>
  <c r="I187" i="1"/>
  <c r="I188" i="1" s="1"/>
  <c r="I59" i="8" s="1"/>
  <c r="H218" i="1"/>
  <c r="H220" i="1" s="1"/>
  <c r="I219" i="1" s="1"/>
  <c r="F184" i="8"/>
  <c r="F329" i="8"/>
  <c r="G1850" i="1"/>
  <c r="G984" i="1"/>
  <c r="F557" i="7"/>
  <c r="F1416" i="1"/>
  <c r="F998" i="1"/>
  <c r="F1874" i="1"/>
  <c r="F167" i="8"/>
  <c r="F580" i="8" s="1"/>
  <c r="F912" i="8" s="1"/>
  <c r="F178" i="8"/>
  <c r="F694" i="7"/>
  <c r="F1888" i="1"/>
  <c r="F1498" i="1"/>
  <c r="F978" i="7" s="1"/>
  <c r="F170" i="8"/>
  <c r="F1815" i="1"/>
  <c r="J182" i="1"/>
  <c r="K927" i="7"/>
  <c r="F1875" i="1"/>
  <c r="F782" i="7"/>
  <c r="F278" i="8"/>
  <c r="F1261" i="1"/>
  <c r="G216" i="1"/>
  <c r="G62" i="8" s="1"/>
  <c r="G1151" i="1"/>
  <c r="K558" i="7"/>
  <c r="G168" i="8" l="1"/>
  <c r="G1500" i="1"/>
  <c r="I54" i="8"/>
  <c r="I56" i="8" s="1"/>
  <c r="J54" i="8" s="1"/>
  <c r="J53" i="8"/>
  <c r="J52" i="8" s="1"/>
  <c r="J184" i="1"/>
  <c r="J55" i="8" s="1"/>
  <c r="J185" i="1"/>
  <c r="J186" i="1" s="1"/>
  <c r="J57" i="8" s="1"/>
  <c r="I173" i="1"/>
  <c r="I174" i="1" s="1"/>
  <c r="I45" i="8" s="1"/>
  <c r="L927" i="7"/>
  <c r="F277" i="8"/>
  <c r="F938" i="8"/>
  <c r="F118" i="8"/>
  <c r="G1217" i="1"/>
  <c r="G178" i="8" s="1"/>
  <c r="G693" i="7"/>
  <c r="G1152" i="1"/>
  <c r="G1490" i="1" s="1"/>
  <c r="G970" i="7" s="1"/>
  <c r="F1099" i="7"/>
  <c r="F177" i="8"/>
  <c r="F169" i="8"/>
  <c r="L558" i="7"/>
  <c r="G561" i="7"/>
  <c r="G980" i="1"/>
  <c r="H221" i="1"/>
  <c r="F787" i="7"/>
  <c r="F287" i="8"/>
  <c r="F1670" i="1"/>
  <c r="F1597" i="1"/>
  <c r="F1741" i="1"/>
  <c r="F575" i="7"/>
  <c r="F999" i="1"/>
  <c r="G1868" i="1"/>
  <c r="F1077" i="7"/>
  <c r="F946" i="7"/>
  <c r="F485" i="8"/>
  <c r="F484" i="8" s="1"/>
  <c r="F1421" i="1"/>
  <c r="G782" i="7"/>
  <c r="G277" i="8"/>
  <c r="G286" i="8" s="1"/>
  <c r="G1261" i="1"/>
  <c r="G287" i="8" s="1"/>
  <c r="G980" i="7" l="1"/>
  <c r="G1824" i="1"/>
  <c r="G1086" i="7" s="1"/>
  <c r="F568" i="8"/>
  <c r="F570" i="8"/>
  <c r="J56" i="8"/>
  <c r="K54" i="8" s="1"/>
  <c r="K56" i="8" s="1"/>
  <c r="K58" i="8" s="1"/>
  <c r="K44" i="8" s="1"/>
  <c r="K183" i="1"/>
  <c r="I58" i="8"/>
  <c r="I44" i="8" s="1"/>
  <c r="G1488" i="1"/>
  <c r="G968" i="7" s="1"/>
  <c r="G170" i="8"/>
  <c r="J187" i="1"/>
  <c r="J188" i="1" s="1"/>
  <c r="J59" i="8" s="1"/>
  <c r="F286" i="8"/>
  <c r="F951" i="7"/>
  <c r="F495" i="8"/>
  <c r="F494" i="8" s="1"/>
  <c r="G1875" i="1"/>
  <c r="M558" i="7"/>
  <c r="G1888" i="1"/>
  <c r="G694" i="7"/>
  <c r="G1498" i="1"/>
  <c r="G978" i="7" s="1"/>
  <c r="G1815" i="1"/>
  <c r="G61" i="8"/>
  <c r="G754" i="8"/>
  <c r="G679" i="8"/>
  <c r="G827" i="8"/>
  <c r="F905" i="8"/>
  <c r="F576" i="7"/>
  <c r="F1000" i="1"/>
  <c r="F1002" i="7"/>
  <c r="I217" i="1"/>
  <c r="H215" i="1"/>
  <c r="M927" i="7"/>
  <c r="G787" i="7"/>
  <c r="G1670" i="1"/>
  <c r="G1741" i="1"/>
  <c r="G1597" i="1"/>
  <c r="G557" i="7"/>
  <c r="G1416" i="1"/>
  <c r="G485" i="8" s="1"/>
  <c r="G998" i="1"/>
  <c r="F578" i="8"/>
  <c r="F903" i="8"/>
  <c r="F925" i="8"/>
  <c r="J58" i="8" l="1"/>
  <c r="J44" i="8" s="1"/>
  <c r="K184" i="1"/>
  <c r="K55" i="8" s="1"/>
  <c r="K185" i="1"/>
  <c r="J173" i="1"/>
  <c r="J174" i="1" s="1"/>
  <c r="J45" i="8" s="1"/>
  <c r="F902" i="8"/>
  <c r="I218" i="1"/>
  <c r="I220" i="1" s="1"/>
  <c r="J219" i="1" s="1"/>
  <c r="G1077" i="7"/>
  <c r="N558" i="7"/>
  <c r="G1002" i="7"/>
  <c r="G1099" i="7"/>
  <c r="G575" i="7"/>
  <c r="G999" i="1"/>
  <c r="G946" i="7"/>
  <c r="G484" i="8"/>
  <c r="G1421" i="1"/>
  <c r="G495" i="8" s="1"/>
  <c r="F577" i="7"/>
  <c r="F1817" i="1"/>
  <c r="F1002" i="1"/>
  <c r="N927" i="7"/>
  <c r="H216" i="1"/>
  <c r="H62" i="8" s="1"/>
  <c r="H1151" i="1"/>
  <c r="H168" i="8" s="1"/>
  <c r="H1849" i="1"/>
  <c r="H1850" i="1"/>
  <c r="H984" i="1"/>
  <c r="H228" i="1"/>
  <c r="G167" i="8"/>
  <c r="G580" i="8" s="1"/>
  <c r="G912" i="8" s="1"/>
  <c r="F679" i="8"/>
  <c r="F827" i="8"/>
  <c r="F754" i="8"/>
  <c r="K186" i="1" l="1"/>
  <c r="K57" i="8" s="1"/>
  <c r="K187" i="1"/>
  <c r="G177" i="8"/>
  <c r="G169" i="8"/>
  <c r="H1256" i="1"/>
  <c r="H278" i="8" s="1"/>
  <c r="H1867" i="1"/>
  <c r="H561" i="7"/>
  <c r="H980" i="1"/>
  <c r="H693" i="7"/>
  <c r="H1217" i="1"/>
  <c r="H178" i="8" s="1"/>
  <c r="H1500" i="1"/>
  <c r="H1152" i="1"/>
  <c r="G576" i="7"/>
  <c r="G1000" i="1"/>
  <c r="O558" i="7"/>
  <c r="F579" i="7"/>
  <c r="F1105" i="1"/>
  <c r="F1269" i="1"/>
  <c r="G951" i="7"/>
  <c r="G494" i="8"/>
  <c r="F909" i="8"/>
  <c r="H1868" i="1"/>
  <c r="F1079" i="7"/>
  <c r="F1814" i="1"/>
  <c r="G905" i="8"/>
  <c r="O927" i="7"/>
  <c r="I221" i="1"/>
  <c r="G568" i="8" l="1"/>
  <c r="G570" i="8"/>
  <c r="K173" i="1"/>
  <c r="K188" i="1"/>
  <c r="K59" i="8" s="1"/>
  <c r="H1488" i="1"/>
  <c r="H968" i="7" s="1"/>
  <c r="H170" i="8"/>
  <c r="F795" i="7"/>
  <c r="F1892" i="1"/>
  <c r="F302" i="8"/>
  <c r="F1272" i="1"/>
  <c r="F1213" i="1" s="1"/>
  <c r="H61" i="8"/>
  <c r="Q927" i="7"/>
  <c r="H694" i="7"/>
  <c r="H1498" i="1"/>
  <c r="H978" i="7" s="1"/>
  <c r="H1888" i="1"/>
  <c r="H1490" i="1"/>
  <c r="H970" i="7" s="1"/>
  <c r="H1815" i="1"/>
  <c r="P558" i="7"/>
  <c r="G578" i="8"/>
  <c r="G925" i="8"/>
  <c r="G903" i="8"/>
  <c r="J217" i="1"/>
  <c r="I215" i="1"/>
  <c r="F84" i="8"/>
  <c r="F1097" i="1"/>
  <c r="G577" i="7"/>
  <c r="G1817" i="1"/>
  <c r="G1002" i="1"/>
  <c r="H980" i="7"/>
  <c r="H1824" i="1"/>
  <c r="H1086" i="7" s="1"/>
  <c r="H557" i="7"/>
  <c r="H1416" i="1"/>
  <c r="H485" i="8" s="1"/>
  <c r="H998" i="1"/>
  <c r="H782" i="7"/>
  <c r="H1261" i="1"/>
  <c r="H287" i="8" s="1"/>
  <c r="P927" i="7"/>
  <c r="F1076" i="7"/>
  <c r="F1821" i="1"/>
  <c r="H1875" i="1"/>
  <c r="M126" i="1"/>
  <c r="H1874" i="1"/>
  <c r="F1219" i="1" l="1"/>
  <c r="F1118" i="1"/>
  <c r="F181" i="8"/>
  <c r="F180" i="8" s="1"/>
  <c r="F182" i="8" s="1"/>
  <c r="F926" i="8" s="1"/>
  <c r="F1280" i="1"/>
  <c r="K174" i="1"/>
  <c r="K45" i="8" s="1"/>
  <c r="H575" i="7"/>
  <c r="H999" i="1"/>
  <c r="G902" i="8"/>
  <c r="H1099" i="7"/>
  <c r="H167" i="8"/>
  <c r="F1103" i="7"/>
  <c r="H787" i="7"/>
  <c r="H1670" i="1"/>
  <c r="H1741" i="1"/>
  <c r="H1597" i="1"/>
  <c r="H946" i="7"/>
  <c r="H484" i="8"/>
  <c r="H1421" i="1"/>
  <c r="H495" i="8" s="1"/>
  <c r="G579" i="7"/>
  <c r="G1105" i="1"/>
  <c r="G84" i="8" s="1"/>
  <c r="G1269" i="1"/>
  <c r="G302" i="8" s="1"/>
  <c r="I216" i="1"/>
  <c r="I62" i="8" s="1"/>
  <c r="I1849" i="1"/>
  <c r="I984" i="1"/>
  <c r="I1850" i="1"/>
  <c r="I1151" i="1"/>
  <c r="I168" i="8" s="1"/>
  <c r="I228" i="1"/>
  <c r="H1077" i="7"/>
  <c r="F798" i="7"/>
  <c r="F1599" i="1"/>
  <c r="F1743" i="1"/>
  <c r="F1672" i="1"/>
  <c r="F307" i="8"/>
  <c r="G1079" i="7"/>
  <c r="G1814" i="1"/>
  <c r="F69" i="8"/>
  <c r="J218" i="1"/>
  <c r="F301" i="8"/>
  <c r="F1083" i="7"/>
  <c r="Q558" i="7"/>
  <c r="H277" i="8"/>
  <c r="F83" i="8"/>
  <c r="F1749" i="1" l="1"/>
  <c r="F1753" i="1" s="1"/>
  <c r="F806" i="7"/>
  <c r="F322" i="8"/>
  <c r="F321" i="8" s="1"/>
  <c r="F835" i="8" s="1"/>
  <c r="F1282" i="1"/>
  <c r="F1115" i="1"/>
  <c r="F101" i="8" s="1"/>
  <c r="F100" i="8" s="1"/>
  <c r="F106" i="8"/>
  <c r="F105" i="8" s="1"/>
  <c r="F1889" i="1"/>
  <c r="F1100" i="7" s="1"/>
  <c r="F183" i="8"/>
  <c r="F1221" i="1"/>
  <c r="I1868" i="1"/>
  <c r="H1002" i="7"/>
  <c r="H286" i="8"/>
  <c r="F1004" i="7"/>
  <c r="F1609" i="1"/>
  <c r="I561" i="7"/>
  <c r="I980" i="1"/>
  <c r="G1097" i="1"/>
  <c r="G69" i="8" s="1"/>
  <c r="H177" i="8"/>
  <c r="H169" i="8"/>
  <c r="H568" i="8" s="1"/>
  <c r="H580" i="8"/>
  <c r="H912" i="8" s="1"/>
  <c r="G909" i="8"/>
  <c r="H905" i="8"/>
  <c r="J220" i="1"/>
  <c r="K219" i="1" s="1"/>
  <c r="F306" i="8"/>
  <c r="I1256" i="1"/>
  <c r="I278" i="8" s="1"/>
  <c r="I1867" i="1"/>
  <c r="H576" i="7"/>
  <c r="H1000" i="1"/>
  <c r="G795" i="7"/>
  <c r="G1892" i="1"/>
  <c r="G1272" i="1"/>
  <c r="G1076" i="7"/>
  <c r="G1821" i="1"/>
  <c r="F929" i="8"/>
  <c r="F68" i="8"/>
  <c r="F1682" i="1"/>
  <c r="I693" i="7"/>
  <c r="I1500" i="1"/>
  <c r="I1217" i="1"/>
  <c r="I178" i="8" s="1"/>
  <c r="I1152" i="1"/>
  <c r="H951" i="7"/>
  <c r="H494" i="8"/>
  <c r="G307" i="8" l="1"/>
  <c r="G1213" i="1"/>
  <c r="F325" i="8"/>
  <c r="F324" i="8" s="1"/>
  <c r="F327" i="8" s="1"/>
  <c r="F588" i="8" s="1"/>
  <c r="F808" i="7"/>
  <c r="F1284" i="1"/>
  <c r="F1426" i="1"/>
  <c r="F187" i="8"/>
  <c r="F186" i="8" s="1"/>
  <c r="F502" i="8" s="1"/>
  <c r="F506" i="8" s="1"/>
  <c r="G1220" i="1"/>
  <c r="G185" i="8" s="1"/>
  <c r="G184" i="8" s="1"/>
  <c r="I1488" i="1"/>
  <c r="I968" i="7" s="1"/>
  <c r="I170" i="8"/>
  <c r="M44" i="8"/>
  <c r="I980" i="7"/>
  <c r="I1824" i="1"/>
  <c r="I1086" i="7" s="1"/>
  <c r="G1083" i="7"/>
  <c r="J221" i="1"/>
  <c r="K217" i="1" s="1"/>
  <c r="G83" i="8"/>
  <c r="F1014" i="7"/>
  <c r="F1625" i="1"/>
  <c r="F1614" i="1"/>
  <c r="F1627" i="1"/>
  <c r="F1623" i="1"/>
  <c r="F1610" i="1"/>
  <c r="I1875" i="1"/>
  <c r="F1687" i="1"/>
  <c r="F1700" i="1"/>
  <c r="F1696" i="1"/>
  <c r="F1698" i="1"/>
  <c r="F1683" i="1"/>
  <c r="G1103" i="7"/>
  <c r="I1874" i="1"/>
  <c r="H570" i="8"/>
  <c r="H925" i="8"/>
  <c r="H578" i="8"/>
  <c r="H903" i="8"/>
  <c r="H827" i="8"/>
  <c r="H679" i="8"/>
  <c r="H754" i="8"/>
  <c r="I61" i="8"/>
  <c r="G798" i="7"/>
  <c r="G1599" i="1"/>
  <c r="G1743" i="1"/>
  <c r="G1672" i="1"/>
  <c r="H1817" i="1"/>
  <c r="H577" i="7"/>
  <c r="H1002" i="1"/>
  <c r="I782" i="7"/>
  <c r="I1261" i="1"/>
  <c r="I287" i="8" s="1"/>
  <c r="F1771" i="1"/>
  <c r="F1769" i="1"/>
  <c r="F1758" i="1"/>
  <c r="F1767" i="1"/>
  <c r="F1754" i="1"/>
  <c r="I694" i="7"/>
  <c r="I1490" i="1"/>
  <c r="I970" i="7" s="1"/>
  <c r="I1498" i="1"/>
  <c r="I978" i="7" s="1"/>
  <c r="I1888" i="1"/>
  <c r="I1815" i="1"/>
  <c r="G301" i="8"/>
  <c r="F829" i="8"/>
  <c r="F756" i="8"/>
  <c r="F681" i="8"/>
  <c r="I557" i="7"/>
  <c r="I1416" i="1"/>
  <c r="I485" i="8" s="1"/>
  <c r="I998" i="1"/>
  <c r="G1219" i="1" l="1"/>
  <c r="G1118" i="1"/>
  <c r="G181" i="8"/>
  <c r="G180" i="8" s="1"/>
  <c r="G182" i="8" s="1"/>
  <c r="G926" i="8" s="1"/>
  <c r="G1280" i="1"/>
  <c r="F509" i="8"/>
  <c r="F586" i="8"/>
  <c r="F956" i="7"/>
  <c r="F1428" i="1"/>
  <c r="F503" i="8"/>
  <c r="F1508" i="1"/>
  <c r="F810" i="7"/>
  <c r="F1900" i="1"/>
  <c r="F1111" i="7" s="1"/>
  <c r="F328" i="8"/>
  <c r="F1286" i="1"/>
  <c r="G1508" i="1"/>
  <c r="G988" i="7" s="1"/>
  <c r="K218" i="1"/>
  <c r="F937" i="8"/>
  <c r="I946" i="7"/>
  <c r="I484" i="8"/>
  <c r="I1421" i="1"/>
  <c r="I495" i="8" s="1"/>
  <c r="I1077" i="7"/>
  <c r="F1772" i="1"/>
  <c r="I277" i="8"/>
  <c r="H902" i="8"/>
  <c r="F1019" i="7"/>
  <c r="F1615" i="1"/>
  <c r="K1616" i="1" s="1"/>
  <c r="F766" i="8"/>
  <c r="H579" i="7"/>
  <c r="H1105" i="1"/>
  <c r="H84" i="8" s="1"/>
  <c r="H1269" i="1"/>
  <c r="H302" i="8" s="1"/>
  <c r="G1004" i="7"/>
  <c r="G1609" i="1"/>
  <c r="F1028" i="7"/>
  <c r="F1030" i="7"/>
  <c r="F1626" i="1"/>
  <c r="I575" i="7"/>
  <c r="I999" i="1"/>
  <c r="F691" i="8"/>
  <c r="F1755" i="1"/>
  <c r="G68" i="8"/>
  <c r="F1699" i="1"/>
  <c r="F1015" i="7"/>
  <c r="F1611" i="1"/>
  <c r="J215" i="1"/>
  <c r="G929" i="8"/>
  <c r="I167" i="8"/>
  <c r="F839" i="8"/>
  <c r="I1099" i="7"/>
  <c r="F1759" i="1"/>
  <c r="K1760" i="1" s="1"/>
  <c r="I787" i="7"/>
  <c r="I1670" i="1"/>
  <c r="I1741" i="1"/>
  <c r="I1597" i="1"/>
  <c r="G306" i="8"/>
  <c r="F1701" i="1"/>
  <c r="F1770" i="1"/>
  <c r="H1079" i="7"/>
  <c r="H1814" i="1"/>
  <c r="G1682" i="1"/>
  <c r="G1687" i="1" s="1"/>
  <c r="F1684" i="1"/>
  <c r="F1688" i="1"/>
  <c r="K1689" i="1" s="1"/>
  <c r="F1032" i="7"/>
  <c r="F1628" i="1"/>
  <c r="F988" i="7" l="1"/>
  <c r="F1064" i="1"/>
  <c r="F639" i="7" s="1"/>
  <c r="G322" i="8"/>
  <c r="G321" i="8" s="1"/>
  <c r="G835" i="8" s="1"/>
  <c r="G1749" i="1"/>
  <c r="G1753" i="1" s="1"/>
  <c r="G1758" i="1" s="1"/>
  <c r="G806" i="7"/>
  <c r="G1282" i="1"/>
  <c r="G106" i="8"/>
  <c r="G105" i="8" s="1"/>
  <c r="G1115" i="1"/>
  <c r="G101" i="8" s="1"/>
  <c r="G100" i="8" s="1"/>
  <c r="G183" i="8"/>
  <c r="G1889" i="1"/>
  <c r="G1100" i="7" s="1"/>
  <c r="G1221" i="1"/>
  <c r="F1487" i="1"/>
  <c r="F967" i="7" s="1"/>
  <c r="F1506" i="1"/>
  <c r="F986" i="7" s="1"/>
  <c r="F507" i="8"/>
  <c r="F1430" i="1"/>
  <c r="F958" i="7"/>
  <c r="F1065" i="1"/>
  <c r="F640" i="7" s="1"/>
  <c r="G1285" i="1"/>
  <c r="F1123" i="1"/>
  <c r="F1025" i="1"/>
  <c r="F1023" i="1"/>
  <c r="F600" i="7" s="1"/>
  <c r="F1391" i="1"/>
  <c r="F1067" i="1"/>
  <c r="F812" i="7"/>
  <c r="F1122" i="1"/>
  <c r="F1902" i="1"/>
  <c r="F1113" i="7" s="1"/>
  <c r="F332" i="8"/>
  <c r="F331" i="8" s="1"/>
  <c r="F585" i="8"/>
  <c r="F587" i="8"/>
  <c r="G1064" i="1"/>
  <c r="G639" i="7" s="1"/>
  <c r="K220" i="1"/>
  <c r="K221" i="1" s="1"/>
  <c r="K215" i="1" s="1"/>
  <c r="G1688" i="1"/>
  <c r="H1076" i="7"/>
  <c r="H1821" i="1"/>
  <c r="F707" i="8"/>
  <c r="F705" i="8"/>
  <c r="F696" i="8"/>
  <c r="F709" i="8"/>
  <c r="F692" i="8"/>
  <c r="G1014" i="7"/>
  <c r="G1610" i="1"/>
  <c r="G1611" i="1" s="1"/>
  <c r="G1623" i="1"/>
  <c r="G1625" i="1"/>
  <c r="G1627" i="1"/>
  <c r="H1097" i="1"/>
  <c r="H69" i="8" s="1"/>
  <c r="I905" i="8"/>
  <c r="I1002" i="7"/>
  <c r="F1033" i="7"/>
  <c r="G681" i="8"/>
  <c r="G829" i="8"/>
  <c r="G756" i="8"/>
  <c r="G1759" i="1"/>
  <c r="F844" i="8"/>
  <c r="F855" i="8"/>
  <c r="F853" i="8"/>
  <c r="F857" i="8"/>
  <c r="F840" i="8"/>
  <c r="I177" i="8"/>
  <c r="I580" i="8"/>
  <c r="I912" i="8" s="1"/>
  <c r="I169" i="8"/>
  <c r="I568" i="8" s="1"/>
  <c r="J216" i="1"/>
  <c r="J62" i="8" s="1"/>
  <c r="J1151" i="1"/>
  <c r="J168" i="8" s="1"/>
  <c r="J1850" i="1"/>
  <c r="J1849" i="1"/>
  <c r="J984" i="1"/>
  <c r="J228" i="1"/>
  <c r="F1031" i="7"/>
  <c r="G1614" i="1"/>
  <c r="H909" i="8"/>
  <c r="I286" i="8"/>
  <c r="G1683" i="1"/>
  <c r="G1684" i="1" s="1"/>
  <c r="G1696" i="1"/>
  <c r="G1698" i="1"/>
  <c r="G1700" i="1"/>
  <c r="I576" i="7"/>
  <c r="I1000" i="1"/>
  <c r="Q1021" i="7"/>
  <c r="F1020" i="7"/>
  <c r="F1693" i="1"/>
  <c r="K1694" i="1" s="1"/>
  <c r="F1764" i="1"/>
  <c r="K1765" i="1" s="1"/>
  <c r="F1016" i="7"/>
  <c r="F1620" i="1"/>
  <c r="K1621" i="1" s="1"/>
  <c r="H795" i="7"/>
  <c r="H1892" i="1"/>
  <c r="H1272" i="1"/>
  <c r="H307" i="8" s="1"/>
  <c r="F782" i="8"/>
  <c r="F780" i="8"/>
  <c r="F771" i="8"/>
  <c r="F767" i="8"/>
  <c r="F784" i="8"/>
  <c r="G1754" i="1"/>
  <c r="G1771" i="1"/>
  <c r="G1769" i="1"/>
  <c r="I951" i="7"/>
  <c r="I494" i="8"/>
  <c r="G1767" i="1" l="1"/>
  <c r="G325" i="8"/>
  <c r="G324" i="8" s="1"/>
  <c r="G327" i="8" s="1"/>
  <c r="G588" i="8" s="1"/>
  <c r="G808" i="7"/>
  <c r="G1284" i="1"/>
  <c r="G187" i="8"/>
  <c r="G186" i="8" s="1"/>
  <c r="G502" i="8" s="1"/>
  <c r="G506" i="8" s="1"/>
  <c r="G1426" i="1"/>
  <c r="H1220" i="1"/>
  <c r="H185" i="8" s="1"/>
  <c r="H184" i="8" s="1"/>
  <c r="F1066" i="1"/>
  <c r="F939" i="8"/>
  <c r="F1024" i="1"/>
  <c r="F437" i="8"/>
  <c r="F455" i="8" s="1"/>
  <c r="G330" i="8"/>
  <c r="G329" i="8" s="1"/>
  <c r="G811" i="7"/>
  <c r="G1901" i="1"/>
  <c r="G1112" i="7" s="1"/>
  <c r="F1505" i="1"/>
  <c r="F985" i="7" s="1"/>
  <c r="F960" i="7"/>
  <c r="F1507" i="1"/>
  <c r="F987" i="7" s="1"/>
  <c r="F510" i="8"/>
  <c r="F921" i="7"/>
  <c r="F1400" i="1"/>
  <c r="F438" i="8"/>
  <c r="K216" i="1"/>
  <c r="K62" i="8" s="1"/>
  <c r="K61" i="8" s="1"/>
  <c r="K167" i="8" s="1"/>
  <c r="K1151" i="1"/>
  <c r="K984" i="1"/>
  <c r="K980" i="1" s="1"/>
  <c r="K1850" i="1"/>
  <c r="K1868" i="1" s="1"/>
  <c r="K1875" i="1" s="1"/>
  <c r="K1849" i="1"/>
  <c r="K1867" i="1" s="1"/>
  <c r="K1874" i="1" s="1"/>
  <c r="K228" i="1"/>
  <c r="K1256" i="1" s="1"/>
  <c r="F785" i="8"/>
  <c r="F783" i="8"/>
  <c r="H1599" i="1"/>
  <c r="H798" i="7"/>
  <c r="H1672" i="1"/>
  <c r="H1743" i="1"/>
  <c r="H1213" i="1"/>
  <c r="H181" i="8" s="1"/>
  <c r="G1699" i="1"/>
  <c r="I827" i="8"/>
  <c r="I679" i="8"/>
  <c r="I754" i="8"/>
  <c r="J1868" i="1"/>
  <c r="I925" i="8"/>
  <c r="I578" i="8"/>
  <c r="I570" i="8"/>
  <c r="I903" i="8"/>
  <c r="F858" i="8"/>
  <c r="G691" i="8"/>
  <c r="G696" i="8" s="1"/>
  <c r="G1032" i="7"/>
  <c r="G1628" i="1"/>
  <c r="F697" i="8"/>
  <c r="K698" i="8" s="1"/>
  <c r="H1083" i="7"/>
  <c r="G1770" i="1"/>
  <c r="G1772" i="1"/>
  <c r="F768" i="8"/>
  <c r="H301" i="8"/>
  <c r="J1256" i="1"/>
  <c r="J278" i="8" s="1"/>
  <c r="J693" i="7"/>
  <c r="J1217" i="1"/>
  <c r="J178" i="8" s="1"/>
  <c r="J1500" i="1"/>
  <c r="J1152" i="1"/>
  <c r="J170" i="8" s="1"/>
  <c r="G1626" i="1"/>
  <c r="G1030" i="7"/>
  <c r="F772" i="8"/>
  <c r="K773" i="8" s="1"/>
  <c r="H1103" i="7"/>
  <c r="G1016" i="7"/>
  <c r="G1620" i="1"/>
  <c r="G1693" i="1"/>
  <c r="J561" i="7"/>
  <c r="J980" i="1"/>
  <c r="F856" i="8"/>
  <c r="G766" i="8"/>
  <c r="G771" i="8" s="1"/>
  <c r="G1028" i="7"/>
  <c r="F693" i="8"/>
  <c r="F708" i="8"/>
  <c r="F1025" i="7"/>
  <c r="Q1026" i="7"/>
  <c r="G1755" i="1"/>
  <c r="I577" i="7"/>
  <c r="I1817" i="1"/>
  <c r="I1002" i="1"/>
  <c r="G1701" i="1"/>
  <c r="G1615" i="1"/>
  <c r="G1019" i="7"/>
  <c r="J1867" i="1"/>
  <c r="F841" i="8"/>
  <c r="F845" i="8"/>
  <c r="K846" i="8" s="1"/>
  <c r="G839" i="8"/>
  <c r="G844" i="8" s="1"/>
  <c r="H83" i="8"/>
  <c r="G1015" i="7"/>
  <c r="F710" i="8"/>
  <c r="G937" i="8" l="1"/>
  <c r="G503" i="8"/>
  <c r="G1428" i="1"/>
  <c r="G956" i="7"/>
  <c r="F567" i="8"/>
  <c r="G509" i="8"/>
  <c r="G586" i="8"/>
  <c r="G328" i="8"/>
  <c r="G810" i="7"/>
  <c r="G1900" i="1"/>
  <c r="G1111" i="7" s="1"/>
  <c r="G1286" i="1"/>
  <c r="G118" i="8"/>
  <c r="G938" i="8"/>
  <c r="F1503" i="1"/>
  <c r="F983" i="7" s="1"/>
  <c r="F456" i="8"/>
  <c r="F930" i="7"/>
  <c r="F1411" i="1"/>
  <c r="F1502" i="1"/>
  <c r="F982" i="7" s="1"/>
  <c r="F583" i="8"/>
  <c r="F582" i="8"/>
  <c r="F475" i="8"/>
  <c r="F511" i="8" s="1"/>
  <c r="K278" i="8"/>
  <c r="K277" i="8" s="1"/>
  <c r="K286" i="8" s="1"/>
  <c r="K1261" i="1"/>
  <c r="K1416" i="1"/>
  <c r="K998" i="1"/>
  <c r="K999" i="1" s="1"/>
  <c r="K168" i="8"/>
  <c r="K1217" i="1"/>
  <c r="K178" i="8" s="1"/>
  <c r="K1152" i="1"/>
  <c r="K1500" i="1"/>
  <c r="K1824" i="1" s="1"/>
  <c r="K177" i="8"/>
  <c r="K169" i="8"/>
  <c r="K580" i="8"/>
  <c r="K912" i="8" s="1"/>
  <c r="G772" i="8"/>
  <c r="G845" i="8"/>
  <c r="I1079" i="7"/>
  <c r="I1814" i="1"/>
  <c r="J1874" i="1"/>
  <c r="J61" i="8"/>
  <c r="G1025" i="7"/>
  <c r="P1026" i="7"/>
  <c r="F850" i="8"/>
  <c r="K851" i="8" s="1"/>
  <c r="G1764" i="1"/>
  <c r="F702" i="8"/>
  <c r="K703" i="8" s="1"/>
  <c r="J557" i="7"/>
  <c r="J1416" i="1"/>
  <c r="J485" i="8" s="1"/>
  <c r="J998" i="1"/>
  <c r="J980" i="7"/>
  <c r="J1824" i="1"/>
  <c r="J1086" i="7" s="1"/>
  <c r="J1875" i="1"/>
  <c r="H1280" i="1"/>
  <c r="H322" i="8" s="1"/>
  <c r="H1118" i="1"/>
  <c r="H106" i="8" s="1"/>
  <c r="H1219" i="1"/>
  <c r="H183" i="8" s="1"/>
  <c r="H306" i="8"/>
  <c r="G780" i="8"/>
  <c r="G767" i="8"/>
  <c r="G768" i="8" s="1"/>
  <c r="G784" i="8"/>
  <c r="G782" i="8"/>
  <c r="G840" i="8"/>
  <c r="G853" i="8"/>
  <c r="G855" i="8"/>
  <c r="G857" i="8"/>
  <c r="I579" i="7"/>
  <c r="I1105" i="1"/>
  <c r="I84" i="8" s="1"/>
  <c r="I1269" i="1"/>
  <c r="I302" i="8" s="1"/>
  <c r="H68" i="8"/>
  <c r="J782" i="7"/>
  <c r="J1261" i="1"/>
  <c r="J287" i="8" s="1"/>
  <c r="H929" i="8"/>
  <c r="G1033" i="7"/>
  <c r="H1682" i="1"/>
  <c r="G1020" i="7"/>
  <c r="P1021" i="7"/>
  <c r="F777" i="8"/>
  <c r="K778" i="8" s="1"/>
  <c r="G697" i="8"/>
  <c r="G705" i="8"/>
  <c r="G692" i="8"/>
  <c r="G707" i="8"/>
  <c r="G709" i="8"/>
  <c r="G1031" i="7"/>
  <c r="J1490" i="1"/>
  <c r="J970" i="7" s="1"/>
  <c r="J1888" i="1"/>
  <c r="J1498" i="1"/>
  <c r="J978" i="7" s="1"/>
  <c r="J694" i="7"/>
  <c r="J1815" i="1"/>
  <c r="J1488" i="1"/>
  <c r="J968" i="7" s="1"/>
  <c r="I902" i="8"/>
  <c r="H1004" i="7"/>
  <c r="H1609" i="1"/>
  <c r="G585" i="8" l="1"/>
  <c r="G587" i="8"/>
  <c r="G332" i="8"/>
  <c r="G331" i="8" s="1"/>
  <c r="G1025" i="1"/>
  <c r="G1391" i="1"/>
  <c r="G1123" i="1"/>
  <c r="G1023" i="1"/>
  <c r="G600" i="7" s="1"/>
  <c r="G1067" i="1"/>
  <c r="G1065" i="1"/>
  <c r="G640" i="7" s="1"/>
  <c r="G812" i="7"/>
  <c r="G1122" i="1"/>
  <c r="H1285" i="1"/>
  <c r="G1902" i="1"/>
  <c r="G1113" i="7" s="1"/>
  <c r="G1487" i="1"/>
  <c r="G967" i="7" s="1"/>
  <c r="G1506" i="1"/>
  <c r="G986" i="7" s="1"/>
  <c r="G958" i="7"/>
  <c r="G1430" i="1"/>
  <c r="G507" i="8"/>
  <c r="F941" i="7"/>
  <c r="F476" i="8"/>
  <c r="F1486" i="1"/>
  <c r="F966" i="7" s="1"/>
  <c r="F1431" i="1"/>
  <c r="F961" i="7" s="1"/>
  <c r="K1815" i="1"/>
  <c r="K1888" i="1"/>
  <c r="K170" i="8"/>
  <c r="K1490" i="1"/>
  <c r="K1498" i="1"/>
  <c r="K1488" i="1"/>
  <c r="K485" i="8"/>
  <c r="K484" i="8" s="1"/>
  <c r="K1421" i="1"/>
  <c r="K925" i="8"/>
  <c r="K903" i="8"/>
  <c r="K570" i="8"/>
  <c r="K578" i="8"/>
  <c r="K568" i="8"/>
  <c r="K1597" i="1"/>
  <c r="K1741" i="1"/>
  <c r="K1670" i="1"/>
  <c r="K287" i="8"/>
  <c r="K827" i="8"/>
  <c r="K754" i="8"/>
  <c r="K679" i="8"/>
  <c r="H1698" i="1"/>
  <c r="H1696" i="1"/>
  <c r="H1683" i="1"/>
  <c r="H1700" i="1"/>
  <c r="H1687" i="1"/>
  <c r="J1741" i="1"/>
  <c r="J787" i="7"/>
  <c r="J1670" i="1"/>
  <c r="J1597" i="1"/>
  <c r="I1892" i="1"/>
  <c r="I795" i="7"/>
  <c r="I1272" i="1"/>
  <c r="I307" i="8" s="1"/>
  <c r="G785" i="8"/>
  <c r="H1115" i="1"/>
  <c r="H101" i="8" s="1"/>
  <c r="J946" i="7"/>
  <c r="J484" i="8"/>
  <c r="J1421" i="1"/>
  <c r="J495" i="8" s="1"/>
  <c r="G841" i="8"/>
  <c r="I1076" i="7"/>
  <c r="I1821" i="1"/>
  <c r="H1014" i="7"/>
  <c r="H1610" i="1"/>
  <c r="H1623" i="1"/>
  <c r="H1627" i="1"/>
  <c r="H1625" i="1"/>
  <c r="H1614" i="1"/>
  <c r="J1077" i="7"/>
  <c r="J1099" i="7"/>
  <c r="G710" i="8"/>
  <c r="J277" i="8"/>
  <c r="I1097" i="1"/>
  <c r="I69" i="8" s="1"/>
  <c r="G858" i="8"/>
  <c r="H756" i="8"/>
  <c r="H829" i="8"/>
  <c r="H681" i="8"/>
  <c r="H1749" i="1"/>
  <c r="H806" i="7"/>
  <c r="H1282" i="1"/>
  <c r="H325" i="8" s="1"/>
  <c r="J167" i="8"/>
  <c r="I909" i="8"/>
  <c r="G708" i="8"/>
  <c r="G856" i="8"/>
  <c r="H1889" i="1"/>
  <c r="H1221" i="1"/>
  <c r="H187" i="8" s="1"/>
  <c r="H180" i="8"/>
  <c r="G777" i="8"/>
  <c r="G783" i="8"/>
  <c r="J575" i="7"/>
  <c r="J999" i="1"/>
  <c r="K1000" i="1" s="1"/>
  <c r="G693" i="8"/>
  <c r="G438" i="8" l="1"/>
  <c r="G921" i="7"/>
  <c r="G1400" i="1"/>
  <c r="H330" i="8"/>
  <c r="H329" i="8" s="1"/>
  <c r="H811" i="7"/>
  <c r="H1901" i="1"/>
  <c r="H1112" i="7" s="1"/>
  <c r="G939" i="8"/>
  <c r="G1024" i="1"/>
  <c r="G1066" i="1"/>
  <c r="G437" i="8"/>
  <c r="G455" i="8" s="1"/>
  <c r="G510" i="8"/>
  <c r="G1507" i="1"/>
  <c r="G987" i="7" s="1"/>
  <c r="G960" i="7"/>
  <c r="G1505" i="1"/>
  <c r="G985" i="7" s="1"/>
  <c r="K1817" i="1"/>
  <c r="K1814" i="1" s="1"/>
  <c r="K1821" i="1" s="1"/>
  <c r="K1002" i="1"/>
  <c r="K495" i="8"/>
  <c r="K494" i="8" s="1"/>
  <c r="K905" i="8"/>
  <c r="K902" i="8" s="1"/>
  <c r="K909" i="8" s="1"/>
  <c r="K693" i="7"/>
  <c r="J576" i="7"/>
  <c r="J1000" i="1"/>
  <c r="H1100" i="7"/>
  <c r="J177" i="8"/>
  <c r="J580" i="8"/>
  <c r="J912" i="8" s="1"/>
  <c r="J169" i="8"/>
  <c r="H808" i="7"/>
  <c r="H1284" i="1"/>
  <c r="H328" i="8" s="1"/>
  <c r="H1015" i="7"/>
  <c r="H1611" i="1"/>
  <c r="I301" i="8"/>
  <c r="J1002" i="7"/>
  <c r="H1701" i="1"/>
  <c r="H182" i="8"/>
  <c r="K782" i="7"/>
  <c r="H691" i="8"/>
  <c r="I83" i="8"/>
  <c r="H1626" i="1"/>
  <c r="H1030" i="7"/>
  <c r="G850" i="8"/>
  <c r="H1684" i="1"/>
  <c r="I1220" i="1"/>
  <c r="H186" i="8"/>
  <c r="H502" i="8" s="1"/>
  <c r="H506" i="8" s="1"/>
  <c r="G567" i="8" s="1"/>
  <c r="H1426" i="1"/>
  <c r="H503" i="8" s="1"/>
  <c r="K561" i="7"/>
  <c r="H321" i="8"/>
  <c r="H1019" i="7"/>
  <c r="H1615" i="1"/>
  <c r="H1032" i="7"/>
  <c r="H1628" i="1"/>
  <c r="J951" i="7"/>
  <c r="J494" i="8"/>
  <c r="H105" i="8"/>
  <c r="I1103" i="7"/>
  <c r="G702" i="8"/>
  <c r="H1753" i="1"/>
  <c r="H766" i="8"/>
  <c r="J286" i="8"/>
  <c r="H1028" i="7"/>
  <c r="I1083" i="7"/>
  <c r="J905" i="8"/>
  <c r="I798" i="7"/>
  <c r="I1599" i="1"/>
  <c r="I1672" i="1"/>
  <c r="I1743" i="1"/>
  <c r="I1213" i="1"/>
  <c r="I181" i="8" s="1"/>
  <c r="H1688" i="1"/>
  <c r="H1699" i="1"/>
  <c r="H938" i="8" l="1"/>
  <c r="H118" i="8"/>
  <c r="G456" i="8"/>
  <c r="G1503" i="1"/>
  <c r="G983" i="7" s="1"/>
  <c r="G1411" i="1"/>
  <c r="G1502" i="1"/>
  <c r="G982" i="7" s="1"/>
  <c r="G930" i="7"/>
  <c r="G475" i="8"/>
  <c r="G582" i="8"/>
  <c r="G583" i="8"/>
  <c r="I185" i="8"/>
  <c r="I184" i="8" s="1"/>
  <c r="K1269" i="1"/>
  <c r="K1105" i="1"/>
  <c r="I1118" i="1"/>
  <c r="I106" i="8" s="1"/>
  <c r="I1280" i="1"/>
  <c r="I322" i="8" s="1"/>
  <c r="I1219" i="1"/>
  <c r="I183" i="8" s="1"/>
  <c r="I68" i="8"/>
  <c r="J827" i="8"/>
  <c r="J754" i="8"/>
  <c r="J679" i="8"/>
  <c r="H835" i="8"/>
  <c r="K557" i="7"/>
  <c r="H509" i="8"/>
  <c r="H586" i="8"/>
  <c r="H100" i="8"/>
  <c r="H1016" i="7"/>
  <c r="H1620" i="1"/>
  <c r="H810" i="7"/>
  <c r="H1900" i="1"/>
  <c r="H1508" i="1"/>
  <c r="H1286" i="1"/>
  <c r="H332" i="8" s="1"/>
  <c r="K970" i="7"/>
  <c r="I1004" i="7"/>
  <c r="I1609" i="1"/>
  <c r="O1021" i="7"/>
  <c r="H1020" i="7"/>
  <c r="H1031" i="7"/>
  <c r="H705" i="8"/>
  <c r="H707" i="8"/>
  <c r="H692" i="8"/>
  <c r="H709" i="8"/>
  <c r="H696" i="8"/>
  <c r="K787" i="7"/>
  <c r="H926" i="8"/>
  <c r="I929" i="8"/>
  <c r="J925" i="8"/>
  <c r="J578" i="8"/>
  <c r="J570" i="8"/>
  <c r="J903" i="8"/>
  <c r="J568" i="8"/>
  <c r="K980" i="7"/>
  <c r="K1086" i="7"/>
  <c r="J577" i="7"/>
  <c r="J1817" i="1"/>
  <c r="J1002" i="1"/>
  <c r="H1754" i="1"/>
  <c r="H1769" i="1"/>
  <c r="H1767" i="1"/>
  <c r="H1771" i="1"/>
  <c r="H1758" i="1"/>
  <c r="H956" i="7"/>
  <c r="H1428" i="1"/>
  <c r="H507" i="8" s="1"/>
  <c r="I1682" i="1"/>
  <c r="I306" i="8"/>
  <c r="H780" i="8"/>
  <c r="H784" i="8"/>
  <c r="H767" i="8"/>
  <c r="H782" i="8"/>
  <c r="H771" i="8"/>
  <c r="H1033" i="7"/>
  <c r="H1693" i="1"/>
  <c r="M173" i="1"/>
  <c r="H324" i="8"/>
  <c r="G511" i="8" l="1"/>
  <c r="F566" i="8"/>
  <c r="G476" i="8"/>
  <c r="G1431" i="1"/>
  <c r="G961" i="7" s="1"/>
  <c r="G941" i="7"/>
  <c r="G1486" i="1"/>
  <c r="G966" i="7" s="1"/>
  <c r="K84" i="8"/>
  <c r="K83" i="8" s="1"/>
  <c r="K1097" i="1"/>
  <c r="K69" i="8" s="1"/>
  <c r="K68" i="8" s="1"/>
  <c r="K1892" i="1"/>
  <c r="K302" i="8"/>
  <c r="K301" i="8" s="1"/>
  <c r="K929" i="8" s="1"/>
  <c r="K1272" i="1"/>
  <c r="K978" i="7"/>
  <c r="K694" i="7"/>
  <c r="K1099" i="7"/>
  <c r="K968" i="7"/>
  <c r="M45" i="8"/>
  <c r="M174" i="1"/>
  <c r="I1889" i="1"/>
  <c r="I1221" i="1"/>
  <c r="I187" i="8" s="1"/>
  <c r="H708" i="8"/>
  <c r="H1111" i="7"/>
  <c r="O1026" i="7"/>
  <c r="H1025" i="7"/>
  <c r="K575" i="7"/>
  <c r="H839" i="8"/>
  <c r="I1749" i="1"/>
  <c r="I1753" i="1" s="1"/>
  <c r="I1758" i="1" s="1"/>
  <c r="I806" i="7"/>
  <c r="I1282" i="1"/>
  <c r="I325" i="8" s="1"/>
  <c r="H785" i="8"/>
  <c r="H958" i="7"/>
  <c r="H1487" i="1"/>
  <c r="H967" i="7" s="1"/>
  <c r="H1430" i="1"/>
  <c r="H510" i="8" s="1"/>
  <c r="H1506" i="1"/>
  <c r="H986" i="7" s="1"/>
  <c r="H1770" i="1"/>
  <c r="H693" i="8"/>
  <c r="K1077" i="7"/>
  <c r="H1064" i="1"/>
  <c r="H639" i="7" s="1"/>
  <c r="H988" i="7"/>
  <c r="H772" i="8"/>
  <c r="H1759" i="1"/>
  <c r="H1755" i="1"/>
  <c r="J902" i="8"/>
  <c r="H697" i="8"/>
  <c r="H783" i="8"/>
  <c r="H1772" i="1"/>
  <c r="J579" i="7"/>
  <c r="J1105" i="1"/>
  <c r="J84" i="8" s="1"/>
  <c r="J1269" i="1"/>
  <c r="J302" i="8" s="1"/>
  <c r="K946" i="7"/>
  <c r="I180" i="8"/>
  <c r="I182" i="8" s="1"/>
  <c r="H327" i="8"/>
  <c r="I681" i="8"/>
  <c r="I756" i="8"/>
  <c r="I829" i="8"/>
  <c r="H768" i="8"/>
  <c r="I1683" i="1"/>
  <c r="I1696" i="1"/>
  <c r="I1700" i="1"/>
  <c r="I1698" i="1"/>
  <c r="I1687" i="1"/>
  <c r="J1079" i="7"/>
  <c r="J1814" i="1"/>
  <c r="K1002" i="7"/>
  <c r="H710" i="8"/>
  <c r="I1627" i="1"/>
  <c r="I1014" i="7"/>
  <c r="I1623" i="1"/>
  <c r="I1625" i="1"/>
  <c r="I1610" i="1"/>
  <c r="I1614" i="1"/>
  <c r="H1025" i="1"/>
  <c r="H1122" i="1"/>
  <c r="H1067" i="1"/>
  <c r="H1902" i="1"/>
  <c r="H1113" i="7" s="1"/>
  <c r="H1123" i="1"/>
  <c r="H812" i="7"/>
  <c r="H1023" i="1"/>
  <c r="H600" i="7" s="1"/>
  <c r="H1391" i="1"/>
  <c r="H438" i="8" s="1"/>
  <c r="I1285" i="1"/>
  <c r="I330" i="8" s="1"/>
  <c r="H331" i="8"/>
  <c r="H1065" i="1"/>
  <c r="H640" i="7" s="1"/>
  <c r="H585" i="8"/>
  <c r="H587" i="8"/>
  <c r="I1115" i="1"/>
  <c r="I101" i="8" s="1"/>
  <c r="K1743" i="1" l="1"/>
  <c r="K1672" i="1"/>
  <c r="K1599" i="1"/>
  <c r="K307" i="8"/>
  <c r="K306" i="8" s="1"/>
  <c r="H921" i="7"/>
  <c r="H1400" i="1"/>
  <c r="H456" i="8" s="1"/>
  <c r="I1030" i="7"/>
  <c r="I1626" i="1"/>
  <c r="J1076" i="7"/>
  <c r="J1821" i="1"/>
  <c r="I1701" i="1"/>
  <c r="I1028" i="7"/>
  <c r="L693" i="7"/>
  <c r="I766" i="8"/>
  <c r="J909" i="8"/>
  <c r="H853" i="8"/>
  <c r="H857" i="8"/>
  <c r="H855" i="8"/>
  <c r="H840" i="8"/>
  <c r="H844" i="8"/>
  <c r="H1066" i="1"/>
  <c r="H939" i="8"/>
  <c r="H1024" i="1"/>
  <c r="H437" i="8"/>
  <c r="H455" i="8" s="1"/>
  <c r="I1684" i="1"/>
  <c r="L782" i="7"/>
  <c r="H777" i="8"/>
  <c r="I691" i="8"/>
  <c r="H1764" i="1"/>
  <c r="H960" i="7"/>
  <c r="H1505" i="1"/>
  <c r="H985" i="7" s="1"/>
  <c r="H1507" i="1"/>
  <c r="H987" i="7" s="1"/>
  <c r="I321" i="8"/>
  <c r="I1100" i="7"/>
  <c r="I105" i="8"/>
  <c r="H588" i="8"/>
  <c r="H937" i="8"/>
  <c r="J1097" i="1"/>
  <c r="J69" i="8" s="1"/>
  <c r="H702" i="8"/>
  <c r="I808" i="7"/>
  <c r="I1284" i="1"/>
  <c r="I811" i="7"/>
  <c r="I1901" i="1"/>
  <c r="I1112" i="7" s="1"/>
  <c r="I329" i="8"/>
  <c r="I1015" i="7"/>
  <c r="I1611" i="1"/>
  <c r="I1032" i="7"/>
  <c r="I1628" i="1"/>
  <c r="I1699" i="1"/>
  <c r="L561" i="7"/>
  <c r="I926" i="8"/>
  <c r="K576" i="7"/>
  <c r="I1019" i="7"/>
  <c r="I1615" i="1"/>
  <c r="I1688" i="1"/>
  <c r="K951" i="7"/>
  <c r="J795" i="7"/>
  <c r="J1892" i="1"/>
  <c r="J1272" i="1"/>
  <c r="I1759" i="1"/>
  <c r="I1754" i="1"/>
  <c r="I1769" i="1"/>
  <c r="I1767" i="1"/>
  <c r="I1771" i="1"/>
  <c r="J1220" i="1"/>
  <c r="I1426" i="1"/>
  <c r="I503" i="8" s="1"/>
  <c r="I186" i="8"/>
  <c r="I502" i="8" s="1"/>
  <c r="I506" i="8" s="1"/>
  <c r="K829" i="8" l="1"/>
  <c r="K756" i="8"/>
  <c r="K681" i="8"/>
  <c r="J1213" i="1"/>
  <c r="J181" i="8" s="1"/>
  <c r="J307" i="8"/>
  <c r="J185" i="8"/>
  <c r="J184" i="8" s="1"/>
  <c r="I1508" i="1"/>
  <c r="I988" i="7" s="1"/>
  <c r="I328" i="8"/>
  <c r="I1772" i="1"/>
  <c r="J1103" i="7"/>
  <c r="L694" i="7"/>
  <c r="L1099" i="7"/>
  <c r="L970" i="7"/>
  <c r="L978" i="7"/>
  <c r="L968" i="7"/>
  <c r="I100" i="8"/>
  <c r="I1900" i="1"/>
  <c r="I810" i="7"/>
  <c r="I1286" i="1"/>
  <c r="I332" i="8" s="1"/>
  <c r="J83" i="8"/>
  <c r="I709" i="8"/>
  <c r="I692" i="8"/>
  <c r="I705" i="8"/>
  <c r="I707" i="8"/>
  <c r="I696" i="8"/>
  <c r="H841" i="8"/>
  <c r="H1503" i="1"/>
  <c r="H983" i="7" s="1"/>
  <c r="H930" i="7"/>
  <c r="H1411" i="1"/>
  <c r="H476" i="8" s="1"/>
  <c r="H1502" i="1"/>
  <c r="H982" i="7" s="1"/>
  <c r="I956" i="7"/>
  <c r="I1428" i="1"/>
  <c r="I507" i="8" s="1"/>
  <c r="L787" i="7"/>
  <c r="I1770" i="1"/>
  <c r="J798" i="7"/>
  <c r="J1599" i="1"/>
  <c r="J1672" i="1"/>
  <c r="J1743" i="1"/>
  <c r="K577" i="7"/>
  <c r="I1016" i="7"/>
  <c r="I1620" i="1"/>
  <c r="I938" i="8"/>
  <c r="I118" i="8"/>
  <c r="I835" i="8"/>
  <c r="I839" i="8" s="1"/>
  <c r="I844" i="8" s="1"/>
  <c r="H583" i="8"/>
  <c r="H475" i="8"/>
  <c r="H582" i="8"/>
  <c r="H856" i="8"/>
  <c r="I767" i="8"/>
  <c r="I780" i="8"/>
  <c r="I784" i="8"/>
  <c r="I782" i="8"/>
  <c r="I771" i="8"/>
  <c r="I1033" i="7"/>
  <c r="H845" i="8"/>
  <c r="J1083" i="7"/>
  <c r="I509" i="8"/>
  <c r="I586" i="8"/>
  <c r="H567" i="8"/>
  <c r="J301" i="8"/>
  <c r="I1020" i="7"/>
  <c r="N1021" i="7"/>
  <c r="L557" i="7"/>
  <c r="I324" i="8"/>
  <c r="I1755" i="1"/>
  <c r="I1693" i="1"/>
  <c r="H858" i="8"/>
  <c r="L980" i="7"/>
  <c r="L1086" i="7"/>
  <c r="I1031" i="7"/>
  <c r="J1280" i="1" l="1"/>
  <c r="J322" i="8" s="1"/>
  <c r="J1118" i="1"/>
  <c r="J106" i="8" s="1"/>
  <c r="I1064" i="1"/>
  <c r="I639" i="7" s="1"/>
  <c r="J1219" i="1"/>
  <c r="J183" i="8" s="1"/>
  <c r="I772" i="8"/>
  <c r="J306" i="8"/>
  <c r="I1764" i="1"/>
  <c r="L575" i="7"/>
  <c r="I840" i="8"/>
  <c r="I841" i="8" s="1"/>
  <c r="I853" i="8"/>
  <c r="I857" i="8"/>
  <c r="I855" i="8"/>
  <c r="I1025" i="7"/>
  <c r="N1026" i="7"/>
  <c r="I710" i="8"/>
  <c r="I1123" i="1"/>
  <c r="I1902" i="1"/>
  <c r="I1113" i="7" s="1"/>
  <c r="I1122" i="1"/>
  <c r="I1067" i="1"/>
  <c r="I1025" i="1"/>
  <c r="I812" i="7"/>
  <c r="I1065" i="1"/>
  <c r="I640" i="7" s="1"/>
  <c r="I1023" i="1"/>
  <c r="I600" i="7" s="1"/>
  <c r="I1391" i="1"/>
  <c r="I438" i="8" s="1"/>
  <c r="I331" i="8"/>
  <c r="J1285" i="1"/>
  <c r="J180" i="8"/>
  <c r="J182" i="8" s="1"/>
  <c r="I327" i="8"/>
  <c r="I588" i="8" s="1"/>
  <c r="I785" i="8"/>
  <c r="K579" i="7"/>
  <c r="I768" i="8"/>
  <c r="H511" i="8"/>
  <c r="G566" i="8"/>
  <c r="J1682" i="1"/>
  <c r="L1002" i="7"/>
  <c r="I708" i="8"/>
  <c r="I845" i="8"/>
  <c r="I693" i="8"/>
  <c r="L946" i="7"/>
  <c r="J929" i="8"/>
  <c r="I587" i="8"/>
  <c r="I585" i="8"/>
  <c r="I783" i="8"/>
  <c r="K1079" i="7"/>
  <c r="J1004" i="7"/>
  <c r="J1609" i="1"/>
  <c r="I1487" i="1"/>
  <c r="I967" i="7" s="1"/>
  <c r="I958" i="7"/>
  <c r="I1430" i="1"/>
  <c r="I510" i="8" s="1"/>
  <c r="I1506" i="1"/>
  <c r="I986" i="7" s="1"/>
  <c r="H941" i="7"/>
  <c r="H1486" i="1"/>
  <c r="H966" i="7" s="1"/>
  <c r="H1431" i="1"/>
  <c r="H850" i="8"/>
  <c r="I697" i="8"/>
  <c r="I1111" i="7"/>
  <c r="J1749" i="1"/>
  <c r="J1753" i="1" s="1"/>
  <c r="L1077" i="7"/>
  <c r="J68" i="8"/>
  <c r="J1282" i="1" l="1"/>
  <c r="J325" i="8" s="1"/>
  <c r="J806" i="7"/>
  <c r="J1221" i="1"/>
  <c r="J1426" i="1" s="1"/>
  <c r="J503" i="8" s="1"/>
  <c r="J1889" i="1"/>
  <c r="J1100" i="7" s="1"/>
  <c r="J1115" i="1"/>
  <c r="J101" i="8" s="1"/>
  <c r="J330" i="8"/>
  <c r="J329" i="8" s="1"/>
  <c r="K1213" i="1"/>
  <c r="J1767" i="1"/>
  <c r="J1769" i="1"/>
  <c r="J1754" i="1"/>
  <c r="J1755" i="1" s="1"/>
  <c r="J1771" i="1"/>
  <c r="J1758" i="1"/>
  <c r="J811" i="7"/>
  <c r="J1901" i="1"/>
  <c r="J1112" i="7" s="1"/>
  <c r="I856" i="8"/>
  <c r="L576" i="7"/>
  <c r="M561" i="7"/>
  <c r="J1683" i="1"/>
  <c r="J1684" i="1" s="1"/>
  <c r="J1696" i="1"/>
  <c r="J1700" i="1"/>
  <c r="J1698" i="1"/>
  <c r="J1687" i="1"/>
  <c r="I777" i="8"/>
  <c r="I937" i="8"/>
  <c r="I939" i="8"/>
  <c r="I1024" i="1"/>
  <c r="I437" i="8"/>
  <c r="I455" i="8" s="1"/>
  <c r="I1066" i="1"/>
  <c r="I858" i="8"/>
  <c r="J681" i="8"/>
  <c r="J829" i="8"/>
  <c r="J756" i="8"/>
  <c r="J321" i="8"/>
  <c r="M782" i="7"/>
  <c r="K1083" i="7"/>
  <c r="K1076" i="7"/>
  <c r="I960" i="7"/>
  <c r="I1507" i="1"/>
  <c r="I987" i="7" s="1"/>
  <c r="I1505" i="1"/>
  <c r="I985" i="7" s="1"/>
  <c r="J105" i="8"/>
  <c r="I921" i="7"/>
  <c r="I1400" i="1"/>
  <c r="I456" i="8" s="1"/>
  <c r="H961" i="7"/>
  <c r="I850" i="8"/>
  <c r="J1627" i="1"/>
  <c r="J1014" i="7"/>
  <c r="J1623" i="1"/>
  <c r="J1610" i="1"/>
  <c r="J1625" i="1"/>
  <c r="J1614" i="1"/>
  <c r="M693" i="7"/>
  <c r="L951" i="7"/>
  <c r="I702" i="8"/>
  <c r="K1103" i="7"/>
  <c r="K795" i="7"/>
  <c r="J926" i="8"/>
  <c r="J1284" i="1" l="1"/>
  <c r="J1286" i="1" s="1"/>
  <c r="J808" i="7"/>
  <c r="J187" i="8"/>
  <c r="J186" i="8" s="1"/>
  <c r="J502" i="8" s="1"/>
  <c r="J506" i="8" s="1"/>
  <c r="I567" i="8" s="1"/>
  <c r="K1220" i="1"/>
  <c r="K185" i="8" s="1"/>
  <c r="K184" i="8" s="1"/>
  <c r="J1508" i="1"/>
  <c r="J1064" i="1" s="1"/>
  <c r="J639" i="7" s="1"/>
  <c r="J328" i="8"/>
  <c r="K1280" i="1"/>
  <c r="K1118" i="1"/>
  <c r="K181" i="8"/>
  <c r="K180" i="8" s="1"/>
  <c r="K182" i="8" s="1"/>
  <c r="K926" i="8" s="1"/>
  <c r="K1219" i="1"/>
  <c r="J766" i="8"/>
  <c r="J100" i="8"/>
  <c r="L577" i="7"/>
  <c r="J1772" i="1"/>
  <c r="M978" i="7"/>
  <c r="M970" i="7"/>
  <c r="M694" i="7"/>
  <c r="M1099" i="7"/>
  <c r="M968" i="7"/>
  <c r="J1030" i="7"/>
  <c r="J1626" i="1"/>
  <c r="J1032" i="7"/>
  <c r="J1628" i="1"/>
  <c r="J1693" i="1"/>
  <c r="J118" i="8"/>
  <c r="J938" i="8"/>
  <c r="J1428" i="1"/>
  <c r="J507" i="8" s="1"/>
  <c r="J956" i="7"/>
  <c r="J1759" i="1"/>
  <c r="J1764" i="1"/>
  <c r="K798" i="7"/>
  <c r="M980" i="7"/>
  <c r="M1086" i="7"/>
  <c r="J1019" i="7"/>
  <c r="J1615" i="1"/>
  <c r="J1015" i="7"/>
  <c r="J1611" i="1"/>
  <c r="J324" i="8"/>
  <c r="I1503" i="1"/>
  <c r="I983" i="7" s="1"/>
  <c r="I1411" i="1"/>
  <c r="I476" i="8" s="1"/>
  <c r="I930" i="7"/>
  <c r="I1502" i="1"/>
  <c r="I982" i="7" s="1"/>
  <c r="M787" i="7"/>
  <c r="J835" i="8"/>
  <c r="J839" i="8" s="1"/>
  <c r="J691" i="8"/>
  <c r="I583" i="8"/>
  <c r="I475" i="8"/>
  <c r="I582" i="8"/>
  <c r="J1699" i="1"/>
  <c r="M557" i="7"/>
  <c r="J1770" i="1"/>
  <c r="J1028" i="7"/>
  <c r="J1688" i="1"/>
  <c r="J1701" i="1"/>
  <c r="J1900" i="1" l="1"/>
  <c r="J810" i="7"/>
  <c r="J509" i="8"/>
  <c r="J585" i="8" s="1"/>
  <c r="J586" i="8"/>
  <c r="J988" i="7"/>
  <c r="K106" i="8"/>
  <c r="K105" i="8" s="1"/>
  <c r="K1115" i="1"/>
  <c r="K101" i="8" s="1"/>
  <c r="K100" i="8" s="1"/>
  <c r="K1749" i="1"/>
  <c r="K1753" i="1" s="1"/>
  <c r="K322" i="8"/>
  <c r="K321" i="8" s="1"/>
  <c r="K835" i="8" s="1"/>
  <c r="K839" i="8" s="1"/>
  <c r="K1282" i="1"/>
  <c r="K1285" i="1"/>
  <c r="J332" i="8"/>
  <c r="J331" i="8" s="1"/>
  <c r="K1889" i="1"/>
  <c r="K183" i="8"/>
  <c r="K1221" i="1"/>
  <c r="J855" i="8"/>
  <c r="J853" i="8"/>
  <c r="J840" i="8"/>
  <c r="J841" i="8" s="1"/>
  <c r="J857" i="8"/>
  <c r="J844" i="8"/>
  <c r="J705" i="8"/>
  <c r="J692" i="8"/>
  <c r="J693" i="8" s="1"/>
  <c r="J707" i="8"/>
  <c r="J709" i="8"/>
  <c r="J696" i="8"/>
  <c r="J1020" i="7"/>
  <c r="M1021" i="7"/>
  <c r="K1004" i="7"/>
  <c r="J958" i="7"/>
  <c r="J1487" i="1"/>
  <c r="J967" i="7" s="1"/>
  <c r="J1506" i="1"/>
  <c r="J986" i="7" s="1"/>
  <c r="J1430" i="1"/>
  <c r="J510" i="8" s="1"/>
  <c r="K1100" i="7"/>
  <c r="M946" i="7"/>
  <c r="I511" i="8"/>
  <c r="H566" i="8"/>
  <c r="J1031" i="7"/>
  <c r="L579" i="7"/>
  <c r="J1122" i="1"/>
  <c r="J1025" i="1"/>
  <c r="J1065" i="1"/>
  <c r="J640" i="7" s="1"/>
  <c r="J1123" i="1"/>
  <c r="J1067" i="1"/>
  <c r="J812" i="7"/>
  <c r="J1902" i="1"/>
  <c r="J1113" i="7" s="1"/>
  <c r="J1391" i="1"/>
  <c r="J438" i="8" s="1"/>
  <c r="J1023" i="1"/>
  <c r="J600" i="7" s="1"/>
  <c r="M1002" i="7"/>
  <c r="J1620" i="1"/>
  <c r="J1016" i="7"/>
  <c r="J1033" i="7"/>
  <c r="M1077" i="7"/>
  <c r="L1079" i="7"/>
  <c r="J1111" i="7"/>
  <c r="K806" i="7"/>
  <c r="M575" i="7"/>
  <c r="I941" i="7"/>
  <c r="I1431" i="1"/>
  <c r="I1486" i="1"/>
  <c r="I966" i="7" s="1"/>
  <c r="J327" i="8"/>
  <c r="J588" i="8" s="1"/>
  <c r="J767" i="8"/>
  <c r="J768" i="8" s="1"/>
  <c r="J780" i="8"/>
  <c r="J784" i="8"/>
  <c r="J782" i="8"/>
  <c r="J771" i="8"/>
  <c r="J587" i="8" l="1"/>
  <c r="K844" i="8"/>
  <c r="K845" i="8" s="1"/>
  <c r="K1901" i="1"/>
  <c r="K330" i="8"/>
  <c r="K329" i="8" s="1"/>
  <c r="K325" i="8"/>
  <c r="K324" i="8" s="1"/>
  <c r="K327" i="8" s="1"/>
  <c r="K1284" i="1"/>
  <c r="K1508" i="1" s="1"/>
  <c r="K1064" i="1" s="1"/>
  <c r="K857" i="8"/>
  <c r="K858" i="8" s="1"/>
  <c r="K855" i="8"/>
  <c r="K856" i="8" s="1"/>
  <c r="K840" i="8"/>
  <c r="K841" i="8" s="1"/>
  <c r="K850" i="8" s="1"/>
  <c r="K853" i="8"/>
  <c r="K1426" i="1"/>
  <c r="K187" i="8"/>
  <c r="K186" i="8" s="1"/>
  <c r="K502" i="8" s="1"/>
  <c r="K506" i="8" s="1"/>
  <c r="K1771" i="1"/>
  <c r="K1772" i="1" s="1"/>
  <c r="K1769" i="1"/>
  <c r="K1770" i="1" s="1"/>
  <c r="K1754" i="1"/>
  <c r="K1755" i="1" s="1"/>
  <c r="K1764" i="1" s="1"/>
  <c r="K1767" i="1"/>
  <c r="K1758" i="1"/>
  <c r="K1759" i="1" s="1"/>
  <c r="J1024" i="1"/>
  <c r="J939" i="8"/>
  <c r="J1066" i="1"/>
  <c r="J437" i="8"/>
  <c r="J455" i="8" s="1"/>
  <c r="J858" i="8"/>
  <c r="J783" i="8"/>
  <c r="K808" i="7"/>
  <c r="N693" i="7"/>
  <c r="J1025" i="7"/>
  <c r="M1026" i="7"/>
  <c r="K1112" i="7"/>
  <c r="K811" i="7"/>
  <c r="L1103" i="7"/>
  <c r="L795" i="7"/>
  <c r="J960" i="7"/>
  <c r="J1505" i="1"/>
  <c r="J985" i="7" s="1"/>
  <c r="J1507" i="1"/>
  <c r="J987" i="7" s="1"/>
  <c r="J710" i="8"/>
  <c r="J845" i="8"/>
  <c r="J850" i="8"/>
  <c r="J772" i="8"/>
  <c r="J785" i="8"/>
  <c r="I961" i="7"/>
  <c r="J937" i="8"/>
  <c r="M951" i="7"/>
  <c r="K1014" i="7"/>
  <c r="K1028" i="7"/>
  <c r="J697" i="8"/>
  <c r="J708" i="8"/>
  <c r="J777" i="8"/>
  <c r="M576" i="7"/>
  <c r="L1076" i="7"/>
  <c r="L1083" i="7"/>
  <c r="N561" i="7"/>
  <c r="N782" i="7"/>
  <c r="J921" i="7"/>
  <c r="J1400" i="1"/>
  <c r="J456" i="8" s="1"/>
  <c r="J702" i="8"/>
  <c r="J856" i="8"/>
  <c r="K937" i="8" l="1"/>
  <c r="K588" i="8"/>
  <c r="K567" i="8"/>
  <c r="K586" i="8"/>
  <c r="K509" i="8"/>
  <c r="K503" i="8"/>
  <c r="K1428" i="1"/>
  <c r="K938" i="8"/>
  <c r="K118" i="8"/>
  <c r="K1900" i="1"/>
  <c r="K1286" i="1"/>
  <c r="K328" i="8"/>
  <c r="K988" i="7"/>
  <c r="K639" i="7"/>
  <c r="K1015" i="7"/>
  <c r="N978" i="7"/>
  <c r="N694" i="7"/>
  <c r="N970" i="7"/>
  <c r="N1099" i="7"/>
  <c r="N968" i="7"/>
  <c r="J583" i="8"/>
  <c r="J475" i="8"/>
  <c r="J582" i="8"/>
  <c r="N787" i="7"/>
  <c r="K1032" i="7"/>
  <c r="K1033" i="7"/>
  <c r="N980" i="7"/>
  <c r="N1086" i="7"/>
  <c r="K810" i="7"/>
  <c r="K1111" i="7"/>
  <c r="J567" i="8"/>
  <c r="J1503" i="1"/>
  <c r="J983" i="7" s="1"/>
  <c r="J930" i="7"/>
  <c r="J1411" i="1"/>
  <c r="J476" i="8" s="1"/>
  <c r="J1502" i="1"/>
  <c r="J982" i="7" s="1"/>
  <c r="N557" i="7"/>
  <c r="M577" i="7"/>
  <c r="K1019" i="7"/>
  <c r="K1030" i="7"/>
  <c r="K1031" i="7"/>
  <c r="K956" i="7"/>
  <c r="L798" i="7"/>
  <c r="K1487" i="1" l="1"/>
  <c r="K507" i="8"/>
  <c r="K1506" i="1"/>
  <c r="K1430" i="1"/>
  <c r="K587" i="8"/>
  <c r="K585" i="8"/>
  <c r="K1902" i="1"/>
  <c r="K1122" i="1"/>
  <c r="K1391" i="1"/>
  <c r="K1607" i="1" s="1"/>
  <c r="K1609" i="1" s="1"/>
  <c r="K1123" i="1"/>
  <c r="K1023" i="1"/>
  <c r="K1067" i="1"/>
  <c r="K1065" i="1"/>
  <c r="K1025" i="1"/>
  <c r="K332" i="8"/>
  <c r="K331" i="8" s="1"/>
  <c r="M579" i="7"/>
  <c r="J511" i="8"/>
  <c r="I566" i="8"/>
  <c r="N1077" i="7"/>
  <c r="N946" i="7"/>
  <c r="K958" i="7"/>
  <c r="K967" i="7"/>
  <c r="K986" i="7"/>
  <c r="J941" i="7"/>
  <c r="J1486" i="1"/>
  <c r="J966" i="7" s="1"/>
  <c r="J1431" i="1"/>
  <c r="K1020" i="7"/>
  <c r="L1021" i="7"/>
  <c r="N1002" i="7"/>
  <c r="K812" i="7"/>
  <c r="K640" i="7"/>
  <c r="K600" i="7"/>
  <c r="K1113" i="7"/>
  <c r="M1079" i="7"/>
  <c r="K1016" i="7"/>
  <c r="L1004" i="7"/>
  <c r="N575" i="7"/>
  <c r="K1505" i="1" l="1"/>
  <c r="K1507" i="1"/>
  <c r="K510" i="8"/>
  <c r="K1627" i="1"/>
  <c r="K1628" i="1" s="1"/>
  <c r="K1625" i="1"/>
  <c r="K1626" i="1" s="1"/>
  <c r="K1610" i="1"/>
  <c r="K1611" i="1" s="1"/>
  <c r="K1620" i="1" s="1"/>
  <c r="K1623" i="1"/>
  <c r="K1614" i="1"/>
  <c r="K1615" i="1" s="1"/>
  <c r="K1400" i="1"/>
  <c r="K438" i="8"/>
  <c r="K1680" i="1"/>
  <c r="K1682" i="1" s="1"/>
  <c r="K939" i="8"/>
  <c r="K437" i="8"/>
  <c r="K1066" i="1"/>
  <c r="K1024" i="1"/>
  <c r="O782" i="7"/>
  <c r="N576" i="7"/>
  <c r="K1025" i="7"/>
  <c r="L1026" i="7"/>
  <c r="L1100" i="7"/>
  <c r="L811" i="7"/>
  <c r="L1112" i="7"/>
  <c r="J961" i="7"/>
  <c r="K987" i="7"/>
  <c r="K960" i="7"/>
  <c r="K985" i="7"/>
  <c r="L1014" i="7"/>
  <c r="L1028" i="7"/>
  <c r="L806" i="7"/>
  <c r="N951" i="7"/>
  <c r="M795" i="7"/>
  <c r="M1103" i="7"/>
  <c r="M1076" i="7"/>
  <c r="M1083" i="7"/>
  <c r="K921" i="7"/>
  <c r="O561" i="7"/>
  <c r="K455" i="8" l="1"/>
  <c r="K689" i="8"/>
  <c r="K691" i="8" s="1"/>
  <c r="K764" i="8"/>
  <c r="K766" i="8" s="1"/>
  <c r="K1700" i="1"/>
  <c r="K1701" i="1" s="1"/>
  <c r="K1698" i="1"/>
  <c r="K1699" i="1" s="1"/>
  <c r="K1683" i="1"/>
  <c r="K1684" i="1" s="1"/>
  <c r="K1693" i="1" s="1"/>
  <c r="K1696" i="1"/>
  <c r="K1687" i="1"/>
  <c r="K1688" i="1" s="1"/>
  <c r="K1411" i="1"/>
  <c r="K1503" i="1"/>
  <c r="K456" i="8"/>
  <c r="K1502" i="1"/>
  <c r="O693" i="7"/>
  <c r="O694" i="7"/>
  <c r="O787" i="7"/>
  <c r="K930" i="7"/>
  <c r="K983" i="7"/>
  <c r="K982" i="7"/>
  <c r="M798" i="7"/>
  <c r="L808" i="7"/>
  <c r="L1019" i="7"/>
  <c r="L1015" i="7"/>
  <c r="O978" i="7"/>
  <c r="O1099" i="7"/>
  <c r="O970" i="7"/>
  <c r="N577" i="7"/>
  <c r="L1032" i="7"/>
  <c r="L1033" i="7"/>
  <c r="O557" i="7"/>
  <c r="L1030" i="7"/>
  <c r="L1031" i="7"/>
  <c r="O980" i="7"/>
  <c r="O1086" i="7"/>
  <c r="K784" i="8" l="1"/>
  <c r="K785" i="8" s="1"/>
  <c r="K782" i="8"/>
  <c r="K783" i="8" s="1"/>
  <c r="K767" i="8"/>
  <c r="K768" i="8" s="1"/>
  <c r="K777" i="8" s="1"/>
  <c r="K780" i="8"/>
  <c r="K771" i="8"/>
  <c r="K772" i="8" s="1"/>
  <c r="K707" i="8"/>
  <c r="K708" i="8" s="1"/>
  <c r="K692" i="8"/>
  <c r="K693" i="8" s="1"/>
  <c r="K702" i="8" s="1"/>
  <c r="K705" i="8"/>
  <c r="K709" i="8"/>
  <c r="K710" i="8" s="1"/>
  <c r="K696" i="8"/>
  <c r="K697" i="8" s="1"/>
  <c r="K1431" i="1"/>
  <c r="K1486" i="1"/>
  <c r="K476" i="8"/>
  <c r="K475" i="8"/>
  <c r="K583" i="8"/>
  <c r="K582" i="8"/>
  <c r="O968" i="7"/>
  <c r="O1077" i="7"/>
  <c r="L639" i="7"/>
  <c r="L988" i="7"/>
  <c r="K941" i="7"/>
  <c r="K966" i="7"/>
  <c r="K961" i="7"/>
  <c r="L810" i="7"/>
  <c r="L1111" i="7"/>
  <c r="O1002" i="7"/>
  <c r="O575" i="7"/>
  <c r="N1079" i="7"/>
  <c r="L956" i="7"/>
  <c r="O946" i="7"/>
  <c r="L1020" i="7"/>
  <c r="K1021" i="7"/>
  <c r="M217" i="1"/>
  <c r="N579" i="7"/>
  <c r="L1016" i="7"/>
  <c r="M1004" i="7"/>
  <c r="K566" i="8" l="1"/>
  <c r="K511" i="8"/>
  <c r="J566" i="8"/>
  <c r="M1100" i="7"/>
  <c r="L812" i="7"/>
  <c r="L1113" i="7"/>
  <c r="L640" i="7"/>
  <c r="L600" i="7"/>
  <c r="P561" i="7"/>
  <c r="O951" i="7"/>
  <c r="L1025" i="7"/>
  <c r="K1026" i="7"/>
  <c r="M806" i="7"/>
  <c r="P693" i="7"/>
  <c r="J1689" i="1"/>
  <c r="N795" i="7"/>
  <c r="N1103" i="7"/>
  <c r="O576" i="7"/>
  <c r="M1014" i="7"/>
  <c r="M1028" i="7"/>
  <c r="N1083" i="7"/>
  <c r="N1076" i="7"/>
  <c r="J1694" i="1"/>
  <c r="P782" i="7"/>
  <c r="L958" i="7"/>
  <c r="L967" i="7"/>
  <c r="L986" i="7"/>
  <c r="P787" i="7" l="1"/>
  <c r="M1032" i="7"/>
  <c r="M1033" i="7"/>
  <c r="O577" i="7"/>
  <c r="M811" i="7"/>
  <c r="M1112" i="7"/>
  <c r="J698" i="8"/>
  <c r="J703" i="8"/>
  <c r="M1015" i="7"/>
  <c r="P1099" i="7"/>
  <c r="P694" i="7"/>
  <c r="P970" i="7"/>
  <c r="P978" i="7"/>
  <c r="P968" i="7"/>
  <c r="L960" i="7"/>
  <c r="L987" i="7"/>
  <c r="L985" i="7"/>
  <c r="M1030" i="7"/>
  <c r="M1031" i="7"/>
  <c r="M215" i="1"/>
  <c r="P980" i="7"/>
  <c r="P1086" i="7"/>
  <c r="M808" i="7"/>
  <c r="J773" i="8"/>
  <c r="J778" i="8"/>
  <c r="P557" i="7"/>
  <c r="M1019" i="7"/>
  <c r="N798" i="7"/>
  <c r="L921" i="7"/>
  <c r="M988" i="7" l="1"/>
  <c r="M639" i="7"/>
  <c r="O579" i="7"/>
  <c r="J1616" i="1"/>
  <c r="J1021" i="7" s="1"/>
  <c r="M1020" i="7"/>
  <c r="M1111" i="7"/>
  <c r="M810" i="7"/>
  <c r="M1849" i="1"/>
  <c r="J1760" i="1"/>
  <c r="J1765" i="1"/>
  <c r="O1079" i="7"/>
  <c r="P1002" i="7"/>
  <c r="J851" i="8"/>
  <c r="P575" i="7"/>
  <c r="Q693" i="7"/>
  <c r="M168" i="8"/>
  <c r="M1151" i="1"/>
  <c r="S693" i="7" s="1"/>
  <c r="N1004" i="7"/>
  <c r="M1850" i="1"/>
  <c r="P1077" i="7"/>
  <c r="M216" i="1"/>
  <c r="Q561" i="7"/>
  <c r="L983" i="7"/>
  <c r="L930" i="7"/>
  <c r="L982" i="7"/>
  <c r="P946" i="7"/>
  <c r="M228" i="1"/>
  <c r="M956" i="7"/>
  <c r="M1016" i="7"/>
  <c r="J846" i="8"/>
  <c r="I1689" i="1" l="1"/>
  <c r="M958" i="7"/>
  <c r="M967" i="7"/>
  <c r="M986" i="7"/>
  <c r="Q782" i="7"/>
  <c r="M1256" i="1"/>
  <c r="S782" i="7" s="1"/>
  <c r="M62" i="8"/>
  <c r="M178" i="8"/>
  <c r="M1217" i="1"/>
  <c r="O1083" i="7"/>
  <c r="O1076" i="7"/>
  <c r="M1874" i="1"/>
  <c r="B1877" i="1" s="1"/>
  <c r="M1867" i="1"/>
  <c r="O795" i="7"/>
  <c r="O1103" i="7"/>
  <c r="N806" i="7"/>
  <c r="N1028" i="7"/>
  <c r="N1014" i="7"/>
  <c r="Q694" i="7"/>
  <c r="M170" i="8"/>
  <c r="Q978" i="7"/>
  <c r="Q970" i="7"/>
  <c r="Q968" i="7"/>
  <c r="M1152" i="1"/>
  <c r="S694" i="7" s="1"/>
  <c r="P576" i="7"/>
  <c r="N1100" i="7"/>
  <c r="P951" i="7"/>
  <c r="I1694" i="1"/>
  <c r="L961" i="7"/>
  <c r="L941" i="7"/>
  <c r="L966" i="7"/>
  <c r="Q557" i="7"/>
  <c r="M640" i="7"/>
  <c r="M812" i="7"/>
  <c r="M600" i="7"/>
  <c r="M1113" i="7"/>
  <c r="M1025" i="7"/>
  <c r="J1621" i="1"/>
  <c r="J1026" i="7" s="1"/>
  <c r="M1875" i="1"/>
  <c r="B1878" i="1" s="1"/>
  <c r="M1868" i="1"/>
  <c r="Q980" i="7"/>
  <c r="N1112" i="7" l="1"/>
  <c r="N811" i="7"/>
  <c r="Q575" i="7"/>
  <c r="M1670" i="1"/>
  <c r="M287" i="8"/>
  <c r="Q787" i="7"/>
  <c r="M1741" i="1"/>
  <c r="M1261" i="1"/>
  <c r="S787" i="7" s="1"/>
  <c r="Q946" i="7"/>
  <c r="M905" i="8"/>
  <c r="Q1077" i="7"/>
  <c r="M1815" i="1"/>
  <c r="S1077" i="7" s="1"/>
  <c r="N1015" i="7"/>
  <c r="M61" i="8"/>
  <c r="N1019" i="7"/>
  <c r="Q1086" i="7"/>
  <c r="B1823" i="1"/>
  <c r="N1030" i="7"/>
  <c r="N1031" i="7"/>
  <c r="N808" i="7"/>
  <c r="O798" i="7"/>
  <c r="M960" i="7"/>
  <c r="M987" i="7"/>
  <c r="M985" i="7"/>
  <c r="P577" i="7"/>
  <c r="Q1099" i="7"/>
  <c r="M1888" i="1"/>
  <c r="S1099" i="7" s="1"/>
  <c r="M921" i="7"/>
  <c r="I773" i="8"/>
  <c r="I778" i="8"/>
  <c r="N1032" i="7"/>
  <c r="N1033" i="7"/>
  <c r="M278" i="8"/>
  <c r="I698" i="8"/>
  <c r="I703" i="8"/>
  <c r="N988" i="7" l="1"/>
  <c r="N639" i="7"/>
  <c r="Q1002" i="7"/>
  <c r="M1597" i="1"/>
  <c r="S1002" i="7" s="1"/>
  <c r="P579" i="7"/>
  <c r="O1004" i="7"/>
  <c r="I846" i="8"/>
  <c r="I851" i="8"/>
  <c r="I1760" i="1"/>
  <c r="M930" i="7"/>
  <c r="M983" i="7"/>
  <c r="M982" i="7"/>
  <c r="N1020" i="7"/>
  <c r="I1616" i="1"/>
  <c r="I1021" i="7" s="1"/>
  <c r="N956" i="7"/>
  <c r="M277" i="8"/>
  <c r="P1079" i="7"/>
  <c r="N810" i="7"/>
  <c r="N1111" i="7"/>
  <c r="M177" i="8"/>
  <c r="B911" i="8"/>
  <c r="B913" i="8" s="1"/>
  <c r="M167" i="8"/>
  <c r="Q576" i="7"/>
  <c r="B1085" i="7"/>
  <c r="B1825" i="1"/>
  <c r="B1087" i="7" s="1"/>
  <c r="N1016" i="7"/>
  <c r="Q951" i="7"/>
  <c r="I1765" i="1"/>
  <c r="N1025" i="7" l="1"/>
  <c r="I1621" i="1"/>
  <c r="I1026" i="7" s="1"/>
  <c r="N812" i="7"/>
  <c r="N600" i="7"/>
  <c r="N1113" i="7"/>
  <c r="N640" i="7"/>
  <c r="M679" i="8"/>
  <c r="M827" i="8"/>
  <c r="M754" i="8"/>
  <c r="M286" i="8"/>
  <c r="M941" i="7"/>
  <c r="M966" i="7"/>
  <c r="M961" i="7"/>
  <c r="O1014" i="7"/>
  <c r="O1028" i="7"/>
  <c r="M925" i="8"/>
  <c r="M169" i="8"/>
  <c r="P1076" i="7"/>
  <c r="P1083" i="7"/>
  <c r="N967" i="7"/>
  <c r="N958" i="7"/>
  <c r="N986" i="7"/>
  <c r="H1694" i="1"/>
  <c r="O1100" i="7"/>
  <c r="H1689" i="1"/>
  <c r="Q577" i="7"/>
  <c r="P795" i="7"/>
  <c r="P1103" i="7"/>
  <c r="O806" i="7"/>
  <c r="O1030" i="7" l="1"/>
  <c r="O1031" i="7"/>
  <c r="H703" i="8"/>
  <c r="H778" i="8"/>
  <c r="O1019" i="7"/>
  <c r="O1033" i="7"/>
  <c r="O1032" i="7"/>
  <c r="N987" i="7"/>
  <c r="N960" i="7"/>
  <c r="N985" i="7"/>
  <c r="O1015" i="7"/>
  <c r="N921" i="7"/>
  <c r="Q579" i="7"/>
  <c r="H698" i="8"/>
  <c r="O808" i="7"/>
  <c r="P798" i="7"/>
  <c r="Q1079" i="7"/>
  <c r="M1817" i="1"/>
  <c r="S1079" i="7" s="1"/>
  <c r="H773" i="8"/>
  <c r="M903" i="8"/>
  <c r="O811" i="7"/>
  <c r="O1112" i="7"/>
  <c r="O988" i="7" l="1"/>
  <c r="O639" i="7"/>
  <c r="Q1076" i="7"/>
  <c r="M1814" i="1"/>
  <c r="S1076" i="7" s="1"/>
  <c r="O1020" i="7"/>
  <c r="H1616" i="1"/>
  <c r="H1021" i="7" s="1"/>
  <c r="O1016" i="7"/>
  <c r="N983" i="7"/>
  <c r="N930" i="7"/>
  <c r="N982" i="7"/>
  <c r="H1765" i="1"/>
  <c r="P1004" i="7"/>
  <c r="M1105" i="1"/>
  <c r="M909" i="8"/>
  <c r="B915" i="8" s="1"/>
  <c r="M902" i="8"/>
  <c r="O1111" i="7"/>
  <c r="O810" i="7"/>
  <c r="Q795" i="7"/>
  <c r="M1269" i="1"/>
  <c r="S795" i="7" s="1"/>
  <c r="H1760" i="1"/>
  <c r="H846" i="8"/>
  <c r="H851" i="8"/>
  <c r="O956" i="7"/>
  <c r="M302" i="8" l="1"/>
  <c r="M83" i="8"/>
  <c r="M84" i="8"/>
  <c r="N941" i="7"/>
  <c r="N966" i="7"/>
  <c r="N961" i="7"/>
  <c r="P1100" i="7"/>
  <c r="Q1103" i="7"/>
  <c r="M1892" i="1"/>
  <c r="S1103" i="7" s="1"/>
  <c r="G1694" i="1"/>
  <c r="P806" i="7"/>
  <c r="M1097" i="1"/>
  <c r="O1025" i="7"/>
  <c r="H1621" i="1"/>
  <c r="H1026" i="7" s="1"/>
  <c r="Q1083" i="7"/>
  <c r="M1821" i="1"/>
  <c r="O958" i="7"/>
  <c r="O967" i="7"/>
  <c r="O986" i="7"/>
  <c r="Q798" i="7"/>
  <c r="M1272" i="1"/>
  <c r="S798" i="7" s="1"/>
  <c r="G1689" i="1"/>
  <c r="O812" i="7"/>
  <c r="O640" i="7"/>
  <c r="O1113" i="7"/>
  <c r="O600" i="7"/>
  <c r="P1014" i="7"/>
  <c r="P1028" i="7"/>
  <c r="Q1004" i="7" l="1"/>
  <c r="M1599" i="1"/>
  <c r="S1004" i="7" s="1"/>
  <c r="G703" i="8"/>
  <c r="P1015" i="7"/>
  <c r="M307" i="8"/>
  <c r="P808" i="7"/>
  <c r="P1032" i="7"/>
  <c r="P1033" i="7"/>
  <c r="P1112" i="7"/>
  <c r="P811" i="7"/>
  <c r="M1672" i="1"/>
  <c r="O960" i="7"/>
  <c r="O987" i="7"/>
  <c r="O985" i="7"/>
  <c r="M68" i="8"/>
  <c r="M69" i="8"/>
  <c r="G698" i="8"/>
  <c r="P1030" i="7"/>
  <c r="P1031" i="7"/>
  <c r="G778" i="8"/>
  <c r="M929" i="8"/>
  <c r="M301" i="8"/>
  <c r="G773" i="8"/>
  <c r="O921" i="7"/>
  <c r="P1019" i="7"/>
  <c r="M1743" i="1"/>
  <c r="S1083" i="7"/>
  <c r="B1827" i="1"/>
  <c r="B1089" i="7" s="1"/>
  <c r="P988" i="7" l="1"/>
  <c r="P639" i="7"/>
  <c r="O930" i="7"/>
  <c r="O983" i="7"/>
  <c r="O982" i="7"/>
  <c r="P1020" i="7"/>
  <c r="G1616" i="1"/>
  <c r="G1021" i="7" s="1"/>
  <c r="P810" i="7"/>
  <c r="P1111" i="7"/>
  <c r="M306" i="8"/>
  <c r="P956" i="7"/>
  <c r="G851" i="8"/>
  <c r="M1213" i="1"/>
  <c r="P1016" i="7"/>
  <c r="G1760" i="1"/>
  <c r="G1765" i="1"/>
  <c r="G846" i="8"/>
  <c r="G1621" i="1" l="1"/>
  <c r="G1026" i="7" s="1"/>
  <c r="P1025" i="7"/>
  <c r="M829" i="8"/>
  <c r="M681" i="8"/>
  <c r="M181" i="8"/>
  <c r="P812" i="7"/>
  <c r="P1113" i="7"/>
  <c r="P640" i="7"/>
  <c r="P600" i="7"/>
  <c r="O966" i="7"/>
  <c r="O941" i="7"/>
  <c r="O961" i="7"/>
  <c r="M183" i="8"/>
  <c r="M1219" i="1"/>
  <c r="Q806" i="7"/>
  <c r="M1280" i="1"/>
  <c r="S806" i="7" s="1"/>
  <c r="P958" i="7"/>
  <c r="P967" i="7"/>
  <c r="P986" i="7"/>
  <c r="M756" i="8"/>
  <c r="Q811" i="7" l="1"/>
  <c r="Q1112" i="7"/>
  <c r="P921" i="7"/>
  <c r="M105" i="8"/>
  <c r="M106" i="8"/>
  <c r="P960" i="7"/>
  <c r="P985" i="7"/>
  <c r="P987" i="7"/>
  <c r="M1749" i="1"/>
  <c r="M1115" i="1"/>
  <c r="Q808" i="7"/>
  <c r="M1282" i="1"/>
  <c r="S808" i="7" s="1"/>
  <c r="M322" i="8"/>
  <c r="Q1100" i="7"/>
  <c r="M1889" i="1"/>
  <c r="S1100" i="7" s="1"/>
  <c r="M180" i="8"/>
  <c r="Q988" i="7" l="1"/>
  <c r="Q639" i="7"/>
  <c r="M100" i="8"/>
  <c r="M101" i="8"/>
  <c r="M926" i="8"/>
  <c r="M182" i="8"/>
  <c r="E1766" i="1"/>
  <c r="B1766" i="1" s="1"/>
  <c r="B1918" i="1" s="1"/>
  <c r="B1129" i="7" s="1"/>
  <c r="M1753" i="1"/>
  <c r="E1774" i="1"/>
  <c r="B1774" i="1" s="1"/>
  <c r="F1760" i="1"/>
  <c r="E1759" i="1" s="1"/>
  <c r="B1757" i="1" s="1"/>
  <c r="C1757" i="1" s="1"/>
  <c r="P930" i="7"/>
  <c r="P983" i="7"/>
  <c r="P982" i="7"/>
  <c r="M321" i="8"/>
  <c r="M325" i="8"/>
  <c r="M328" i="8"/>
  <c r="Q810" i="7"/>
  <c r="M1284" i="1"/>
  <c r="S810" i="7" s="1"/>
  <c r="B119" i="8"/>
  <c r="Q956" i="7"/>
  <c r="Q1111" i="7" l="1"/>
  <c r="M1900" i="1"/>
  <c r="S1111" i="7" s="1"/>
  <c r="M835" i="8"/>
  <c r="M1772" i="1"/>
  <c r="M1771" i="1"/>
  <c r="Q958" i="7"/>
  <c r="Q967" i="7"/>
  <c r="Q986" i="7"/>
  <c r="M1770" i="1"/>
  <c r="M1769" i="1"/>
  <c r="Q600" i="7"/>
  <c r="B1124" i="1"/>
  <c r="Q640" i="7"/>
  <c r="Q1113" i="7"/>
  <c r="Q812" i="7"/>
  <c r="M324" i="8"/>
  <c r="P961" i="7"/>
  <c r="P941" i="7"/>
  <c r="P966" i="7"/>
  <c r="M1754" i="1"/>
  <c r="B1762" i="1" s="1"/>
  <c r="F1765" i="1"/>
  <c r="E1764" i="1" s="1"/>
  <c r="B1763" i="1" s="1"/>
  <c r="M1607" i="1" l="1"/>
  <c r="S1012" i="7" s="1"/>
  <c r="Q1012" i="7"/>
  <c r="M937" i="8"/>
  <c r="M327" i="8"/>
  <c r="C1763" i="1"/>
  <c r="C1917" i="1" s="1"/>
  <c r="C1128" i="7" s="1"/>
  <c r="B1917" i="1"/>
  <c r="B1128" i="7" s="1"/>
  <c r="Q921" i="7"/>
  <c r="Q985" i="7"/>
  <c r="Q960" i="7"/>
  <c r="Q987" i="7"/>
  <c r="B1768" i="1"/>
  <c r="E852" i="8"/>
  <c r="B852" i="8" s="1"/>
  <c r="B955" i="8" s="1"/>
  <c r="E860" i="8"/>
  <c r="B860" i="8" s="1"/>
  <c r="M839" i="8"/>
  <c r="F846" i="8"/>
  <c r="E845" i="8" s="1"/>
  <c r="B843" i="8" s="1"/>
  <c r="C843" i="8" s="1"/>
  <c r="M840" i="8" l="1"/>
  <c r="B848" i="8" s="1"/>
  <c r="F851" i="8"/>
  <c r="E850" i="8" s="1"/>
  <c r="B849" i="8" s="1"/>
  <c r="M1680" i="1"/>
  <c r="M856" i="8"/>
  <c r="M855" i="8"/>
  <c r="Q1014" i="7"/>
  <c r="M1609" i="1"/>
  <c r="S1014" i="7" s="1"/>
  <c r="E1630" i="1"/>
  <c r="M858" i="8"/>
  <c r="M857" i="8"/>
  <c r="Q930" i="7"/>
  <c r="Q983" i="7"/>
  <c r="Q982" i="7"/>
  <c r="B854" i="8" l="1"/>
  <c r="M764" i="8"/>
  <c r="M689" i="8"/>
  <c r="Q1028" i="7"/>
  <c r="E1622" i="1"/>
  <c r="E1695" i="1"/>
  <c r="B1695" i="1" s="1"/>
  <c r="B1913" i="1" s="1"/>
  <c r="B1124" i="7" s="1"/>
  <c r="E1703" i="1"/>
  <c r="B1703" i="1" s="1"/>
  <c r="M1682" i="1"/>
  <c r="F1689" i="1"/>
  <c r="E1688" i="1" s="1"/>
  <c r="B1686" i="1" s="1"/>
  <c r="C1686" i="1" s="1"/>
  <c r="Q941" i="7"/>
  <c r="Q966" i="7"/>
  <c r="Q1015" i="7"/>
  <c r="M1610" i="1"/>
  <c r="Q1019" i="7"/>
  <c r="Q1032" i="7"/>
  <c r="M1627" i="1"/>
  <c r="S1032" i="7" s="1"/>
  <c r="B954" i="8"/>
  <c r="C849" i="8"/>
  <c r="C954" i="8" s="1"/>
  <c r="E1035" i="7"/>
  <c r="B1630" i="1"/>
  <c r="B1035" i="7" s="1"/>
  <c r="Q1030" i="7"/>
  <c r="M1625" i="1"/>
  <c r="S1030" i="7" s="1"/>
  <c r="Q1020" i="7" l="1"/>
  <c r="F1616" i="1"/>
  <c r="M1699" i="1"/>
  <c r="M1698" i="1"/>
  <c r="Q961" i="7"/>
  <c r="B1431" i="1"/>
  <c r="B961" i="7" s="1"/>
  <c r="M1701" i="1"/>
  <c r="M1700" i="1"/>
  <c r="E1027" i="7"/>
  <c r="B1622" i="1"/>
  <c r="E779" i="8"/>
  <c r="B779" i="8" s="1"/>
  <c r="B950" i="8" s="1"/>
  <c r="E787" i="8"/>
  <c r="B787" i="8" s="1"/>
  <c r="M766" i="8"/>
  <c r="F773" i="8"/>
  <c r="E772" i="8" s="1"/>
  <c r="B770" i="8" s="1"/>
  <c r="C770" i="8" s="1"/>
  <c r="E704" i="8"/>
  <c r="B704" i="8" s="1"/>
  <c r="B944" i="8" s="1"/>
  <c r="M691" i="8"/>
  <c r="E712" i="8"/>
  <c r="B712" i="8" s="1"/>
  <c r="F698" i="8"/>
  <c r="E697" i="8" s="1"/>
  <c r="B695" i="8" s="1"/>
  <c r="C695" i="8" s="1"/>
  <c r="Q1016" i="7"/>
  <c r="Q1031" i="7"/>
  <c r="M1626" i="1"/>
  <c r="S1031" i="7" s="1"/>
  <c r="Q1033" i="7"/>
  <c r="M1628" i="1"/>
  <c r="S1015" i="7"/>
  <c r="B1618" i="1"/>
  <c r="B511" i="8"/>
  <c r="M1683" i="1"/>
  <c r="B1691" i="1" s="1"/>
  <c r="B1911" i="1" s="1"/>
  <c r="B1122" i="7" s="1"/>
  <c r="F1694" i="1"/>
  <c r="E1693" i="1" s="1"/>
  <c r="B1692" i="1" s="1"/>
  <c r="B1697" i="1" l="1"/>
  <c r="B1914" i="1" s="1"/>
  <c r="B1125" i="7" s="1"/>
  <c r="M710" i="8"/>
  <c r="M709" i="8"/>
  <c r="M785" i="8"/>
  <c r="M784" i="8"/>
  <c r="M708" i="8"/>
  <c r="M707" i="8"/>
  <c r="M783" i="8"/>
  <c r="M782" i="8"/>
  <c r="B1023" i="7"/>
  <c r="B1905" i="1"/>
  <c r="B1116" i="7" s="1"/>
  <c r="S1033" i="7"/>
  <c r="B1624" i="1"/>
  <c r="F1621" i="1"/>
  <c r="Q1025" i="7"/>
  <c r="M692" i="8"/>
  <c r="B700" i="8" s="1"/>
  <c r="B942" i="8" s="1"/>
  <c r="F703" i="8"/>
  <c r="E702" i="8" s="1"/>
  <c r="B701" i="8" s="1"/>
  <c r="B1907" i="1"/>
  <c r="B1118" i="7" s="1"/>
  <c r="B1027" i="7"/>
  <c r="E1615" i="1"/>
  <c r="F1021" i="7"/>
  <c r="B1912" i="1"/>
  <c r="B1123" i="7" s="1"/>
  <c r="C1692" i="1"/>
  <c r="C1912" i="1" s="1"/>
  <c r="C1123" i="7" s="1"/>
  <c r="M767" i="8"/>
  <c r="B775" i="8" s="1"/>
  <c r="B948" i="8" s="1"/>
  <c r="F778" i="8"/>
  <c r="E777" i="8" s="1"/>
  <c r="B776" i="8" s="1"/>
  <c r="C701" i="8" l="1"/>
  <c r="C943" i="8" s="1"/>
  <c r="B943" i="8"/>
  <c r="E1020" i="7"/>
  <c r="B1613" i="1"/>
  <c r="B781" i="8"/>
  <c r="B951" i="8" s="1"/>
  <c r="B949" i="8"/>
  <c r="C776" i="8"/>
  <c r="C949" i="8" s="1"/>
  <c r="B1029" i="7"/>
  <c r="B1908" i="1"/>
  <c r="B1119" i="7" s="1"/>
  <c r="F1026" i="7"/>
  <c r="E1620" i="1"/>
  <c r="B706" i="8"/>
  <c r="B945" i="8" s="1"/>
  <c r="B1018" i="7" l="1"/>
  <c r="C1613" i="1"/>
  <c r="C1018" i="7" s="1"/>
  <c r="E1025" i="7"/>
  <c r="B1619" i="1"/>
  <c r="B1024" i="7" l="1"/>
  <c r="C1619" i="1"/>
  <c r="B1906" i="1"/>
  <c r="B1117" i="7" s="1"/>
  <c r="C1024" i="7" l="1"/>
  <c r="C1906" i="1"/>
  <c r="C1117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Евгений</author>
  </authors>
  <commentList>
    <comment ref="A66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  <comment ref="A664" authorId="0" shapeId="0" xr:uid="{90311622-CB2D-4CE6-AEEE-A00C5A40FE79}">
      <text>
        <r>
          <rPr>
            <b/>
            <sz val="9"/>
            <color indexed="81"/>
            <rFont val="Tahoma"/>
            <family val="2"/>
            <charset val="204"/>
          </rPr>
          <t>Евгений:</t>
        </r>
        <r>
          <rPr>
            <sz val="9"/>
            <color indexed="81"/>
            <rFont val="Tahoma"/>
            <family val="2"/>
            <charset val="204"/>
          </rPr>
          <t xml:space="preserve">
Поделить на производительность в час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Дмитрий Рябых</author>
    <author>Jonas .</author>
  </authors>
  <commentList>
    <comment ref="A39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 xml:space="preserve">Список валют.
</t>
        </r>
        <r>
          <rPr>
            <sz val="9"/>
            <color indexed="81"/>
            <rFont val="Tahoma"/>
            <family val="2"/>
            <charset val="204"/>
          </rPr>
          <t>Можно редактировать, но следите за именем области</t>
        </r>
      </text>
    </comment>
    <comment ref="D329" authorId="1" shapeId="0" xr:uid="{00000000-0006-0000-0500-000002000000}">
      <text>
        <r>
          <rPr>
            <b/>
            <sz val="9"/>
            <color indexed="81"/>
            <rFont val="Arial Cyr"/>
          </rPr>
          <t>Jonas .:</t>
        </r>
        <r>
          <rPr>
            <sz val="9"/>
            <color indexed="81"/>
            <rFont val="Arial Cyr"/>
          </rPr>
          <t xml:space="preserve">
Used English version - "end of the period" </t>
        </r>
      </text>
    </comment>
    <comment ref="D406" authorId="1" shapeId="0" xr:uid="{00000000-0006-0000-0500-000003000000}">
      <text>
        <r>
          <rPr>
            <b/>
            <sz val="9"/>
            <color indexed="81"/>
            <rFont val="Arial"/>
            <family val="2"/>
          </rPr>
          <t>Jonas .:</t>
        </r>
        <r>
          <rPr>
            <sz val="9"/>
            <color indexed="81"/>
            <rFont val="Arial"/>
            <family val="2"/>
          </rPr>
          <t xml:space="preserve">
Translated</t>
        </r>
      </text>
    </comment>
    <comment ref="D687" authorId="1" shapeId="0" xr:uid="{00000000-0006-0000-0500-000004000000}">
      <text>
        <r>
          <rPr>
            <b/>
            <sz val="9"/>
            <color indexed="81"/>
            <rFont val="Arial"/>
            <family val="2"/>
          </rPr>
          <t>Jonas .:</t>
        </r>
        <r>
          <rPr>
            <sz val="9"/>
            <color indexed="81"/>
            <rFont val="Arial"/>
            <family val="2"/>
          </rPr>
          <t xml:space="preserve">
Changed</t>
        </r>
      </text>
    </comment>
  </commentList>
</comments>
</file>

<file path=xl/sharedStrings.xml><?xml version="1.0" encoding="utf-8"?>
<sst xmlns="http://schemas.openxmlformats.org/spreadsheetml/2006/main" count="3876" uniqueCount="2701">
  <si>
    <t>Paskolos grąžinimas</t>
  </si>
  <si>
    <t>Sukauptos palūkanos</t>
  </si>
  <si>
    <t>Sumokėtos palūkanos</t>
  </si>
  <si>
    <t>Paskolos likutis laikotarpio pradžioje</t>
  </si>
  <si>
    <t>Paskolos likutis laikotarpio pabaigoje</t>
  </si>
  <si>
    <t xml:space="preserve">    iš kurių palūkanos</t>
  </si>
  <si>
    <t xml:space="preserve">    laikotarpis, per kurį buvo panaudota paskola</t>
  </si>
  <si>
    <t xml:space="preserve">    sukauptos palūkanos</t>
  </si>
  <si>
    <t xml:space="preserve"> = Viso: Gautos paskolos</t>
  </si>
  <si>
    <t xml:space="preserve"> = Viso: Grąžintos paskolos</t>
  </si>
  <si>
    <t xml:space="preserve"> = Viso: Sukauptos palūkanos</t>
  </si>
  <si>
    <t xml:space="preserve"> = Viso: Sumokėtos palūkanos</t>
  </si>
  <si>
    <t xml:space="preserve"> = Viso: Paskolos likutis</t>
  </si>
  <si>
    <t xml:space="preserve">    paskolų apyvartiniam kapitalui likutis</t>
  </si>
  <si>
    <t xml:space="preserve">    investicinių paskolų likutis</t>
  </si>
  <si>
    <t>Paskola apyvartiniam kapitalui</t>
  </si>
  <si>
    <t>Investicinė paskola</t>
  </si>
  <si>
    <t>Centrinės valdžios investicinė paskola</t>
  </si>
  <si>
    <t>Regioninės savivaldos investicinė paskola</t>
  </si>
  <si>
    <t>Paskolų padengimo rodiklis</t>
  </si>
  <si>
    <t xml:space="preserve">         PRICE OF RAW MATERIALS &amp; SUPPLIES (per unit, including VAT)</t>
  </si>
  <si>
    <t xml:space="preserve">          Žaliavų ir atsargų kaina (už vienetą su PVM)</t>
  </si>
  <si>
    <t xml:space="preserve">    на основе циклов оборачиваемости (c НДС на аванс)</t>
  </si>
  <si>
    <t>Мало!</t>
  </si>
  <si>
    <t>Too small!</t>
  </si>
  <si>
    <t>NPV федерального бюджета</t>
  </si>
  <si>
    <t>NPV территориального бюджета</t>
  </si>
  <si>
    <t>NPV for federal government</t>
  </si>
  <si>
    <t>NPV for regional and local governments</t>
  </si>
  <si>
    <t>_NPV1</t>
  </si>
  <si>
    <t>_NPV2</t>
  </si>
  <si>
    <t>_NPV3</t>
  </si>
  <si>
    <t>Net operating profit less adjusted taxes</t>
  </si>
  <si>
    <t>Discounted terminal value</t>
  </si>
  <si>
    <t>Total value</t>
  </si>
  <si>
    <t xml:space="preserve">         EFFICIENCY FOR THE GOVERNMENT</t>
  </si>
  <si>
    <t>federal</t>
  </si>
  <si>
    <t>regional / local</t>
  </si>
  <si>
    <t>Tax revenues to various governments</t>
  </si>
  <si>
    <t>Value Added Tax (VAT)</t>
  </si>
  <si>
    <t>Individual income tax</t>
  </si>
  <si>
    <t>Unified tax on imputed income</t>
  </si>
  <si>
    <t>Simplified taxation system</t>
  </si>
  <si>
    <t>Individual income tax rate</t>
  </si>
  <si>
    <t>Taxes received by federal government</t>
  </si>
  <si>
    <t>Taxes received by regional and local governments</t>
  </si>
  <si>
    <t>Financing provided by governments</t>
  </si>
  <si>
    <t>Federal government</t>
  </si>
  <si>
    <t xml:space="preserve">    grants</t>
  </si>
  <si>
    <t xml:space="preserve">    loans provided</t>
  </si>
  <si>
    <t xml:space="preserve">    loans repayment</t>
  </si>
  <si>
    <t xml:space="preserve">    interest</t>
  </si>
  <si>
    <t>Regional and local governments</t>
  </si>
  <si>
    <t>Total cash flow for federal government</t>
  </si>
  <si>
    <t>Total cash flow for regional and local governments</t>
  </si>
  <si>
    <t>Discount rate</t>
  </si>
  <si>
    <t xml:space="preserve">    discount ratio</t>
  </si>
  <si>
    <t>Discounted cash flow for federal government</t>
  </si>
  <si>
    <t>Discounted flow for regional and local governments</t>
  </si>
  <si>
    <t xml:space="preserve">  gamybos darbuotojų ir pagalbinių darbininkų atlyginimai</t>
  </si>
  <si>
    <t xml:space="preserve">  Kitos gamybos sąnaudos</t>
  </si>
  <si>
    <t>Bendrasis pelnas</t>
  </si>
  <si>
    <t>Administracijos, pardavimų ir marketingo darbuotojų atlyginimai</t>
  </si>
  <si>
    <t>Mokesčiai nemažinantys pelno mokesčio</t>
  </si>
  <si>
    <t>Ilgalaikio turto pardavimo pelnas (nuostolis)</t>
  </si>
  <si>
    <t>Statybų veiklos pelnas (nuostolis)</t>
  </si>
  <si>
    <t>Pelnas (nuostolis) dėl valiutų kursų svyravimo</t>
  </si>
  <si>
    <t>Kitos pajamos</t>
  </si>
  <si>
    <t>Kitas nuostolis</t>
  </si>
  <si>
    <t>Pelnas prieš palūkanas, mokesčius, nusidėvėjimą ir amortizaciją (EBITDA)</t>
  </si>
  <si>
    <t>Pelnas prieš palūkanas ir mokesčius (EBIT)</t>
  </si>
  <si>
    <t>Palūkanos</t>
  </si>
  <si>
    <t>Pelnas prieš mokesčius</t>
  </si>
  <si>
    <t>Grynasis pelnas (nuostolis)</t>
  </si>
  <si>
    <t>Diagrama: Grynasis pelnas</t>
  </si>
  <si>
    <t>Kitos pajamos (be PVM)</t>
  </si>
  <si>
    <t>Kiti netekimai/nuostoliai (be PVM)</t>
  </si>
  <si>
    <t>Nepaskirstytasis pelnas (per laikotarpį)</t>
  </si>
  <si>
    <t>Nepaskirstytasis pelnas (laikotarpio pradžioje, sukauptas)</t>
  </si>
  <si>
    <t>Darbo užmokestis įskaitant mokesčius</t>
  </si>
  <si>
    <t>Kitos kintamos išlaidos</t>
  </si>
  <si>
    <t>Tiesioginė gamybos savikaina</t>
  </si>
  <si>
    <t>Netiesioginė gamybos savikaina</t>
  </si>
  <si>
    <t>Bendrosios ir administracinės sąnaudos</t>
  </si>
  <si>
    <t>Pardavimų ir marketingo sąnaudos</t>
  </si>
  <si>
    <t>Pardavimų ir marketingo sąnaudos (kaip % nuo pardavimo pajamų)</t>
  </si>
  <si>
    <t xml:space="preserve">  Gamybos savikaina</t>
  </si>
  <si>
    <t xml:space="preserve">     be PVM</t>
  </si>
  <si>
    <t xml:space="preserve">     PVM</t>
  </si>
  <si>
    <t xml:space="preserve">  Administracinės sąnaudos</t>
  </si>
  <si>
    <t xml:space="preserve">  Pardavimų ir marketingo sąnaudos</t>
  </si>
  <si>
    <t>Žaliavų ir komponentų kaštai</t>
  </si>
  <si>
    <t>Gamybos darbuotojų darbo užmokestis</t>
  </si>
  <si>
    <t>Su gamybos darbuotojų darbo užmokesčiu susiję mokesčiai</t>
  </si>
  <si>
    <t>Pagalbinių darbuotojų darbo užmokestis</t>
  </si>
  <si>
    <t>Su pagalbinių darbuotojų darbo užmokesčiu susiję mokesčiai</t>
  </si>
  <si>
    <t>Pardavimų ir marketingo darbuotojų darbo užmokestis</t>
  </si>
  <si>
    <t>Зачет лизинговых платежей в себестоимости (с НДС)</t>
  </si>
  <si>
    <t>зачет лизинговых платежей (без НДС)</t>
  </si>
  <si>
    <t xml:space="preserve">         INFLATION AND MACROECONOMIC FORECASTS</t>
  </si>
  <si>
    <t xml:space="preserve"> = VISO TURTO</t>
  </si>
  <si>
    <t xml:space="preserve">  tiekėjams už žaliavas ir komponentus</t>
  </si>
  <si>
    <t xml:space="preserve">  tiekėjams už ilgalaikį turtą</t>
  </si>
  <si>
    <t>Mokėtini mokesčiai</t>
  </si>
  <si>
    <t>Trumpalaikės paskolos</t>
  </si>
  <si>
    <t>Kiti trumpalaikiai įsipareigojimai</t>
  </si>
  <si>
    <t>Ilgalaikiai įsipareigojimai</t>
  </si>
  <si>
    <t>Alcininkų nuosavybė/nuosavas kapitalas</t>
  </si>
  <si>
    <t>Nepaskirstytasis pelnas</t>
  </si>
  <si>
    <t>Kitas kapitalas</t>
  </si>
  <si>
    <t>Viso nuosavo kapitalo</t>
  </si>
  <si>
    <t xml:space="preserve"> = VISO ĮSIPAREIGOJIMŲ IR NUOSAVO KAPITALO</t>
  </si>
  <si>
    <t>Balanso patikrinimas</t>
  </si>
  <si>
    <t>Dėmesio! Balansas nesubalansuotas!</t>
  </si>
  <si>
    <t>Diagrama: Projekto turtas</t>
  </si>
  <si>
    <t>Diagrama: Projekto įsipareigojimai ir nuosavas kapitalas</t>
  </si>
  <si>
    <t>Turto grąža</t>
  </si>
  <si>
    <t>Kapitalo grąža</t>
  </si>
  <si>
    <t>Ilgalaikio turto grąža</t>
  </si>
  <si>
    <t>Parduotos produkcijos savikaina/pardavimai</t>
  </si>
  <si>
    <t>Bendrojo pelno norma</t>
  </si>
  <si>
    <t>Nekintamos išlaidos/parduotų prekių savikaina</t>
  </si>
  <si>
    <t>Lūžio taškas</t>
  </si>
  <si>
    <t>"Nenuostolingumo taškas"</t>
  </si>
  <si>
    <t>EBITDA norma</t>
  </si>
  <si>
    <t>EBIT norma</t>
  </si>
  <si>
    <t>Grynojo pelno marža</t>
  </si>
  <si>
    <t>Efektyvus pelno mokesčio tarifas</t>
  </si>
  <si>
    <t>Bendrasis likvidumo rodiklis</t>
  </si>
  <si>
    <t>Grynasis apyvartinis kapitalas</t>
  </si>
  <si>
    <t>Mokumo rodiklis</t>
  </si>
  <si>
    <t>Nuosavo ir skolinto kapitalo santykis</t>
  </si>
  <si>
    <t>Times interest earned</t>
  </si>
  <si>
    <t>Chart: Profitability</t>
  </si>
  <si>
    <t>Chart: Gross margin</t>
  </si>
  <si>
    <t>Chart: EBIT margin</t>
  </si>
  <si>
    <t xml:space="preserve">         INVESTMENT EFFICIENCY</t>
  </si>
  <si>
    <t>(real — without inflation)</t>
  </si>
  <si>
    <t>(nominal — with inflation)</t>
  </si>
  <si>
    <t>Include prior period investments</t>
  </si>
  <si>
    <t>Include residual value of project assets</t>
  </si>
  <si>
    <t>Currency of calculation:</t>
  </si>
  <si>
    <t>Annualized discount rate:</t>
  </si>
  <si>
    <t xml:space="preserve">    discount rate per period</t>
  </si>
  <si>
    <t xml:space="preserve">    discount ratio at the beginning of period</t>
  </si>
  <si>
    <t xml:space="preserve">    discount ratio at the end of period</t>
  </si>
  <si>
    <t>Cash flows included:</t>
  </si>
  <si>
    <t xml:space="preserve">    excluding interest </t>
  </si>
  <si>
    <t>Residual value of project assets</t>
  </si>
  <si>
    <t>Net cash flow</t>
  </si>
  <si>
    <t>Discounted net cash flow</t>
  </si>
  <si>
    <t>Discounted net cash flow, cumulative</t>
  </si>
  <si>
    <t>Simple payback period</t>
  </si>
  <si>
    <t xml:space="preserve">    undiscounted cash flow, cumulative</t>
  </si>
  <si>
    <t xml:space="preserve">    sign of the cash at the end of period</t>
  </si>
  <si>
    <t>Net Present Value (NPV)</t>
  </si>
  <si>
    <t>Discounted Payback Period (PBP)</t>
  </si>
  <si>
    <t xml:space="preserve">    sign of the discounted cash at the end of period</t>
  </si>
  <si>
    <t>Internal Rate of Return (IRR)</t>
  </si>
  <si>
    <t>Profitability Index (PI)</t>
  </si>
  <si>
    <t xml:space="preserve">    inflows</t>
  </si>
  <si>
    <t xml:space="preserve">    discounted inflows</t>
  </si>
  <si>
    <t>Modified Internal Rate of Return (MIRR)</t>
  </si>
  <si>
    <t>Reinvestment rate</t>
  </si>
  <si>
    <t>Discount rate for investments</t>
  </si>
  <si>
    <t>Chart: Net Present Value of Cash Flows (total investment)</t>
  </si>
  <si>
    <t xml:space="preserve">         RETURN ON EQUITY</t>
  </si>
  <si>
    <t>Chart: Net Present Value of Cash Flows (equity)</t>
  </si>
  <si>
    <t>Курс валюты</t>
  </si>
  <si>
    <t>для иностранной валюты</t>
  </si>
  <si>
    <t>Множитель прироста цен для иностранной валюты</t>
  </si>
  <si>
    <t>Ставка рефинансирования ЦБ</t>
  </si>
  <si>
    <t>Ставка процентов по кредитам, в пределах которой</t>
  </si>
  <si>
    <t>уменьшается налогооблагаемая прибыль:</t>
  </si>
  <si>
    <t>основная валюта</t>
  </si>
  <si>
    <t>иностранная валюта</t>
  </si>
  <si>
    <t>int_avg</t>
  </si>
  <si>
    <t>%</t>
  </si>
  <si>
    <t xml:space="preserve">  (отключен)</t>
  </si>
  <si>
    <t xml:space="preserve">  (включен)</t>
  </si>
  <si>
    <t>Здания и сооружения</t>
  </si>
  <si>
    <t>Земельные участки</t>
  </si>
  <si>
    <t>Нематериальные активы</t>
  </si>
  <si>
    <t>Оборудование и другие активы</t>
  </si>
  <si>
    <t>Расходы будущих периодов</t>
  </si>
  <si>
    <t>Наименование</t>
  </si>
  <si>
    <t>Валюта</t>
  </si>
  <si>
    <t>ИТОГО</t>
  </si>
  <si>
    <t>1_01</t>
  </si>
  <si>
    <t xml:space="preserve">    сумма платежей без НДС</t>
  </si>
  <si>
    <t xml:space="preserve">    ранее осуществленные инвестиции (без НДС)</t>
  </si>
  <si>
    <t xml:space="preserve">    общая стоимость актива (без НДС)</t>
  </si>
  <si>
    <t xml:space="preserve">    поставить на баланс с</t>
  </si>
  <si>
    <t xml:space="preserve">    полная сумма вложений в актив (без НДС)</t>
  </si>
  <si>
    <t xml:space="preserve">    полная балансовая стоимость</t>
  </si>
  <si>
    <t xml:space="preserve">    незавершенные инвестиции</t>
  </si>
  <si>
    <t xml:space="preserve">    кредиторская задолженность</t>
  </si>
  <si>
    <t xml:space="preserve">    амортизация (ускоренная),    для срока использования:</t>
  </si>
  <si>
    <t xml:space="preserve">    накопленная амортизация</t>
  </si>
  <si>
    <t xml:space="preserve">    остаточная стоимость</t>
  </si>
  <si>
    <t xml:space="preserve">    выплаченный НДС</t>
  </si>
  <si>
    <t xml:space="preserve">    НДС к ранее осуществленным инвестициям</t>
  </si>
  <si>
    <t xml:space="preserve">    зачет НДС</t>
  </si>
  <si>
    <t xml:space="preserve">    реализация актива (без НДС)</t>
  </si>
  <si>
    <t xml:space="preserve">    прибыль/убыток от реализации актива</t>
  </si>
  <si>
    <t xml:space="preserve">    НДС к выручке от реализации актива</t>
  </si>
  <si>
    <t xml:space="preserve">   в том числе</t>
  </si>
  <si>
    <t>Существующие внеоборотные активы</t>
  </si>
  <si>
    <t xml:space="preserve">   - здания и сооружения</t>
  </si>
  <si>
    <t xml:space="preserve">   - земельные участки</t>
  </si>
  <si>
    <t xml:space="preserve">   - нематериальные активы</t>
  </si>
  <si>
    <t xml:space="preserve">   - оборудование и другие активы</t>
  </si>
  <si>
    <t xml:space="preserve">    тип лизинга</t>
  </si>
  <si>
    <t xml:space="preserve">    № периода ввода в действие оборудования</t>
  </si>
  <si>
    <t xml:space="preserve">    срок лизинга</t>
  </si>
  <si>
    <t>Стоимость объекта (с НДС)</t>
  </si>
  <si>
    <t xml:space="preserve">    амортизационные отчисления</t>
  </si>
  <si>
    <t xml:space="preserve">    остаточная стоимость (без НДС)</t>
  </si>
  <si>
    <t>Valstybinės mokestinės pajamos</t>
  </si>
  <si>
    <t xml:space="preserve">  palūkanos</t>
  </si>
  <si>
    <t>Regioninės savivaldos</t>
  </si>
  <si>
    <t xml:space="preserve">         BASIC PROJECT PARAMETERS</t>
  </si>
  <si>
    <t>Sales (net of VAT)</t>
  </si>
  <si>
    <t>Production costs (net of VAT)</t>
  </si>
  <si>
    <t>Investment in fixed assets</t>
  </si>
  <si>
    <t>Equity investment and grants</t>
  </si>
  <si>
    <t>Loans provided</t>
  </si>
  <si>
    <t>Loans repayment</t>
  </si>
  <si>
    <t>Investment efficiency</t>
  </si>
  <si>
    <t>Return on lender(s)</t>
  </si>
  <si>
    <t xml:space="preserve">        SENSITIVITY ANALYSIS</t>
  </si>
  <si>
    <t>Company projects portfolio</t>
  </si>
  <si>
    <t xml:space="preserve">         PORTFOLIO STRUCTURE</t>
  </si>
  <si>
    <t>Company name:</t>
  </si>
  <si>
    <t>Unnamed company</t>
  </si>
  <si>
    <t>Include?</t>
  </si>
  <si>
    <t>Source</t>
  </si>
  <si>
    <t>Last update from external workbooks:</t>
  </si>
  <si>
    <t>Projects portfolio budget parameters</t>
  </si>
  <si>
    <t xml:space="preserve">  diskonto daugiklis</t>
  </si>
  <si>
    <t>Budget start month</t>
  </si>
  <si>
    <t xml:space="preserve">         INCOME TAX RECALCULATION</t>
  </si>
  <si>
    <t>Recalculate tax</t>
  </si>
  <si>
    <t>Do not recalculate tax</t>
  </si>
  <si>
    <t>Chart: Projects income</t>
  </si>
  <si>
    <t>Income tax on consolidated basis</t>
  </si>
  <si>
    <t>Income tax rate</t>
  </si>
  <si>
    <t xml:space="preserve">         CONSOLIDATED INCOME STATEMENT</t>
  </si>
  <si>
    <t xml:space="preserve">         CONSOLIDATED CASH FLOW STATEMENT</t>
  </si>
  <si>
    <t>Chart: Consolidated equity and liabilities</t>
  </si>
  <si>
    <t xml:space="preserve">         CONSOLIDATED FINANCIAL RATIOS</t>
  </si>
  <si>
    <t>Chart: Net present value of consolidated cash flows (total investment)</t>
  </si>
  <si>
    <t>Chart: Net present value of consolidated cash Flows (equity)</t>
  </si>
  <si>
    <t>Chart: Net present value of consolidated cash flows (debt)</t>
  </si>
  <si>
    <t xml:space="preserve">         CONSOLIDATED BASIC PROJECTS PARAMETERS</t>
  </si>
  <si>
    <t xml:space="preserve">   лизинговые платежи для  расчета графика платежей</t>
  </si>
  <si>
    <t>Laikotarpių pavadinimai (santykinė laiko skalė)</t>
  </si>
  <si>
    <t>Laikotarpio pradžios data</t>
  </si>
  <si>
    <t>Laikotarpių pavadinimai (absoliuti laiko skalė)</t>
  </si>
  <si>
    <t>Perskaičiuoti mokesčius</t>
  </si>
  <si>
    <t>Neperskaičiuoti mokesčių</t>
  </si>
  <si>
    <t>Diagrama: Projektų pajamos ir išlaidos</t>
  </si>
  <si>
    <t>Diagrama: Projektų pelnas</t>
  </si>
  <si>
    <t>Konsolioduotas pelno mokestis</t>
  </si>
  <si>
    <t>Pelno mokesčio norma</t>
  </si>
  <si>
    <t>Diagrama: Konsoliduotas turtas</t>
  </si>
  <si>
    <t>Diagrama: Konsoliduotas akcinis kapitalas ir įsipareigojimai</t>
  </si>
  <si>
    <t>Diagrama: Grynoji dabartinė konsoliduotų pinigų srautų vertė (visų investicijų)</t>
  </si>
  <si>
    <t>Diagrama: Grynoji dabartinė konsoliduotų pinigų srautų vertė (akcinio kapitalo)</t>
  </si>
  <si>
    <t>Diagrama: Grynoji dabartinė konsoliduotų pinigų srautų vertė (skolinto kapitalo)</t>
  </si>
  <si>
    <t>Parametrų pokytis</t>
  </si>
  <si>
    <t>Intervale</t>
  </si>
  <si>
    <t>Nuo:</t>
  </si>
  <si>
    <t xml:space="preserve">su žingsniu/etapu: </t>
  </si>
  <si>
    <t>Bendras indeksas</t>
  </si>
  <si>
    <t>Apskaičiuotų verčių lentelė</t>
  </si>
  <si>
    <t>Reikšmė</t>
  </si>
  <si>
    <t>Rezultatas</t>
  </si>
  <si>
    <t>Grafikas: Jautrumo analizė</t>
  </si>
  <si>
    <t>Jautrumo analizės rodikliai</t>
  </si>
  <si>
    <t>Gamybos ir pardavimo apimtis (produkcijos vienetais)</t>
  </si>
  <si>
    <t>Pardavimo kaina</t>
  </si>
  <si>
    <t>Pradinių investicijų vertė</t>
  </si>
  <si>
    <t>&lt;Kintamų paramentrų sąrašo pabaiga&gt;</t>
  </si>
  <si>
    <t>Visų investicijų grynoji dabartinė vertė</t>
  </si>
  <si>
    <t>Akcinio kapitalo grynoji dabartinė vertė</t>
  </si>
  <si>
    <t>Skolinto kapitalo grynoji dabartinė vertė</t>
  </si>
  <si>
    <t>Viso grynasis pelnas</t>
  </si>
  <si>
    <t>&lt;analizuojamų parametrų sąrašo pabaiga&gt;</t>
  </si>
  <si>
    <t>Regionas</t>
  </si>
  <si>
    <t>nuo planuojamo dydžio</t>
  </si>
  <si>
    <t>Įskaičiuoti</t>
  </si>
  <si>
    <t>Balansas nesubalansuotas!</t>
  </si>
  <si>
    <t>Diagrama: EBITDA</t>
  </si>
  <si>
    <t>Базовый язык интерфейса?</t>
  </si>
  <si>
    <t>Сейчас будет собрана модификация:</t>
  </si>
  <si>
    <t>СБОРКА ДИСТРИБУТИВА</t>
  </si>
  <si>
    <t>0 - нет, 1 - да</t>
  </si>
  <si>
    <t>0 - рабочая, 1 - демо, 2 - пробная</t>
  </si>
  <si>
    <t>1 - русский, 2 - английский</t>
  </si>
  <si>
    <t>Демо или пробная версия?</t>
  </si>
  <si>
    <t>Параметры программы</t>
  </si>
  <si>
    <t>Внимание! Измение этих параметров вручную приведет к неправильной работе ряда формул и макросов</t>
  </si>
  <si>
    <t>Общая величина инвестиций</t>
  </si>
  <si>
    <t>Total CAPEX</t>
  </si>
  <si>
    <t>Затраты на строительство объекта</t>
  </si>
  <si>
    <t>Construction costs</t>
  </si>
  <si>
    <r>
      <t>1 m</t>
    </r>
    <r>
      <rPr>
        <sz val="8"/>
        <rFont val="Arial Cyr"/>
      </rPr>
      <t>2 kaštai (įskaitant PVM)</t>
    </r>
  </si>
  <si>
    <t>Statybos kaštai</t>
  </si>
  <si>
    <t>Est?</t>
  </si>
  <si>
    <t>Доходы от продажи дольщикам</t>
  </si>
  <si>
    <t>Construction co-investors</t>
  </si>
  <si>
    <t>Construction sales at completion</t>
  </si>
  <si>
    <t>Незавершенные инвестиции в стартовом балансе</t>
  </si>
  <si>
    <t>ПРОЧИЕ НАЛОГИ</t>
  </si>
  <si>
    <t>OTHER TAXES</t>
  </si>
  <si>
    <t>KITOS MOKESČIAI</t>
  </si>
  <si>
    <t xml:space="preserve">    - на зарплату административного персонала</t>
  </si>
  <si>
    <t xml:space="preserve">    - на зарплату коммерческого персонала</t>
  </si>
  <si>
    <t xml:space="preserve">         СТРОИТЕЛЬСТВО: ХАРАКТЕРИСТИКИ ОБЪЕКТА</t>
  </si>
  <si>
    <t>начало работ</t>
  </si>
  <si>
    <t>конец работ</t>
  </si>
  <si>
    <t xml:space="preserve">    вознаграждение лизингодателю</t>
  </si>
  <si>
    <t xml:space="preserve">    Оплата труда (вкл. ЕСН и страхование)</t>
  </si>
  <si>
    <t xml:space="preserve">    НДС к платежам</t>
  </si>
  <si>
    <t xml:space="preserve">    авансы, уплаченные лизингодателю</t>
  </si>
  <si>
    <t xml:space="preserve">    арендованные основные средства (ост. стоимость)</t>
  </si>
  <si>
    <t xml:space="preserve">    налогооблагаемое имущество</t>
  </si>
  <si>
    <t>Выкуп основных средств по остаточной стоимости</t>
  </si>
  <si>
    <t xml:space="preserve">    балансовая стоимость после выкупа</t>
  </si>
  <si>
    <t xml:space="preserve">    остаточная стоимость после выкупа</t>
  </si>
  <si>
    <t xml:space="preserve">    амортизация средств у лизингополучателя после выкупа</t>
  </si>
  <si>
    <t xml:space="preserve">    НДС уплаченный при выкупе </t>
  </si>
  <si>
    <t xml:space="preserve"> = Итого лизинговые платежи, начисленные, без НДС</t>
  </si>
  <si>
    <t xml:space="preserve"> = Итого лизинговые платежи, уплаченные, с НДС</t>
  </si>
  <si>
    <t xml:space="preserve"> = Итого выкуп основных средств, с НДС</t>
  </si>
  <si>
    <t xml:space="preserve">    арендованные основные средства </t>
  </si>
  <si>
    <t>с выкупом (учет на балансе лизингодателя)</t>
  </si>
  <si>
    <t>с выкупом (учет на балансе лизингополучателя)</t>
  </si>
  <si>
    <t xml:space="preserve"> = Итого лизинговые платежи, начисленные, с НДС</t>
  </si>
  <si>
    <t>ЗАПАСЫ</t>
  </si>
  <si>
    <t xml:space="preserve">    минимальные остатки на складе, на</t>
  </si>
  <si>
    <t xml:space="preserve">    среднее время хранения</t>
  </si>
  <si>
    <t>Незавершенное производство</t>
  </si>
  <si>
    <t xml:space="preserve">    длительность производственного цикла</t>
  </si>
  <si>
    <t xml:space="preserve">    периодичность отгрузки</t>
  </si>
  <si>
    <t>РАСЧЕТЫ С ПОКУПАТЕЛЯМИ</t>
  </si>
  <si>
    <t>Поступления денег от продаж:</t>
  </si>
  <si>
    <t xml:space="preserve">    немедленная оплата</t>
  </si>
  <si>
    <t xml:space="preserve">    продажи с предоплатой</t>
  </si>
  <si>
    <t xml:space="preserve">    продажи в кредит</t>
  </si>
  <si>
    <t>Сумма счетов к получению</t>
  </si>
  <si>
    <t xml:space="preserve">    на основе циклов оборачиваемости</t>
  </si>
  <si>
    <t xml:space="preserve">    в соответствии с графиком оплаты продукции</t>
  </si>
  <si>
    <t>Сумма полученных авансов</t>
  </si>
  <si>
    <t>РАСЧЕТЫ С ПОСТАВЩИКАМИ</t>
  </si>
  <si>
    <t>Оплата материалов и комплектующих:</t>
  </si>
  <si>
    <t xml:space="preserve">    авансовая оплата</t>
  </si>
  <si>
    <t xml:space="preserve">    оплата в кредит</t>
  </si>
  <si>
    <t>Сумма счетов к оплате</t>
  </si>
  <si>
    <t xml:space="preserve">    в соответствии с графиком оплаты материалов</t>
  </si>
  <si>
    <t>Сумма уплаченных авансов</t>
  </si>
  <si>
    <t>РАСЧЕТЫ С БЮДЖЕТОМ</t>
  </si>
  <si>
    <t>По НДС</t>
  </si>
  <si>
    <t>По акцизам и экспортным пошлинам</t>
  </si>
  <si>
    <t>По импортным пошлинам</t>
  </si>
  <si>
    <t>По налогу на прибыль</t>
  </si>
  <si>
    <t>По прочим налогам и платежам</t>
  </si>
  <si>
    <t>РАСЧЕТЫ С ПЕРСОНАЛОМ</t>
  </si>
  <si>
    <t>Текущая задолженность по заработной плате</t>
  </si>
  <si>
    <t xml:space="preserve">    частота выплаты заработной платы</t>
  </si>
  <si>
    <t>РЕЗЕРВ ДЕНЕЖНЫХ СРЕДСТВ</t>
  </si>
  <si>
    <t>Резерв средств на обеспечение текущих расчетов</t>
  </si>
  <si>
    <t xml:space="preserve">    создавать?</t>
  </si>
  <si>
    <t xml:space="preserve">    покрытие потребности</t>
  </si>
  <si>
    <t>Итого текущих активов</t>
  </si>
  <si>
    <t>Итого текущих обязательств</t>
  </si>
  <si>
    <t>Оборотный капитал компании</t>
  </si>
  <si>
    <t>Прирост, учтенный в операционных денежных потоках</t>
  </si>
  <si>
    <t>Инвестиции в чистый оборотный капитал</t>
  </si>
  <si>
    <t>доля</t>
  </si>
  <si>
    <t>срок, дн.</t>
  </si>
  <si>
    <t>-</t>
  </si>
  <si>
    <t>Создавать резерв</t>
  </si>
  <si>
    <t>int_end</t>
  </si>
  <si>
    <t>Наименование продукта</t>
  </si>
  <si>
    <t>Номинальный объем</t>
  </si>
  <si>
    <t>ед.</t>
  </si>
  <si>
    <t>Средний коэффициент загрузки производства</t>
  </si>
  <si>
    <t xml:space="preserve">    цена без НДС и акцизов</t>
  </si>
  <si>
    <t xml:space="preserve">    акцизы</t>
  </si>
  <si>
    <t xml:space="preserve">    налог с продаж</t>
  </si>
  <si>
    <t xml:space="preserve">    НДС</t>
  </si>
  <si>
    <t>Адвалорные</t>
  </si>
  <si>
    <t>Твердые</t>
  </si>
  <si>
    <t xml:space="preserve">    к оплате от покупателей (без НДС)</t>
  </si>
  <si>
    <t xml:space="preserve">    в т.ч. акцизов, налогов и пошлин</t>
  </si>
  <si>
    <t xml:space="preserve">    НДС на поставленную продукцию</t>
  </si>
  <si>
    <t xml:space="preserve">    график оплаты (без НДС)</t>
  </si>
  <si>
    <t xml:space="preserve">    полученный НДС</t>
  </si>
  <si>
    <t xml:space="preserve">    дебиторская задолженность</t>
  </si>
  <si>
    <t xml:space="preserve">    полученные авансы</t>
  </si>
  <si>
    <t xml:space="preserve"> = Итого</t>
  </si>
  <si>
    <t xml:space="preserve">    цена без НДС</t>
  </si>
  <si>
    <t xml:space="preserve">    в том числе импортная пошлина</t>
  </si>
  <si>
    <t xml:space="preserve">    затраты на сырье и материалы без НДС</t>
  </si>
  <si>
    <t xml:space="preserve">    закуплено сырья и материалов на сумму (без НДС)</t>
  </si>
  <si>
    <t>Годовая процентная ставка</t>
  </si>
  <si>
    <t>Отсрочка выплаты процентов</t>
  </si>
  <si>
    <t>Поступление денег от кредита</t>
  </si>
  <si>
    <t>Погашение основного долга</t>
  </si>
  <si>
    <t>Выплаченные проценты</t>
  </si>
  <si>
    <t>Задолженность на конец текущего периода</t>
  </si>
  <si>
    <t xml:space="preserve">    проценты, выплачиваемые из прибыли</t>
  </si>
  <si>
    <t xml:space="preserve"> = Итого: Поступления от кредитов</t>
  </si>
  <si>
    <t xml:space="preserve"> = Итого: Погашение кредитов</t>
  </si>
  <si>
    <t xml:space="preserve"> = Итого: Выплата процентов</t>
  </si>
  <si>
    <t>Месячный оклад</t>
  </si>
  <si>
    <t>Количество</t>
  </si>
  <si>
    <t>Начисленный ЕСН и страхование</t>
  </si>
  <si>
    <t xml:space="preserve">    - на зарплату основного произв. персонала</t>
  </si>
  <si>
    <t xml:space="preserve">    - на зарплату вспомогательного произв. персонала</t>
  </si>
  <si>
    <t xml:space="preserve"> = ИТОГО ПАССИВОВ</t>
  </si>
  <si>
    <t>Контроль сходимости баланса</t>
  </si>
  <si>
    <t xml:space="preserve">    земельные участки</t>
  </si>
  <si>
    <t xml:space="preserve">    нематериальные активы</t>
  </si>
  <si>
    <t xml:space="preserve">    за внеоборотные активы</t>
  </si>
  <si>
    <t>Нераспределенная прибыль (+) / убыток (-)</t>
  </si>
  <si>
    <t>Финансовые вложения</t>
  </si>
  <si>
    <t>Существующие финансовые вложения</t>
  </si>
  <si>
    <t>периода</t>
  </si>
  <si>
    <t>Административные расходы</t>
  </si>
  <si>
    <t>Коммерческие расходы</t>
  </si>
  <si>
    <t>Коммерческие расходы как % от продаж</t>
  </si>
  <si>
    <t xml:space="preserve">    Производственные расходы</t>
  </si>
  <si>
    <t xml:space="preserve">        сумма без НДС</t>
  </si>
  <si>
    <t xml:space="preserve">        НДС</t>
  </si>
  <si>
    <t xml:space="preserve">    Административные расходы</t>
  </si>
  <si>
    <t xml:space="preserve">    Коммерческие расходы</t>
  </si>
  <si>
    <t>Расходы на материалы и комплектующие</t>
  </si>
  <si>
    <t>Зарплата основного производственного персонала</t>
  </si>
  <si>
    <t>ЕСН на зарплату основного произв. персонала</t>
  </si>
  <si>
    <t>Авансы выданные</t>
  </si>
  <si>
    <t>1_27</t>
  </si>
  <si>
    <t>Не создавать резерв</t>
  </si>
  <si>
    <t>Система налогообложения</t>
  </si>
  <si>
    <t>Налог на прибыль (общий налоговый режим)</t>
  </si>
  <si>
    <t>Единый налог на вмененный доход (специальный налоговый режим)</t>
  </si>
  <si>
    <t>Упрощенная система налогообложения (специальный налоговый режим)</t>
  </si>
  <si>
    <t>ЕДИНЫЙ НАЛОГ НА ВМЕНЕННЫЙ ДОХОД</t>
  </si>
  <si>
    <t>Физический показатель доходности</t>
  </si>
  <si>
    <t>Базовая доходность</t>
  </si>
  <si>
    <t>Коэффициент-дефлятор К1</t>
  </si>
  <si>
    <t>Корректирующий коэффициент К2</t>
  </si>
  <si>
    <t>Величина вмененного дохода</t>
  </si>
  <si>
    <t>Взносы на обязательное пенсионное страхование</t>
  </si>
  <si>
    <t>СПЕЦИАЛЬНЫЕ РЕЖИМЫ НАЛОГООБЛОЖЕНИЯ</t>
  </si>
  <si>
    <t xml:space="preserve">    облагаемая база</t>
  </si>
  <si>
    <t xml:space="preserve">    величина платежа</t>
  </si>
  <si>
    <t>Начисленный налог на вмененный доход</t>
  </si>
  <si>
    <t>УПРОЩЕННАЯ СИСТЕМА НАЛОГООБЛОЖЕНИЯ</t>
  </si>
  <si>
    <t>Объект налогообложения</t>
  </si>
  <si>
    <t>Доходы</t>
  </si>
  <si>
    <t>Доходы, уменьшенные на величину расходов</t>
  </si>
  <si>
    <t>Число строк из проекта на листе Портфель</t>
  </si>
  <si>
    <t xml:space="preserve">    расчетная величина лизинговых платежей (c НДС)</t>
  </si>
  <si>
    <t xml:space="preserve">    от продажи активов</t>
  </si>
  <si>
    <t xml:space="preserve">    от прочей деятельности</t>
  </si>
  <si>
    <t>НДС уплаченный</t>
  </si>
  <si>
    <t xml:space="preserve">    при оплате материалов и комплектующих</t>
  </si>
  <si>
    <t xml:space="preserve">    при оплате текущих затрат</t>
  </si>
  <si>
    <t>НДС к ранее осуществленным инвестициям, включаемый в затраты</t>
  </si>
  <si>
    <t>VAT on prior period investments, written off against costs</t>
  </si>
  <si>
    <t>Платежи НДС в бюджет (или возврат из бюджета)</t>
  </si>
  <si>
    <t xml:space="preserve">    выплаченный, но еще не зачтенный НДС</t>
  </si>
  <si>
    <t xml:space="preserve">    НДС к уплате в бюджет (или к возврату из бюджета)</t>
  </si>
  <si>
    <t xml:space="preserve">    отложенный возврат НДС из бюджета</t>
  </si>
  <si>
    <t>Начисления на заработную плату</t>
  </si>
  <si>
    <t xml:space="preserve">    Единый социальный налог (ЕСН)</t>
  </si>
  <si>
    <t xml:space="preserve">        ставка</t>
  </si>
  <si>
    <t xml:space="preserve">        период уплаты</t>
  </si>
  <si>
    <t xml:space="preserve">    Страхование</t>
  </si>
  <si>
    <t>Земельный налог</t>
  </si>
  <si>
    <t xml:space="preserve">    ставка (на тыс. кв. м )</t>
  </si>
  <si>
    <t xml:space="preserve">    площадь к налогообложению</t>
  </si>
  <si>
    <t>Другие налоги, относимые на текущие затраты</t>
  </si>
  <si>
    <t>Другие налоги с продаж</t>
  </si>
  <si>
    <t xml:space="preserve">    налогооблагаемая база</t>
  </si>
  <si>
    <t>Налог на имущество</t>
  </si>
  <si>
    <t xml:space="preserve">    средняя стоимость имущества за период</t>
  </si>
  <si>
    <t xml:space="preserve">    стоимость имущества, освобождаемого от налога</t>
  </si>
  <si>
    <t>Другие налоги, относимые на финансовые результаты</t>
  </si>
  <si>
    <t>Начисленный налог на прибыль</t>
  </si>
  <si>
    <t xml:space="preserve">    прибыль до налогообложения</t>
  </si>
  <si>
    <t xml:space="preserve">    проценты по кредиту, выплачиваемые из прибыли</t>
  </si>
  <si>
    <t xml:space="preserve">    льготы по налогу на прибыль</t>
  </si>
  <si>
    <t xml:space="preserve">    накопленная прибыль/убытки текущего года</t>
  </si>
  <si>
    <t xml:space="preserve">    списано убытков предыдущих лет</t>
  </si>
  <si>
    <t xml:space="preserve">    прибыль, на которую начисляется налог</t>
  </si>
  <si>
    <t>Суммарные налоговые выплаты</t>
  </si>
  <si>
    <t>дней</t>
  </si>
  <si>
    <t>возвращается из бюджета</t>
  </si>
  <si>
    <t>зачитывается при будущих расчетах</t>
  </si>
  <si>
    <t>сразу после постановки на баланс</t>
  </si>
  <si>
    <t>Период уплаты</t>
  </si>
  <si>
    <t xml:space="preserve"> НАЛОГ НА ДОБАВЛЕННУЮ СТОИМОСТЬ</t>
  </si>
  <si>
    <t>НАЛОГИ, ОТНОСИМЫЕ НА ФИНАНСОВЫЕ РЕЗУЛЬТАТЫ</t>
  </si>
  <si>
    <t>НАЛОГ НА ПРИБЫЛЬ</t>
  </si>
  <si>
    <t xml:space="preserve">    прямое возмещение налога через</t>
  </si>
  <si>
    <t>периодов</t>
  </si>
  <si>
    <t>тыс. кв. м</t>
  </si>
  <si>
    <t>Наименование налога</t>
  </si>
  <si>
    <t>Средства собственников</t>
  </si>
  <si>
    <t>Собственник 1</t>
  </si>
  <si>
    <t>Собственник 2</t>
  </si>
  <si>
    <t>Собственник 3</t>
  </si>
  <si>
    <t>Собственник 4</t>
  </si>
  <si>
    <t>Собственник 5</t>
  </si>
  <si>
    <t>Средства от инвесторов строительства</t>
  </si>
  <si>
    <t>Справка: Остаток средств на счете (текущий проект)</t>
  </si>
  <si>
    <t>Справка: Остаток средств на счете (портфель проектов)</t>
  </si>
  <si>
    <t>Тип кредита</t>
  </si>
  <si>
    <t>Валюта кредита</t>
  </si>
  <si>
    <t>Объем выполненных работ</t>
  </si>
  <si>
    <t>Оплата работ</t>
  </si>
  <si>
    <t>Итого: объем выполненных работ</t>
  </si>
  <si>
    <t xml:space="preserve">   НДС</t>
  </si>
  <si>
    <t>Итого: оплата работ</t>
  </si>
  <si>
    <t>Авансы подрядчикам (с НДС)</t>
  </si>
  <si>
    <t>Кредиторская задолженность подрядчикам (с НДС)</t>
  </si>
  <si>
    <t>НДС к ранее осуществленным инвестициям</t>
  </si>
  <si>
    <t>Рыночная стоимость недостроенного объекта</t>
  </si>
  <si>
    <t>Очередь строительства №1</t>
  </si>
  <si>
    <t>Конец строительства очереди</t>
  </si>
  <si>
    <t>Категории площадей:</t>
  </si>
  <si>
    <t>Полезная площадь очереди</t>
  </si>
  <si>
    <t>Общая площадь очереди</t>
  </si>
  <si>
    <t>Итого: полезная площадь</t>
  </si>
  <si>
    <t>Итого: общая площадь</t>
  </si>
  <si>
    <t>Внимание! Общая площадь не может быть меньше полезной площади!</t>
  </si>
  <si>
    <t>График привлечения дольщиков / соинвесторов</t>
  </si>
  <si>
    <t>График оплаты площадей</t>
  </si>
  <si>
    <t>Стоимость 1 кв. м (без НДС)</t>
  </si>
  <si>
    <t xml:space="preserve">    в том числе вознаграждение заказчику</t>
  </si>
  <si>
    <t>Поступление финансирования</t>
  </si>
  <si>
    <t xml:space="preserve">    вариант зачета НДС</t>
  </si>
  <si>
    <t>по мере оплаты актива</t>
  </si>
  <si>
    <t>после постановки актива на баланс</t>
  </si>
  <si>
    <t xml:space="preserve">    величина платежей</t>
  </si>
  <si>
    <t>1_15</t>
  </si>
  <si>
    <t xml:space="preserve">    импорт?</t>
  </si>
  <si>
    <t xml:space="preserve">    пересечение границы при импорте</t>
  </si>
  <si>
    <t>период</t>
  </si>
  <si>
    <t>нет</t>
  </si>
  <si>
    <t>да</t>
  </si>
  <si>
    <t>6.04</t>
  </si>
  <si>
    <t>Прибыльность продаж</t>
  </si>
  <si>
    <t>Доля постоянных  затрат</t>
  </si>
  <si>
    <t>Точка безубыточности</t>
  </si>
  <si>
    <t>"Запас прочности"</t>
  </si>
  <si>
    <t xml:space="preserve">Рентабельность по чистой прибыли </t>
  </si>
  <si>
    <t>Коэффициент общей ликвидности</t>
  </si>
  <si>
    <t>Чистый оборотный капитал</t>
  </si>
  <si>
    <t>Коэффициент общей платежеспособности</t>
  </si>
  <si>
    <t>Коэффициент автономии</t>
  </si>
  <si>
    <t>Доля долгосрочных кредитов в валюте баланса</t>
  </si>
  <si>
    <t>Покрытие процентов по кредитам</t>
  </si>
  <si>
    <t>Рентабельность внеоборотных активов</t>
  </si>
  <si>
    <t>Изменение чистого оборотного капитала</t>
  </si>
  <si>
    <t>1_25</t>
  </si>
  <si>
    <t>Авансы полученные</t>
  </si>
  <si>
    <t>Кредиторская задолженность перед персоналом</t>
  </si>
  <si>
    <t>1_26</t>
  </si>
  <si>
    <t>Денежные потоки от финансовой деятельности</t>
  </si>
  <si>
    <t>Суммарный денежный поток за период</t>
  </si>
  <si>
    <t>Начисленный налог</t>
  </si>
  <si>
    <t xml:space="preserve">   задолженность перед бюджетом</t>
  </si>
  <si>
    <t>1_02;int_end</t>
  </si>
  <si>
    <t>Внимание! Баланс не сходится!</t>
  </si>
  <si>
    <t>Существующие расходы будущих периодов</t>
  </si>
  <si>
    <t xml:space="preserve">    первоначальная стоимость</t>
  </si>
  <si>
    <t xml:space="preserve">    прямое возмещение НДС из бюджета</t>
  </si>
  <si>
    <t xml:space="preserve">    запасы на основе периодов оборота</t>
  </si>
  <si>
    <t xml:space="preserve">    запасы на основе графика оплаты</t>
  </si>
  <si>
    <t xml:space="preserve">     НДС к ранее осуществленным инвестициям</t>
  </si>
  <si>
    <t>Выплаченный, но не зачтенный НДС</t>
  </si>
  <si>
    <t xml:space="preserve">   - land</t>
  </si>
  <si>
    <t xml:space="preserve">   - intangible assets</t>
  </si>
  <si>
    <t xml:space="preserve">   - equipment and other assets</t>
  </si>
  <si>
    <t>Investments in process</t>
  </si>
  <si>
    <t>Financial investments</t>
  </si>
  <si>
    <t>Raw materials and components</t>
  </si>
  <si>
    <t>Work-in-progress</t>
  </si>
  <si>
    <t>Finished goods</t>
  </si>
  <si>
    <t>Accounts receivable from customers</t>
  </si>
  <si>
    <t>Advance payments to suppliers</t>
  </si>
  <si>
    <t>Deferred expenses</t>
  </si>
  <si>
    <t>VAT as assets</t>
  </si>
  <si>
    <t>Other debtors</t>
  </si>
  <si>
    <t>Cash</t>
  </si>
  <si>
    <t>Total assets</t>
  </si>
  <si>
    <t>Equity</t>
  </si>
  <si>
    <t>Retained earnings (+) / losses (-)</t>
  </si>
  <si>
    <t>Grants</t>
  </si>
  <si>
    <t>Loans</t>
  </si>
  <si>
    <t>Accounts payable to suppliers</t>
  </si>
  <si>
    <t>Accounts payable to budget</t>
  </si>
  <si>
    <t>Accounts payable to personnel</t>
  </si>
  <si>
    <t>Advances received</t>
  </si>
  <si>
    <t>Other creditors</t>
  </si>
  <si>
    <t>Total liabilities and equity</t>
  </si>
  <si>
    <t>Balance check</t>
  </si>
  <si>
    <t>Lithuanian</t>
  </si>
  <si>
    <t>Suma</t>
  </si>
  <si>
    <t>Neklinojamasis turtas</t>
  </si>
  <si>
    <t>Demo</t>
  </si>
  <si>
    <t>Bandomoji versija</t>
  </si>
  <si>
    <t>Apie</t>
  </si>
  <si>
    <t>Projektas</t>
  </si>
  <si>
    <t>Akcijų portfelis</t>
  </si>
  <si>
    <t>График: Окупаемость проекта (для полных инвестиционных затрат)</t>
  </si>
  <si>
    <t>График: Окупаемость проекта (для собственного капитала)</t>
  </si>
  <si>
    <t>График: Окупаемость проекта (для банка)</t>
  </si>
  <si>
    <t xml:space="preserve">    то же, в основной валюте</t>
  </si>
  <si>
    <t>Денежный поток для собственного капитала</t>
  </si>
  <si>
    <t>Долгосрочные темпы роста в постпрогнозный период</t>
  </si>
  <si>
    <t>Чистая прибыль</t>
  </si>
  <si>
    <t>Инвестиции</t>
  </si>
  <si>
    <t>Изменение долгосрочной задолженности</t>
  </si>
  <si>
    <t xml:space="preserve">    незавершенное производство</t>
  </si>
  <si>
    <t>Доли налоговых поступлений в бюджеты разных уровней</t>
  </si>
  <si>
    <t>федеральный</t>
  </si>
  <si>
    <t>территории</t>
  </si>
  <si>
    <t>Налог на добавленную стоимость</t>
  </si>
  <si>
    <t xml:space="preserve">Начисления на заработную плату </t>
  </si>
  <si>
    <t>Импортная пошлина</t>
  </si>
  <si>
    <t>Подоходный налог</t>
  </si>
  <si>
    <t>Ставка налога на доходы физических лиц</t>
  </si>
  <si>
    <t>Налоговые поступления в федеральный бюджет</t>
  </si>
  <si>
    <t>Налоговые поступления в территориальный бюджет</t>
  </si>
  <si>
    <t>Бюджетное финансирование</t>
  </si>
  <si>
    <t>Федеральный бюджет</t>
  </si>
  <si>
    <t xml:space="preserve">    целевое финансирование</t>
  </si>
  <si>
    <t xml:space="preserve">    кредиты выданные</t>
  </si>
  <si>
    <t>Название компании:</t>
  </si>
  <si>
    <t>Компания без названия</t>
  </si>
  <si>
    <t xml:space="preserve">         ПАРАМЕТРЫ ПРОЕКТА</t>
  </si>
  <si>
    <t xml:space="preserve">         СТАРТОВОЕ СОСТОЯНИЕ ПРОЕКТА</t>
  </si>
  <si>
    <t xml:space="preserve">         ИНФЛЯЦИЯ И МАКРОЭКОНОМИЧЕСКИЕ ПРОГНОЗЫ</t>
  </si>
  <si>
    <t xml:space="preserve">         НАЛОГИ И ПЛАТЕЖИ В ФОНДЫ</t>
  </si>
  <si>
    <t xml:space="preserve">         СТРОИТЕЛЬСТВО: ИСПОЛЬЗОВАНИЕ ОБЪЕКТА</t>
  </si>
  <si>
    <t xml:space="preserve">         СТРОИТЕЛЬСТВО: ЗАТРАТЫ НА ОБЪЕКТ</t>
  </si>
  <si>
    <t xml:space="preserve">         СТРОИТЕЛЬСТВО: ПРИВЛЕЧЕНИЕ ДОЛЬЩИКОВ / СОИНВЕСТОРОВ</t>
  </si>
  <si>
    <t xml:space="preserve">         СТРОИТЕЛЬСТВО: ПРОДАЖА ГОТОВЫХ ПЛОЩАДЕЙ</t>
  </si>
  <si>
    <t xml:space="preserve">         СТРОИТЕЛЬСТВО: БАЛАНС ПО ОБЪЕКТУ</t>
  </si>
  <si>
    <t xml:space="preserve">         СУЩЕСТВУЮЩИЕ АКТИВЫ ПРОЕКТА</t>
  </si>
  <si>
    <t xml:space="preserve">         ИНВЕСТИЦИИ ПРОЕКТА</t>
  </si>
  <si>
    <t>База, на которую начисляется налог</t>
  </si>
  <si>
    <t>Минимальный налог</t>
  </si>
  <si>
    <t xml:space="preserve">    при оплате лизинга</t>
  </si>
  <si>
    <t xml:space="preserve">    при выкупе арендованных активов</t>
  </si>
  <si>
    <t xml:space="preserve">    НДС к лизинговым платежам</t>
  </si>
  <si>
    <t xml:space="preserve">    НДС к выкупу</t>
  </si>
  <si>
    <t>Внимание! Конец стадии не может быть позднее конца строительства очереди!</t>
  </si>
  <si>
    <t>Продажа объекта после собственной эксплуатации (без НДС)</t>
  </si>
  <si>
    <t>1_01;int_end</t>
  </si>
  <si>
    <t xml:space="preserve">    инвестиционная фаза заканчивается с начала</t>
  </si>
  <si>
    <t xml:space="preserve">    при оплате прочих расходов</t>
  </si>
  <si>
    <t xml:space="preserve">    коэффициент дисконта для потока на конец периода</t>
  </si>
  <si>
    <t xml:space="preserve">    коэффициент дисконта для потока на начало периода</t>
  </si>
  <si>
    <t>Дисконтированный денежный поток</t>
  </si>
  <si>
    <t>Продленная стоимость проекта</t>
  </si>
  <si>
    <t>Дисконтированная продленная стоимость</t>
  </si>
  <si>
    <t>Итого стоимость бизнеса</t>
  </si>
  <si>
    <t>Посленалоговая операционная прибыль (NOPLAT)</t>
  </si>
  <si>
    <t>summprj;int_start</t>
  </si>
  <si>
    <t xml:space="preserve">         GAMYBOS APIMTIS (VIENETAIS)</t>
  </si>
  <si>
    <t xml:space="preserve">         ŽALIAVOS IR ATSARGOS (vienetais)</t>
  </si>
  <si>
    <t xml:space="preserve">         ŽALIAVŲ IR KOMPONENTŲ SAVIKAINA</t>
  </si>
  <si>
    <t xml:space="preserve">         KITOS KINTAMOS IŠLAIDOS</t>
  </si>
  <si>
    <t xml:space="preserve">         PERSONALO IŠLAIDOS IR DARBO UŽMOKESTIS</t>
  </si>
  <si>
    <t xml:space="preserve">         VEIKLOS SĄNAUDOS</t>
  </si>
  <si>
    <t xml:space="preserve">         NUOSAVAS KAPITALAS</t>
  </si>
  <si>
    <t xml:space="preserve">         PASKOLOS</t>
  </si>
  <si>
    <t xml:space="preserve">         INVESTICIJŲ SUVESTINĖ</t>
  </si>
  <si>
    <t xml:space="preserve">         ПЕРЕСЧЕТ НАЛОГА НА ПРИБЫЛЬ</t>
  </si>
  <si>
    <t xml:space="preserve">         ОТЧЕТ О ПРИБЫЛЯХ И УБЫТКАХ</t>
  </si>
  <si>
    <t>Advances to contractors (including VAT)</t>
  </si>
  <si>
    <t xml:space="preserve">    including VAT</t>
  </si>
  <si>
    <t>Payable to contractors (including VAT)</t>
  </si>
  <si>
    <t>Prior period investments</t>
  </si>
  <si>
    <t xml:space="preserve">         PELNO (NUOSTOLIO) ATASKAITA</t>
  </si>
  <si>
    <t xml:space="preserve">         PELNO (NUOSTOLIO) ATASKAITOS PRIEDAS</t>
  </si>
  <si>
    <t xml:space="preserve">         PINIGŲ SRAUTŲ ATASKAITA</t>
  </si>
  <si>
    <t xml:space="preserve">         BALANSAS</t>
  </si>
  <si>
    <t xml:space="preserve">         FINANSINIAI RODIKLIAI</t>
  </si>
  <si>
    <t xml:space="preserve">         INVESTICIJŲ EFEKTYVUMAS</t>
  </si>
  <si>
    <t xml:space="preserve">         AKCINIO KAPITALO GRĄŽA</t>
  </si>
  <si>
    <t xml:space="preserve">         SKOLINTO KAPITALO GRĄŽA</t>
  </si>
  <si>
    <t xml:space="preserve">         VERSLO VERTINIMAS</t>
  </si>
  <si>
    <t xml:space="preserve">         EFEKTYVUMAS BIUDŽETO ATŽVILGIU</t>
  </si>
  <si>
    <t xml:space="preserve">         JAUTRUMO ANALIZĖ</t>
  </si>
  <si>
    <t xml:space="preserve">         PORTFELIO STRUKTŪRA</t>
  </si>
  <si>
    <t xml:space="preserve">         PELNO MOKESČIŲ PERSKAIČIAVIMAS</t>
  </si>
  <si>
    <t xml:space="preserve">         KONSOLIDUOTA PELNO (NUOSTOLIO) ATASKAITA</t>
  </si>
  <si>
    <t xml:space="preserve">         KONSOLIDUOTA PINIGŲ SRAUTŲ ATASKAITA</t>
  </si>
  <si>
    <t xml:space="preserve">         KONSOLIDUOTAS BALANSAS</t>
  </si>
  <si>
    <t xml:space="preserve">         KONSOLIDUOTI FINANSINIAI RODIKLIAI</t>
  </si>
  <si>
    <t xml:space="preserve">         KONSOLIDUOTI PROJEKTŲ PAGRINDINIAI PARAMETRAI</t>
  </si>
  <si>
    <t xml:space="preserve">         PROJEKTO PARAMETRAI</t>
  </si>
  <si>
    <t>for the foreign currency</t>
  </si>
  <si>
    <t>Display absolute dates in the table headers</t>
  </si>
  <si>
    <t>mo.</t>
  </si>
  <si>
    <t>Q</t>
  </si>
  <si>
    <t>H</t>
  </si>
  <si>
    <t>yr.</t>
  </si>
  <si>
    <t>month</t>
  </si>
  <si>
    <t>quarter</t>
  </si>
  <si>
    <t>6 months</t>
  </si>
  <si>
    <t>year</t>
  </si>
  <si>
    <t>d.</t>
  </si>
  <si>
    <t>rub.</t>
  </si>
  <si>
    <t>UAH</t>
  </si>
  <si>
    <t>LVL</t>
  </si>
  <si>
    <t>KZT</t>
  </si>
  <si>
    <t>rub. 000</t>
  </si>
  <si>
    <t>$ 000</t>
  </si>
  <si>
    <t>EUR 000</t>
  </si>
  <si>
    <t>GBP 000</t>
  </si>
  <si>
    <t>UAH 000</t>
  </si>
  <si>
    <t>LVL 000</t>
  </si>
  <si>
    <t>KZT 000</t>
  </si>
  <si>
    <t>lei</t>
  </si>
  <si>
    <t>lei 000</t>
  </si>
  <si>
    <t>On</t>
  </si>
  <si>
    <t>Off</t>
  </si>
  <si>
    <t>Yes</t>
  </si>
  <si>
    <t>No</t>
  </si>
  <si>
    <t>Project start year</t>
  </si>
  <si>
    <t>Project start month</t>
  </si>
  <si>
    <t>Period numbers</t>
  </si>
  <si>
    <t>Period names (relative time scale)</t>
  </si>
  <si>
    <t>Period start date</t>
  </si>
  <si>
    <t>Period names (absolute time scale)</t>
  </si>
  <si>
    <t xml:space="preserve">         INITIAL PROJECT STATUS</t>
  </si>
  <si>
    <t>Currency</t>
  </si>
  <si>
    <t>Fixed assets</t>
  </si>
  <si>
    <t xml:space="preserve">   including:</t>
  </si>
  <si>
    <t xml:space="preserve">   - buildings and structures</t>
  </si>
  <si>
    <t xml:space="preserve">    tax rate</t>
  </si>
  <si>
    <t xml:space="preserve">    payment period</t>
  </si>
  <si>
    <t xml:space="preserve">    offset method for overpaid VAT</t>
  </si>
  <si>
    <t xml:space="preserve">    direct VAT repayment in</t>
  </si>
  <si>
    <t>periods</t>
  </si>
  <si>
    <t>VAT received</t>
  </si>
  <si>
    <t xml:space="preserve">    from customers</t>
  </si>
  <si>
    <t xml:space="preserve">    on deposition of fixed assets</t>
  </si>
  <si>
    <t xml:space="preserve">    from other activities</t>
  </si>
  <si>
    <t>VAT paid</t>
  </si>
  <si>
    <t xml:space="preserve">    included in price of raw materials and components</t>
  </si>
  <si>
    <t xml:space="preserve">    included in current expenses</t>
  </si>
  <si>
    <t xml:space="preserve">    included in other expenses</t>
  </si>
  <si>
    <t>Объем реализации (в единицах продукции)</t>
  </si>
  <si>
    <t xml:space="preserve">    included in leasing payments</t>
  </si>
  <si>
    <t xml:space="preserve">    included in price of assets purchased at the end of lease term</t>
  </si>
  <si>
    <t xml:space="preserve">    included in price of fixed assets</t>
  </si>
  <si>
    <t>VAT paid (received)</t>
  </si>
  <si>
    <t xml:space="preserve">    VAT offset on fixed assets</t>
  </si>
  <si>
    <t xml:space="preserve">    VAT paid but not yet recognized</t>
  </si>
  <si>
    <t xml:space="preserve">    VAT payable (receivable)</t>
  </si>
  <si>
    <t xml:space="preserve">    direct VAT repayment</t>
  </si>
  <si>
    <t xml:space="preserve">    deferred VAT repayment</t>
  </si>
  <si>
    <t>Payroll taxes</t>
  </si>
  <si>
    <t xml:space="preserve">    Unified social tax</t>
  </si>
  <si>
    <t xml:space="preserve">        tax rate</t>
  </si>
  <si>
    <t xml:space="preserve">        payment period</t>
  </si>
  <si>
    <t xml:space="preserve">    Insurance</t>
  </si>
  <si>
    <t xml:space="preserve">        insurance rate</t>
  </si>
  <si>
    <t>Land tax</t>
  </si>
  <si>
    <t xml:space="preserve">    tax rate (per 1,000 sq. m)</t>
  </si>
  <si>
    <t xml:space="preserve">    taxable area</t>
  </si>
  <si>
    <t>Other taxes deductible for income tax purposes</t>
  </si>
  <si>
    <t>Other sales taxes</t>
  </si>
  <si>
    <t xml:space="preserve">    rate</t>
  </si>
  <si>
    <t>Начисленные налоги специальных режимов обложения</t>
  </si>
  <si>
    <t>Пересчитать налог</t>
  </si>
  <si>
    <t xml:space="preserve">    tax base</t>
  </si>
  <si>
    <t xml:space="preserve">   taxes payable</t>
  </si>
  <si>
    <t>TAXES NOT DEDUCTIBLE FOR INCOME TAX PURPOSES</t>
  </si>
  <si>
    <t>Property tax</t>
  </si>
  <si>
    <t xml:space="preserve">    average property value</t>
  </si>
  <si>
    <t>Ataskaita</t>
  </si>
  <si>
    <t>Projekto aprašymas</t>
  </si>
  <si>
    <t>Projekto pavadinimas:</t>
  </si>
  <si>
    <t>Projektas nr. 1</t>
  </si>
  <si>
    <t>Projekto pradžios data</t>
  </si>
  <si>
    <t>Projekto trukmė</t>
  </si>
  <si>
    <t>Planavimo laikotarpis (planavimo žingsnis)</t>
  </si>
  <si>
    <t>Planavimo laikotarpio trukmė</t>
  </si>
  <si>
    <t>Pagrindinė valiuta</t>
  </si>
  <si>
    <t>Užsienio valiuta</t>
  </si>
  <si>
    <t>Finansinių ataskaitų valiuta</t>
  </si>
  <si>
    <t>Skaičiavimo metodas</t>
  </si>
  <si>
    <t>Pastovios (nominalios) kainos (neįvertinant infliacijos įtakos)</t>
  </si>
  <si>
    <t>Palyginamosios kainos (įvertinant infliacijos įtaką)</t>
  </si>
  <si>
    <t>Kalba</t>
  </si>
  <si>
    <t>Apsauga</t>
  </si>
  <si>
    <t>Rodyti datas lentelių antraštėse</t>
  </si>
  <si>
    <t>mėn.</t>
  </si>
  <si>
    <t>ketv.</t>
  </si>
  <si>
    <t>pusm.</t>
  </si>
  <si>
    <t>m.</t>
  </si>
  <si>
    <t>mėnuo</t>
  </si>
  <si>
    <t>ketvirtis</t>
  </si>
  <si>
    <t>pusmetis</t>
  </si>
  <si>
    <t>metai</t>
  </si>
  <si>
    <t>tūkst. rub.</t>
  </si>
  <si>
    <t xml:space="preserve">    возврат кредитов</t>
  </si>
  <si>
    <t xml:space="preserve">    проценты по выданным кредитам</t>
  </si>
  <si>
    <t>Территориальный бюджет</t>
  </si>
  <si>
    <t>Доходы бюджетов</t>
  </si>
  <si>
    <t>Суммарные денежные потоки федерального бюджета</t>
  </si>
  <si>
    <t>Суммарные денежные потоки территориального бюджета</t>
  </si>
  <si>
    <t>Единый налог на вмененный доход</t>
  </si>
  <si>
    <t>Упрощенная система налогообложения</t>
  </si>
  <si>
    <t>Дисконтированные потоки федерального бюджета</t>
  </si>
  <si>
    <t>Дисконтированные потоки территориального бюджета</t>
  </si>
  <si>
    <t>Выручка от реализации (без НДС)</t>
  </si>
  <si>
    <t>Затраты на производство (без НДС)</t>
  </si>
  <si>
    <t>Инвестции во внеоборотные активы</t>
  </si>
  <si>
    <t>Собственные средства и целевое финансирование</t>
  </si>
  <si>
    <t>Привлечение кредитов</t>
  </si>
  <si>
    <t>Погашение кредитов</t>
  </si>
  <si>
    <t>Эффективность полных инвестиционных затрат</t>
  </si>
  <si>
    <t>Эффективность для собственного капитала</t>
  </si>
  <si>
    <t>Эффективность для банка</t>
  </si>
  <si>
    <t>Облагаемая база до списания убытков</t>
  </si>
  <si>
    <t xml:space="preserve">         STATYBOS: INVESTUOTOJŲ / DALININKŲ PRITRAUKIMAS</t>
  </si>
  <si>
    <t xml:space="preserve">         STATYBOS: PARDAVIMAS</t>
  </si>
  <si>
    <t xml:space="preserve">         STATYBOS: NUOMA</t>
  </si>
  <si>
    <t xml:space="preserve">         STATYBOS: TURTO BALANSO ATASKAITA</t>
  </si>
  <si>
    <t xml:space="preserve">         DABARTINIS PROJEKTO TURTAS</t>
  </si>
  <si>
    <t xml:space="preserve">         PROJEKTO INVESTICIJOS</t>
  </si>
  <si>
    <t xml:space="preserve">         IŠPERKAMOJI NUOMA</t>
  </si>
  <si>
    <t xml:space="preserve">         APYVARTINIS KAPITALAS</t>
  </si>
  <si>
    <t xml:space="preserve">         PARDAVIMŲ PROGNOZĖS</t>
  </si>
  <si>
    <t xml:space="preserve">         PARDAVIMO PAJAMOS</t>
  </si>
  <si>
    <t xml:space="preserve">         PARDAVIMŲ APIMTIS (vienetais)</t>
  </si>
  <si>
    <t xml:space="preserve">         PARDAVIMŲ KAINA (už vienetą su PVM)</t>
  </si>
  <si>
    <t>end of the step</t>
  </si>
  <si>
    <t>Areas to which the step pertains</t>
  </si>
  <si>
    <t>Cost per square meter (including VAT)</t>
  </si>
  <si>
    <t>Cost of work performed</t>
  </si>
  <si>
    <t>Payments for work performed</t>
  </si>
  <si>
    <t>Total: work performed</t>
  </si>
  <si>
    <t>Total: payments for work performed</t>
  </si>
  <si>
    <t>End of the phase construction</t>
  </si>
  <si>
    <t>Area by category:</t>
  </si>
  <si>
    <t>Usable area of the phase</t>
  </si>
  <si>
    <t>Gross area of the phase</t>
  </si>
  <si>
    <t>Total: usable area</t>
  </si>
  <si>
    <t>Total: gross area</t>
  </si>
  <si>
    <t xml:space="preserve">         CONSTRUCTION: USE</t>
  </si>
  <si>
    <t>Transfer to co-investors</t>
  </si>
  <si>
    <t>Sale at completion</t>
  </si>
  <si>
    <t>Internal use</t>
  </si>
  <si>
    <t>TOTAL</t>
  </si>
  <si>
    <t xml:space="preserve">         CONSTRUCTION: COSTS</t>
  </si>
  <si>
    <t>Attention: step cannot go beyond the end of the phase!</t>
  </si>
  <si>
    <t>Construction step 1</t>
  </si>
  <si>
    <t>beginning of the step</t>
  </si>
  <si>
    <t>Не обнулять баланс проекта после его окончания</t>
  </si>
  <si>
    <t>Do not clear project's balance after its end</t>
  </si>
  <si>
    <t>Да, не обнулять</t>
  </si>
  <si>
    <t>Нет, обнулять</t>
  </si>
  <si>
    <t>Yes, don't clear</t>
  </si>
  <si>
    <t>No, clear</t>
  </si>
  <si>
    <t>Iš viso: naudingas plotas</t>
  </si>
  <si>
    <t>Iš viso: bendras plotas</t>
  </si>
  <si>
    <t>Investuotojų / dalininkų pritraukimas</t>
  </si>
  <si>
    <t>Pardavimas pabaigus statybas</t>
  </si>
  <si>
    <t>Naudojimas vidinėms reikmėms</t>
  </si>
  <si>
    <t>IŠ VISO</t>
  </si>
  <si>
    <t xml:space="preserve">         PRADINĖ PROJEKTO BŪSENA</t>
  </si>
  <si>
    <t xml:space="preserve">         INFLIACIJA IR MAKROEKONOMINĖS PROGNOZĖS</t>
  </si>
  <si>
    <t>LTL</t>
  </si>
  <si>
    <t>лат</t>
  </si>
  <si>
    <t>лит</t>
  </si>
  <si>
    <t>LTL 000</t>
  </si>
  <si>
    <t>tūkst. LTL</t>
  </si>
  <si>
    <t>тыс. лат</t>
  </si>
  <si>
    <t>тыс. лит</t>
  </si>
  <si>
    <t>Mokėtinos sumos darbuotojams</t>
  </si>
  <si>
    <t>Gauti avansai</t>
  </si>
  <si>
    <t>Kiti kreditoriai</t>
  </si>
  <si>
    <t>Exchange rate for the foreign currency</t>
  </si>
  <si>
    <t>Inflation multiplier for the foreign currency</t>
  </si>
  <si>
    <t>Central bank's discount rate</t>
  </si>
  <si>
    <t>Tax-deductible interest rate ceiling:</t>
  </si>
  <si>
    <t>primary currency</t>
  </si>
  <si>
    <t>foreign currency</t>
  </si>
  <si>
    <t xml:space="preserve">         TAXES AND DUTIES</t>
  </si>
  <si>
    <t>Taxation system</t>
  </si>
  <si>
    <t>Income tax (general tax treatment)</t>
  </si>
  <si>
    <t>Unified tax on imputed income (special tax treatment)</t>
  </si>
  <si>
    <t>Simplified taxation system (special tax treatment)</t>
  </si>
  <si>
    <t>Excise taxes and export duties</t>
  </si>
  <si>
    <t>Import duties</t>
  </si>
  <si>
    <t xml:space="preserve"> VALUE ADDED TAX</t>
  </si>
  <si>
    <t>Užsienio valiutos duomenys</t>
  </si>
  <si>
    <t>Metinis kurso kilimas</t>
  </si>
  <si>
    <t>užsienio valiutai</t>
  </si>
  <si>
    <t>Užsienio valiutos kursas</t>
  </si>
  <si>
    <t>Infliacijos koeficientas užsienio valiutai</t>
  </si>
  <si>
    <t>Centrinio banko palūkanų norma</t>
  </si>
  <si>
    <t xml:space="preserve">Mokėtinos paskolos palūkanos, mažinančios </t>
  </si>
  <si>
    <t>apmokestinamojo pelno dydį:</t>
  </si>
  <si>
    <t>pagrindinė valiuta</t>
  </si>
  <si>
    <t>užsienio valiuta</t>
  </si>
  <si>
    <t>Mokesčių sistema</t>
  </si>
  <si>
    <t>Pelno mokestis</t>
  </si>
  <si>
    <t>Bendrieji pelno mokesčiai (specialusis mokesčių režimas)</t>
  </si>
  <si>
    <t>Supaprastinta mokesčių sistema (specialusis mokesčių režimas)</t>
  </si>
  <si>
    <t>Akcizai ir eksporto muitai</t>
  </si>
  <si>
    <t>Importo muitai</t>
  </si>
  <si>
    <t xml:space="preserve">  PRIDĖTINĖS VERTĖS MOKESTIS (PVM)</t>
  </si>
  <si>
    <t xml:space="preserve">    mokesčio dydis (%)</t>
  </si>
  <si>
    <t xml:space="preserve">    mokestinis periodas</t>
  </si>
  <si>
    <t xml:space="preserve">    grąžintinas PVM</t>
  </si>
  <si>
    <t xml:space="preserve">    tiesioginis PVM grąžintinas</t>
  </si>
  <si>
    <t>periodais</t>
  </si>
  <si>
    <t>gautas PVM</t>
  </si>
  <si>
    <t xml:space="preserve">   iš klientų</t>
  </si>
  <si>
    <t xml:space="preserve">   iš ilgalaikio turto pardavimo</t>
  </si>
  <si>
    <t xml:space="preserve">   iš kitų veiklų</t>
  </si>
  <si>
    <t>sumokėtas PVM</t>
  </si>
  <si>
    <t xml:space="preserve">   įtrauktas į žaliavų ir komponentų kainas</t>
  </si>
  <si>
    <t xml:space="preserve">   įtrauktas į veiklos sąnaudas</t>
  </si>
  <si>
    <t xml:space="preserve">   įtrauktas į kitas sąnaudas</t>
  </si>
  <si>
    <t xml:space="preserve">   įtrauktas į lizingo mokėjimus</t>
  </si>
  <si>
    <t xml:space="preserve">   įtrauktas į lizinguoto turto įsigijimą, pasibaigos lizingo terminui</t>
  </si>
  <si>
    <t xml:space="preserve">   įtrauktas į ilgalaikio turto kainą</t>
  </si>
  <si>
    <t>sumokėtas (gautas) PVM</t>
  </si>
  <si>
    <t xml:space="preserve">PVM kompensacija dėl ilgaliakio turto </t>
  </si>
  <si>
    <t>sumokėtas, bet neapskaitytas PVM</t>
  </si>
  <si>
    <t>mokėtinas (gautinas) PVM</t>
  </si>
  <si>
    <t>tiesioginė PVM kompensacija</t>
  </si>
  <si>
    <t>atidėta PVM  kompensacija</t>
  </si>
  <si>
    <t>Darbo užmokesčio mokesčiai</t>
  </si>
  <si>
    <t>Bendrasis socialinis mokestis</t>
  </si>
  <si>
    <t xml:space="preserve">   mokesčio dydis (%)</t>
  </si>
  <si>
    <t xml:space="preserve">   mokestinis periodas</t>
  </si>
  <si>
    <t xml:space="preserve"> Draudimas</t>
  </si>
  <si>
    <t xml:space="preserve">   draudimo dydis </t>
  </si>
  <si>
    <t>Žemės mokestis</t>
  </si>
  <si>
    <r>
      <t xml:space="preserve">   mokesčio dydis (už 1000 m</t>
    </r>
    <r>
      <rPr>
        <sz val="10"/>
        <rFont val="Arial Cyr"/>
      </rPr>
      <t>2</t>
    </r>
    <r>
      <rPr>
        <sz val="10"/>
        <rFont val="Arial Cyr"/>
      </rPr>
      <t>)</t>
    </r>
  </si>
  <si>
    <t xml:space="preserve">   apmokestinamas plotas</t>
  </si>
  <si>
    <t>Kiti mokesčiai, mažinantys pelno mokestį</t>
  </si>
  <si>
    <t xml:space="preserve">Kiti pardavimo/prekybos mokesčiai </t>
  </si>
  <si>
    <t xml:space="preserve">   dydis (%)</t>
  </si>
  <si>
    <t xml:space="preserve">   mokestinė bazė</t>
  </si>
  <si>
    <t xml:space="preserve">   mokėtini mokesčiai </t>
  </si>
  <si>
    <t>Pelno mokesčio nemažinantys mokesčiai</t>
  </si>
  <si>
    <t>Turto mokesčiai</t>
  </si>
  <si>
    <t xml:space="preserve">  vidutinė turto vertė</t>
  </si>
  <si>
    <t>tūkst. $</t>
  </si>
  <si>
    <t>tūkst. EUR</t>
  </si>
  <si>
    <t>tūkst. GBP</t>
  </si>
  <si>
    <t>tūkst. UAH</t>
  </si>
  <si>
    <t>tūkst. LVL</t>
  </si>
  <si>
    <t>tūkst. KZT</t>
  </si>
  <si>
    <t>lėja</t>
  </si>
  <si>
    <t>tūkst. lėjų</t>
  </si>
  <si>
    <t>Įjungta</t>
  </si>
  <si>
    <t>Išjungta</t>
  </si>
  <si>
    <t>Taip</t>
  </si>
  <si>
    <t>Ne</t>
  </si>
  <si>
    <t>Projekto pradžios metai</t>
  </si>
  <si>
    <t>Projekto pradžios mėnuo</t>
  </si>
  <si>
    <t>Periodų skaičius</t>
  </si>
  <si>
    <t>Periodo pavadinimai (santykinė laiko skalė)</t>
  </si>
  <si>
    <t>Periodo pradžios data</t>
  </si>
  <si>
    <t>Periodo pavadinimai (absoliutinė laiko skalė)</t>
  </si>
  <si>
    <t>Valiuta</t>
  </si>
  <si>
    <t>Ilgalaikis turtas</t>
  </si>
  <si>
    <t xml:space="preserve">   įskaitant:</t>
  </si>
  <si>
    <t xml:space="preserve">   - pastatai ir statiniai</t>
  </si>
  <si>
    <t xml:space="preserve">   - žemė</t>
  </si>
  <si>
    <t xml:space="preserve">   - nematerialusis turtas</t>
  </si>
  <si>
    <t xml:space="preserve">   - įrengimai ir kitas turtas</t>
  </si>
  <si>
    <t>Nebaigtos investicijos</t>
  </si>
  <si>
    <t>Finansinės investicijos</t>
  </si>
  <si>
    <t>Žaliavos ir komponentai</t>
  </si>
  <si>
    <t>Nebaigta gamyba</t>
  </si>
  <si>
    <t>Pagaminta produkcija</t>
  </si>
  <si>
    <t>Gautinos sumos</t>
  </si>
  <si>
    <t>Išankstiniai mokėjimai tiekėjams</t>
  </si>
  <si>
    <t>Atidėtos išlaidos</t>
  </si>
  <si>
    <t>Gautinas PVM</t>
  </si>
  <si>
    <t>Kiti skolininkai</t>
  </si>
  <si>
    <t>Pinigai</t>
  </si>
  <si>
    <t>Iš viso turto</t>
  </si>
  <si>
    <t>Akcininkų nuosavybė</t>
  </si>
  <si>
    <t>Nepaskirstytas pelnas (+) / nuostoliai (-)</t>
  </si>
  <si>
    <t>Dotacijos</t>
  </si>
  <si>
    <t>Paskolos</t>
  </si>
  <si>
    <t>Annual inflation rate assumption</t>
  </si>
  <si>
    <t>for the primary currency</t>
  </si>
  <si>
    <t>The above, recalculated per project step</t>
  </si>
  <si>
    <t>Inflation multiplier for the primary currency</t>
  </si>
  <si>
    <t xml:space="preserve">  (off)</t>
  </si>
  <si>
    <t xml:space="preserve">  (on)</t>
  </si>
  <si>
    <t>Foreign currency data</t>
  </si>
  <si>
    <t xml:space="preserve">         MOKESČIAI IR RINKLIAVOS</t>
  </si>
  <si>
    <t xml:space="preserve">         STATYBOS: PROJEKTO PARAMETRAI</t>
  </si>
  <si>
    <t xml:space="preserve">         STATYBOS: PANAUDOJIMAS</t>
  </si>
  <si>
    <t xml:space="preserve">         STATYBOS: KAŠTAI</t>
  </si>
  <si>
    <t>Turimi finansiniai įdėjimai</t>
  </si>
  <si>
    <t>Investicijos</t>
  </si>
  <si>
    <t>Beginning of the phase construction</t>
  </si>
  <si>
    <t>Compulsory pension insurance fees</t>
  </si>
  <si>
    <t xml:space="preserve">    insurance rate</t>
  </si>
  <si>
    <t xml:space="preserve">    insurance base</t>
  </si>
  <si>
    <t xml:space="preserve">    fee value</t>
  </si>
  <si>
    <t>SIMPLIFIED TAXATION SYSTEM</t>
  </si>
  <si>
    <t>Revenue</t>
  </si>
  <si>
    <t>Revenue, reduced by the amount of expenses</t>
  </si>
  <si>
    <t>Object of taxation</t>
  </si>
  <si>
    <t>Tax accrued</t>
  </si>
  <si>
    <t>Tax base</t>
  </si>
  <si>
    <t>Minimum tax</t>
  </si>
  <si>
    <t>Total tax payments</t>
  </si>
  <si>
    <t>days</t>
  </si>
  <si>
    <t>returned by tax authorities</t>
  </si>
  <si>
    <t>used to offset future payments</t>
  </si>
  <si>
    <t>immediately after start of operations</t>
  </si>
  <si>
    <t>Payment period</t>
  </si>
  <si>
    <t>1000 sq. m</t>
  </si>
  <si>
    <t>Tax name</t>
  </si>
  <si>
    <t xml:space="preserve">         CONSTRUCTION: PROJECT PARAMETERS</t>
  </si>
  <si>
    <t>Площадь, к которой относятся работы</t>
  </si>
  <si>
    <t>Attention! Gross area cannot be less than usable area!</t>
  </si>
  <si>
    <t>period</t>
  </si>
  <si>
    <t>sq. m</t>
  </si>
  <si>
    <t>Area</t>
  </si>
  <si>
    <t>Construction phase 1</t>
  </si>
  <si>
    <t>Mokesčio pavadinimas</t>
  </si>
  <si>
    <t>Dėmesio! Bendras plotas negali būti mažesnis už naudingą plotą</t>
  </si>
  <si>
    <t>periodas</t>
  </si>
  <si>
    <r>
      <t>m</t>
    </r>
    <r>
      <rPr>
        <sz val="10"/>
        <rFont val="Arial Cyr"/>
      </rPr>
      <t>2</t>
    </r>
  </si>
  <si>
    <t>Plotas</t>
  </si>
  <si>
    <t>Statybų etapas nr. 1</t>
  </si>
  <si>
    <t>Statybų etapo pradžia</t>
  </si>
  <si>
    <t>Statybų etapo pabaiga</t>
  </si>
  <si>
    <t>Plotas pagal paskirtį:</t>
  </si>
  <si>
    <t>Gyvenamasis plotas</t>
  </si>
  <si>
    <t>Naudingas etapo plotas</t>
  </si>
  <si>
    <t>Bendras etapo plotas</t>
  </si>
  <si>
    <t>Minimalūs mokesčiai</t>
  </si>
  <si>
    <t>Iš viso mokesčių</t>
  </si>
  <si>
    <t>dienos</t>
  </si>
  <si>
    <t>grąžinami mokesčiai</t>
  </si>
  <si>
    <t>panaudojami būsimųjų mokėjimų užskaitoms</t>
  </si>
  <si>
    <t>iškart po operacijos pradžios</t>
  </si>
  <si>
    <t>Mokestinis periodas</t>
  </si>
  <si>
    <r>
      <t>1000 m</t>
    </r>
    <r>
      <rPr>
        <sz val="10"/>
        <rFont val="Arial Cyr"/>
      </rPr>
      <t>2</t>
    </r>
  </si>
  <si>
    <t>Equipment and other assets</t>
  </si>
  <si>
    <t>Present deferred expenses</t>
  </si>
  <si>
    <t>Present financial assets</t>
  </si>
  <si>
    <t>Market value of construction in progress</t>
  </si>
  <si>
    <t xml:space="preserve">         CONSTRUCTION: CO-INVESTORS</t>
  </si>
  <si>
    <t>Schedule of co-investors entry</t>
  </si>
  <si>
    <t>Schedule of payment of the areas</t>
  </si>
  <si>
    <t>Cost per square meter (excluding VAT)</t>
  </si>
  <si>
    <t xml:space="preserve">         PROJECT INVESTMENTS</t>
  </si>
  <si>
    <t>according to schedule of payments for the asset</t>
  </si>
  <si>
    <t>after start of operations</t>
  </si>
  <si>
    <t>yes</t>
  </si>
  <si>
    <t>no</t>
  </si>
  <si>
    <t>Name</t>
  </si>
  <si>
    <t xml:space="preserve">    payments</t>
  </si>
  <si>
    <t xml:space="preserve">    payments (including VAT)</t>
  </si>
  <si>
    <t xml:space="preserve">    prior period investments (net of VAT)</t>
  </si>
  <si>
    <t xml:space="preserve">    operational since</t>
  </si>
  <si>
    <t xml:space="preserve">    payments amount (net of VAT)</t>
  </si>
  <si>
    <t xml:space="preserve">    total asset cost (net of VAT)</t>
  </si>
  <si>
    <t xml:space="preserve">    total cost of asset acquisition (net of VAT)</t>
  </si>
  <si>
    <t xml:space="preserve">    investments in progress</t>
  </si>
  <si>
    <t xml:space="preserve">    accounts payable</t>
  </si>
  <si>
    <t xml:space="preserve">    depreciation (accelerated),          for useful life:</t>
  </si>
  <si>
    <t xml:space="preserve">    VAT on prior period investments</t>
  </si>
  <si>
    <t xml:space="preserve">  įskaitant PVM</t>
  </si>
  <si>
    <t>Mokėtinos sumos rangovams pagal sutartis (įskainat PVM)</t>
  </si>
  <si>
    <t>Ankstesnio laikotarpio investicijos</t>
  </si>
  <si>
    <t>Ankstesnio laikotarpio investicijų PVM</t>
  </si>
  <si>
    <t>Nebaigtų statybų rinkos vertė</t>
  </si>
  <si>
    <t>Investuotojų / dalininkų prisijungimo grafikas</t>
  </si>
  <si>
    <t>Mokėjimų grafikas pagal plotus</t>
  </si>
  <si>
    <t>1 kv.m. kaštai (įskaitant PVM)</t>
  </si>
  <si>
    <t xml:space="preserve">  įskaitant projekto valdytojo atlygį</t>
  </si>
  <si>
    <t>Gaunamas finansavimas</t>
  </si>
  <si>
    <t>Perdavimo grafikas</t>
  </si>
  <si>
    <t xml:space="preserve">  perdavimo grafikas</t>
  </si>
  <si>
    <t>Viso: gaunamas finansavimas</t>
  </si>
  <si>
    <t>Viso: perduotų plotų vertė</t>
  </si>
  <si>
    <t xml:space="preserve">  perduota plotų, m2</t>
  </si>
  <si>
    <t>Pardavimo grafikas</t>
  </si>
  <si>
    <t>Mokėjimų už plotus grafikas</t>
  </si>
  <si>
    <t>1 kv.m. kaina (su PVM)</t>
  </si>
  <si>
    <t>Parduotų plotų perdavimas pirkėjams (kv.m.)</t>
  </si>
  <si>
    <t>Pardavimo pajamos</t>
  </si>
  <si>
    <t>Piniginės įplaukos</t>
  </si>
  <si>
    <t>Perduoto turto vertė</t>
  </si>
  <si>
    <t>Plotas, kuriam netaikomas PVM (%)</t>
  </si>
  <si>
    <t>Viso: pardavimo pajamos</t>
  </si>
  <si>
    <t>Viso: perduoto turto vertė</t>
  </si>
  <si>
    <t>Perduoto turto plotas</t>
  </si>
  <si>
    <t>1 kv.m.kaina metams (su PVM)</t>
  </si>
  <si>
    <t>Nuomai skirtas plotas</t>
  </si>
  <si>
    <t>Išnuomota</t>
  </si>
  <si>
    <t>Nuomos pajamos</t>
  </si>
  <si>
    <t>Viso: nuomos pajamos</t>
  </si>
  <si>
    <t>Dėmesio! Parduoto turto % negali viršyti 100%</t>
  </si>
  <si>
    <t>Statybų sąnaudos</t>
  </si>
  <si>
    <t xml:space="preserve">  sąnaudos be PVM</t>
  </si>
  <si>
    <t xml:space="preserve">  PVM</t>
  </si>
  <si>
    <t xml:space="preserve">  atvirkštinio apmokestinimo PVM</t>
  </si>
  <si>
    <t>Užbaigti darbai</t>
  </si>
  <si>
    <t xml:space="preserve">  vertė be PVM</t>
  </si>
  <si>
    <t xml:space="preserve">  PVM užskaita</t>
  </si>
  <si>
    <t>Avansai rangovams pagal sutartis (be PVM)</t>
  </si>
  <si>
    <t>Mokėtinios sumos rangovams pagal sutartis (be PVM)</t>
  </si>
  <si>
    <t>Užbaigto turto vertė</t>
  </si>
  <si>
    <t xml:space="preserve">    vertė be PVM</t>
  </si>
  <si>
    <t>kitiems investuotojams perduodamo turto dalis (%)</t>
  </si>
  <si>
    <t>parduodamo turto dalis (%)</t>
  </si>
  <si>
    <t>Справка: Остаток средств на счете (без учета операционной деятельности)</t>
  </si>
  <si>
    <t>Info: Cash at the end of period (without cash flow from operating activities)</t>
  </si>
  <si>
    <t>Info: grynieji pinigai laikotrapio pabaigai (be pinigų srautai iš pagrindinės veiklos)</t>
  </si>
  <si>
    <t>WAGES AND SALARIES</t>
  </si>
  <si>
    <t>Wages and salaries payable</t>
  </si>
  <si>
    <t xml:space="preserve">    payday periodicity</t>
  </si>
  <si>
    <t>CASH RESERVES</t>
  </si>
  <si>
    <t>Cash reserves for short-term needs</t>
  </si>
  <si>
    <t xml:space="preserve">    create?</t>
  </si>
  <si>
    <t xml:space="preserve">    coverage ratio</t>
  </si>
  <si>
    <t>Total current assets</t>
  </si>
  <si>
    <t>Total current liabilities</t>
  </si>
  <si>
    <t>Net working capital</t>
  </si>
  <si>
    <t>Change in net working capital</t>
  </si>
  <si>
    <t>PVM užskaita</t>
  </si>
  <si>
    <t>Naudoto turto pardavimas (be PVM)</t>
  </si>
  <si>
    <t xml:space="preserve">  parduoto turto % negali viršyti 100%</t>
  </si>
  <si>
    <t xml:space="preserve">  pardavimo pelnas (nuostolis)</t>
  </si>
  <si>
    <t>Percentage of area exempt from VAT</t>
  </si>
  <si>
    <t>Total: sales</t>
  </si>
  <si>
    <t>Area of transferred property</t>
  </si>
  <si>
    <t xml:space="preserve">        CONSTRUCTION: LEASE AT COMPLETION</t>
  </si>
  <si>
    <t>Rate per sq. m per year (including VAT)</t>
  </si>
  <si>
    <t>Area available for lease</t>
  </si>
  <si>
    <t>Leased</t>
  </si>
  <si>
    <t>Lease revenue</t>
  </si>
  <si>
    <t>Total: lease revenue</t>
  </si>
  <si>
    <t xml:space="preserve">         CONSTRUCTION: PROPERTY BALANCE SHEET</t>
  </si>
  <si>
    <t>Attention! % of area sold cannot exceed 100%</t>
  </si>
  <si>
    <t>years</t>
  </si>
  <si>
    <t>Construction cost</t>
  </si>
  <si>
    <t xml:space="preserve">    cost net of VAT</t>
  </si>
  <si>
    <t xml:space="preserve">    VAT</t>
  </si>
  <si>
    <t xml:space="preserve">    reverse charge VAT</t>
  </si>
  <si>
    <t>Work completed</t>
  </si>
  <si>
    <t xml:space="preserve">    VAT offset</t>
  </si>
  <si>
    <t>Advances to contractors (excluding VAT)</t>
  </si>
  <si>
    <t>Payable to contractors (excluding VAT)</t>
  </si>
  <si>
    <t>Cost of completed property</t>
  </si>
  <si>
    <t>% of area to be transferred to co-investors</t>
  </si>
  <si>
    <t>% of area to be sold</t>
  </si>
  <si>
    <t xml:space="preserve">         UNIT PRODUCTION</t>
  </si>
  <si>
    <t xml:space="preserve">    production schedule</t>
  </si>
  <si>
    <t xml:space="preserve">    sales forecast</t>
  </si>
  <si>
    <t xml:space="preserve">    goods finished but not sold</t>
  </si>
  <si>
    <t xml:space="preserve">    work-in-progress</t>
  </si>
  <si>
    <t xml:space="preserve">         RAW MATERIALS AND SUPPLIES (units)</t>
  </si>
  <si>
    <t>Planned use per production unit</t>
  </si>
  <si>
    <t xml:space="preserve">  mokėtinas PVM pardavus turtą</t>
  </si>
  <si>
    <t>Avansai suteikti rangovams</t>
  </si>
  <si>
    <t>Avansai gauti iš rangovų</t>
  </si>
  <si>
    <t>Kitiems investuotojams perduodamo turto plotas</t>
  </si>
  <si>
    <t>Pastatai ir statiniai balanse</t>
  </si>
  <si>
    <t>Sumokėtas, bet dar nepripažintas PVM</t>
  </si>
  <si>
    <t>Perduoto ploto nurašymas:</t>
  </si>
  <si>
    <t xml:space="preserve">  einamuoju laikotarpiu perduoto turto dalis (%)</t>
  </si>
  <si>
    <t xml:space="preserve">  buhalterinė vertė</t>
  </si>
  <si>
    <t>Likusio turto vertė laikotarpio pabaigoje:</t>
  </si>
  <si>
    <t xml:space="preserve">  neparduoto turto dalis (%)</t>
  </si>
  <si>
    <t>Piniginės įplaukos už parduotą turtą</t>
  </si>
  <si>
    <t xml:space="preserve">  pajamos be PVM</t>
  </si>
  <si>
    <t>Perduodamas parduotas turtas</t>
  </si>
  <si>
    <t xml:space="preserve">   perdavimas be PVM</t>
  </si>
  <si>
    <t>Parduoto turto savikaina</t>
  </si>
  <si>
    <t xml:space="preserve">  mokėtinas PVM už gautus avansus</t>
  </si>
  <si>
    <t xml:space="preserve">  sumokėtas PVM</t>
  </si>
  <si>
    <t>Turto apskaita trumpalaikiame turte</t>
  </si>
  <si>
    <t>Nebaigtos statybos</t>
  </si>
  <si>
    <t>Ankstesnio laikotarpio investicijų PVM, įtrauktas į sąnaudas</t>
  </si>
  <si>
    <t>Dabartinis ilgalaikis turtas</t>
  </si>
  <si>
    <t xml:space="preserve">Pastatai ir statiniai </t>
  </si>
  <si>
    <t xml:space="preserve">  pradinė vertė</t>
  </si>
  <si>
    <t xml:space="preserve">    gain (loss) on disposal</t>
  </si>
  <si>
    <t xml:space="preserve">    VAT payable on disposal</t>
  </si>
  <si>
    <t>Advances to contractors</t>
  </si>
  <si>
    <t>Grynieji pinigai trumpalaikiams poreikiams</t>
  </si>
  <si>
    <t xml:space="preserve">  sudaryti?</t>
  </si>
  <si>
    <t xml:space="preserve">  poreikio padengimo koeficientas</t>
  </si>
  <si>
    <t>Viso trumpalaikio turto</t>
  </si>
  <si>
    <t>Viso trumpalaikių įsipareigojimų</t>
  </si>
  <si>
    <t>Grynoji apyvartinio kapitalo vertė</t>
  </si>
  <si>
    <t>Grynojo apyvartinio kapitalo pokytis</t>
  </si>
  <si>
    <t>Dėmesio! Stadija negali būti po etapo pabaigos!</t>
  </si>
  <si>
    <t>Statybų stadija Nr. 1</t>
  </si>
  <si>
    <t>stadijos pradžia</t>
  </si>
  <si>
    <t>stadijos pabaiga</t>
  </si>
  <si>
    <t xml:space="preserve">Sritys, su kuriomis stadija yra susijusi </t>
  </si>
  <si>
    <t>Atliktų darbų kaštai</t>
  </si>
  <si>
    <t>Atlyginimai už atliktą darbą</t>
  </si>
  <si>
    <t>Viso: atliktų darbų apimtis</t>
  </si>
  <si>
    <t>Viso: atlyginimai už atliktą darbą</t>
  </si>
  <si>
    <t>Avansai rangovams pagal sutartys (su PVM)</t>
  </si>
  <si>
    <t>VAT on prior period investments</t>
  </si>
  <si>
    <t>Iš viso turto ir įsipareigojimų</t>
  </si>
  <si>
    <t>Balanso kontrolė</t>
  </si>
  <si>
    <t>Metinė infliacija</t>
  </si>
  <si>
    <t>pagrindinei valiutai</t>
  </si>
  <si>
    <t>perskaičiuota vienai projekto laikotarpio atkarpai</t>
  </si>
  <si>
    <t>Infliacijos koeficientas pagrindinei valiutai</t>
  </si>
  <si>
    <t xml:space="preserve">  (įjungta)</t>
  </si>
  <si>
    <t xml:space="preserve">  (išjungta)</t>
  </si>
  <si>
    <t>Вычитать</t>
  </si>
  <si>
    <t>Учитывать</t>
  </si>
  <si>
    <t xml:space="preserve">    including project manager's remuneration</t>
  </si>
  <si>
    <t>Incoming financing</t>
  </si>
  <si>
    <t>Transfer schedule</t>
  </si>
  <si>
    <t xml:space="preserve">    transfer schedule</t>
  </si>
  <si>
    <t>Total: incoming financing</t>
  </si>
  <si>
    <t>Total: value of property transferred</t>
  </si>
  <si>
    <t xml:space="preserve">    area of transferred property</t>
  </si>
  <si>
    <t>Schedule of sales</t>
  </si>
  <si>
    <t>Price per square meter (including VAT)</t>
  </si>
  <si>
    <t>Transfer of completed properties to buyers (sq.m)</t>
  </si>
  <si>
    <t>Sales</t>
  </si>
  <si>
    <t>Cash received</t>
  </si>
  <si>
    <t>Value of property transferred</t>
  </si>
  <si>
    <t>Mokėtinos sumos tiekėjams</t>
  </si>
  <si>
    <t>Mokėtinos sumos biudžetui</t>
  </si>
  <si>
    <t>Savo poreikiams naudojamo turto plotas</t>
  </si>
  <si>
    <t>Neužbaigtos investicijos</t>
  </si>
  <si>
    <t>Nusidėvėjimo laikotarpis</t>
  </si>
  <si>
    <t xml:space="preserve">  bendroji buhalterinė vertė</t>
  </si>
  <si>
    <t xml:space="preserve">  nusidėvėjimas per laikotarpį</t>
  </si>
  <si>
    <t xml:space="preserve">  sukauptas nusidėvėjimas</t>
  </si>
  <si>
    <t xml:space="preserve">  grynoji buhalterinė vertė</t>
  </si>
  <si>
    <t xml:space="preserve">  neapmokestinama turto vertė</t>
  </si>
  <si>
    <t xml:space="preserve">  mokesčio dydis (%)</t>
  </si>
  <si>
    <t xml:space="preserve">  mokestinis periodas</t>
  </si>
  <si>
    <t>Kiti pelno mokesčio nemažinantys mokesčiai</t>
  </si>
  <si>
    <t xml:space="preserve">  mokestinė bazė</t>
  </si>
  <si>
    <t>Sukauptas pelno mokestis</t>
  </si>
  <si>
    <t>sukauptas pelno mokestis finansinės atskaitomybės valiuta</t>
  </si>
  <si>
    <t>pelnas prieš mokesčius</t>
  </si>
  <si>
    <t>sumokėtų palūkanų dalis viršijanti limitą, mažinantį pelno mokestį</t>
  </si>
  <si>
    <t xml:space="preserve">  neapmokestinamos pajamos</t>
  </si>
  <si>
    <t xml:space="preserve">    value of tax-exempt property </t>
  </si>
  <si>
    <t>Other taxes not deductible for income tax purposes</t>
  </si>
  <si>
    <t>INCOME TAX</t>
  </si>
  <si>
    <t>Income tax accrued</t>
  </si>
  <si>
    <t xml:space="preserve">         the above, in terms of financial report currency</t>
  </si>
  <si>
    <t xml:space="preserve">    income before tax</t>
  </si>
  <si>
    <t xml:space="preserve">    interest paid in excess of tax-deductible limit</t>
  </si>
  <si>
    <t xml:space="preserve">    exempt income</t>
  </si>
  <si>
    <t xml:space="preserve">    accumulated profit (loss) of current year</t>
  </si>
  <si>
    <t xml:space="preserve">    prior period losses written off</t>
  </si>
  <si>
    <t xml:space="preserve">    taxable income</t>
  </si>
  <si>
    <t>SPECIAL TAX TREATMENTS</t>
  </si>
  <si>
    <t>UNIFIED TAX ON IMPUTED INCOME</t>
  </si>
  <si>
    <t>times</t>
  </si>
  <si>
    <t>Accrued unified tax on imputed income</t>
  </si>
  <si>
    <t>Natural index unit</t>
  </si>
  <si>
    <t>Base yield</t>
  </si>
  <si>
    <t>K1 deflator coefficient</t>
  </si>
  <si>
    <t>K2 correcting coefficient</t>
  </si>
  <si>
    <t>Imputed income value</t>
  </si>
  <si>
    <t>Area to be used internally</t>
  </si>
  <si>
    <t>Investments in progress</t>
  </si>
  <si>
    <t>Depreciation period</t>
  </si>
  <si>
    <t xml:space="preserve">    gross book value</t>
  </si>
  <si>
    <t xml:space="preserve">    current period depreciation</t>
  </si>
  <si>
    <t xml:space="preserve">    accumulated depreciation</t>
  </si>
  <si>
    <t xml:space="preserve">    net book value</t>
  </si>
  <si>
    <t>VAT offset</t>
  </si>
  <si>
    <t>Sale of property after operating it (excluding VAT)</t>
  </si>
  <si>
    <t xml:space="preserve">    % of area sold cannot exceed 100%</t>
  </si>
  <si>
    <t xml:space="preserve">  sukauptas einamųjų metų pelnas (nuostolis) </t>
  </si>
  <si>
    <t xml:space="preserve">  ankstesnio laikotarpio nuostoliai</t>
  </si>
  <si>
    <t xml:space="preserve">  nurašyti ankstesnio laikotarpio nuostoliai</t>
  </si>
  <si>
    <t xml:space="preserve">  apmokestinamos pajamos</t>
  </si>
  <si>
    <t>Specialusis mokesčių režimas</t>
  </si>
  <si>
    <t>Bendrasis pelno mokestis</t>
  </si>
  <si>
    <t>kartai</t>
  </si>
  <si>
    <t>Sukauptas bendrasis pelno mokestis</t>
  </si>
  <si>
    <t>Tikrasis pelningumo indeksas</t>
  </si>
  <si>
    <t>Bazinis pelningumas</t>
  </si>
  <si>
    <t xml:space="preserve">Defliatoriaus koeficientas K1 </t>
  </si>
  <si>
    <t>Korekcijos koeficientas K2</t>
  </si>
  <si>
    <t>Sąlyginio uždarbio vertė</t>
  </si>
  <si>
    <t>Pirvalomojo pensijų draudimo mokesčiai</t>
  </si>
  <si>
    <t xml:space="preserve">  draudimo mokesčio dydis (%)</t>
  </si>
  <si>
    <t xml:space="preserve">  mokestinė draudimo bazė</t>
  </si>
  <si>
    <t xml:space="preserve">  mokestinė draudimo bazė/įvertintoji bazė</t>
  </si>
  <si>
    <t xml:space="preserve">  mokesčio dydis</t>
  </si>
  <si>
    <t xml:space="preserve">Supaprastinta mokesčių sistema </t>
  </si>
  <si>
    <t>Pajamos</t>
  </si>
  <si>
    <t>Pajamos, sumažintos išlaidų dydžiu</t>
  </si>
  <si>
    <t>Mokesčių objektas</t>
  </si>
  <si>
    <t>Sukaupti mokesčiai</t>
  </si>
  <si>
    <t>Mokestinė bazė iki nuostolių nurašymo</t>
  </si>
  <si>
    <t>Mokestinė bazė</t>
  </si>
  <si>
    <t>Area to be transferred to co-investors</t>
  </si>
  <si>
    <t>Buildings and structures on the balance sheet</t>
  </si>
  <si>
    <t>VAT paid but not yet recognized</t>
  </si>
  <si>
    <t>Writing off the transferred area:</t>
  </si>
  <si>
    <t xml:space="preserve">    % of area transferred in the current period</t>
  </si>
  <si>
    <t xml:space="preserve">    book value</t>
  </si>
  <si>
    <t xml:space="preserve">    % of area unsold </t>
  </si>
  <si>
    <t>Существующие активы</t>
  </si>
  <si>
    <t>Present assets</t>
  </si>
  <si>
    <t>Dabartinis turtas</t>
  </si>
  <si>
    <t>Cost of properties sold</t>
  </si>
  <si>
    <t xml:space="preserve">    VAT payable on advances</t>
  </si>
  <si>
    <t xml:space="preserve">    VAT paid</t>
  </si>
  <si>
    <t>Accounts receivable</t>
  </si>
  <si>
    <t xml:space="preserve">   revenue net of VAT</t>
  </si>
  <si>
    <t>The property is treated as a current asset</t>
  </si>
  <si>
    <t xml:space="preserve">         PRESENT PROJECT ASSETS</t>
  </si>
  <si>
    <t>Present fixed assets</t>
  </si>
  <si>
    <t>Buildings and structures</t>
  </si>
  <si>
    <t xml:space="preserve">    initial value</t>
  </si>
  <si>
    <t xml:space="preserve">    depreciation (straight-line),          for useful life:</t>
  </si>
  <si>
    <t xml:space="preserve">    sale of asset (net of VAT)</t>
  </si>
  <si>
    <t xml:space="preserve">    gain / loss from sale of asset</t>
  </si>
  <si>
    <t xml:space="preserve">    VAT payable on proceeds from sale of asset</t>
  </si>
  <si>
    <t>Land</t>
  </si>
  <si>
    <t>Intangible assets</t>
  </si>
  <si>
    <t>Neužbaigtos investicijos remiantis pradiniu balansu</t>
  </si>
  <si>
    <t xml:space="preserve">  ankstesniojo laikotarpio investicijų PVM</t>
  </si>
  <si>
    <t>Neužbaigtos investicijos remiantis skaičiavimo lentelėmis</t>
  </si>
  <si>
    <t>Ansktesniojo laikotarpio investicijos efektyvumo vertinimui</t>
  </si>
  <si>
    <t xml:space="preserve"> = Viso: Žemė</t>
  </si>
  <si>
    <t xml:space="preserve"> = Viso: Pastatai ir statiniai</t>
  </si>
  <si>
    <t xml:space="preserve">  avansiniai mokėjimai</t>
  </si>
  <si>
    <t xml:space="preserve">  nusidėvėjimas</t>
  </si>
  <si>
    <t xml:space="preserve">  pelnas (nuostolis) iš statybų veiklos</t>
  </si>
  <si>
    <t xml:space="preserve"> = Viso: Įranga ir kiti įrengimai</t>
  </si>
  <si>
    <t xml:space="preserve"> = Viso: nematerialusis turtas</t>
  </si>
  <si>
    <t xml:space="preserve"> = Viso: finansinis turtas</t>
  </si>
  <si>
    <t xml:space="preserve">    imported?</t>
  </si>
  <si>
    <t xml:space="preserve">    date of importing</t>
  </si>
  <si>
    <t xml:space="preserve">    import customs duty</t>
  </si>
  <si>
    <t>Financial assets</t>
  </si>
  <si>
    <t xml:space="preserve">    financial assets yield</t>
  </si>
  <si>
    <t xml:space="preserve">    advances paid</t>
  </si>
  <si>
    <t>Interest paid during the investment stage</t>
  </si>
  <si>
    <t xml:space="preserve">    investment stage ends in the</t>
  </si>
  <si>
    <t>Total prior period investments</t>
  </si>
  <si>
    <t>Investments in progress according to the initial balance sheet</t>
  </si>
  <si>
    <t>Investments in progress according to calculation tables</t>
  </si>
  <si>
    <t>Prior period investments for efficiency assessment</t>
  </si>
  <si>
    <t xml:space="preserve">         СТРОИТЕЛЬСТВО: СДАЧА ПЛОЩАДЕЙ В АРЕНДУ</t>
  </si>
  <si>
    <t xml:space="preserve">         АНАЛИЗ ЧУВСТВИТЕЛЬНОСТИ</t>
  </si>
  <si>
    <t xml:space="preserve"> = Total: Land</t>
  </si>
  <si>
    <t xml:space="preserve">    advanced payments</t>
  </si>
  <si>
    <t xml:space="preserve">    depreciation</t>
  </si>
  <si>
    <t xml:space="preserve">    gain (loss) from construction activities</t>
  </si>
  <si>
    <t xml:space="preserve"> = Total: Equipment and other assets</t>
  </si>
  <si>
    <t xml:space="preserve"> = Total: Intangible assets</t>
  </si>
  <si>
    <t xml:space="preserve"> = Total: Financial assets</t>
  </si>
  <si>
    <t xml:space="preserve"> = Total: Deferred expenses</t>
  </si>
  <si>
    <t xml:space="preserve"> = Total: ALL ASSETS</t>
  </si>
  <si>
    <t xml:space="preserve">         LEASING</t>
  </si>
  <si>
    <t xml:space="preserve">    type of lease</t>
  </si>
  <si>
    <t xml:space="preserve">    No. of period in which equipment operation started</t>
  </si>
  <si>
    <t xml:space="preserve">    leasing term</t>
  </si>
  <si>
    <t>Equipment cost (including VAT)</t>
  </si>
  <si>
    <t xml:space="preserve">    net book value (net of VAT)</t>
  </si>
  <si>
    <t xml:space="preserve">    lessor's remuneration</t>
  </si>
  <si>
    <t xml:space="preserve">    anticipated leasing payments (net of VAT)</t>
  </si>
  <si>
    <t xml:space="preserve">    anticipated leasing payments (including VAT)</t>
  </si>
  <si>
    <t>Advance payment (including VAT)</t>
  </si>
  <si>
    <t>Actual leasing payments (including VAT)</t>
  </si>
  <si>
    <t xml:space="preserve">    advances paid to lessor</t>
  </si>
  <si>
    <t xml:space="preserve">    rented fixed assets (net book value)</t>
  </si>
  <si>
    <t xml:space="preserve">    taxable property</t>
  </si>
  <si>
    <t>Asset purchase at the end of lease term at net book value</t>
  </si>
  <si>
    <t xml:space="preserve">    gross book value after purchase</t>
  </si>
  <si>
    <t xml:space="preserve">    net book value after purchase</t>
  </si>
  <si>
    <t xml:space="preserve">    depreciation charges after purchase</t>
  </si>
  <si>
    <t xml:space="preserve">    VAT paid at purchase</t>
  </si>
  <si>
    <t xml:space="preserve"> = Total leasing payments, accrued, net of VAT</t>
  </si>
  <si>
    <t xml:space="preserve"> = Total leasing payments, accrued, including VAT</t>
  </si>
  <si>
    <t xml:space="preserve"> = Total leasing payments, paid, including VAT</t>
  </si>
  <si>
    <t>Changes included in operating cash flows</t>
  </si>
  <si>
    <t>Investment in working capital</t>
  </si>
  <si>
    <t>percentage of total</t>
  </si>
  <si>
    <t>term, days</t>
  </si>
  <si>
    <t>Create reserves</t>
  </si>
  <si>
    <t>Do not create reserves</t>
  </si>
  <si>
    <t xml:space="preserve">         SALES FORECAST</t>
  </si>
  <si>
    <t>Product (service) name</t>
  </si>
  <si>
    <t>Nominal volume</t>
  </si>
  <si>
    <t>unit</t>
  </si>
  <si>
    <t>Average capacity utilization</t>
  </si>
  <si>
    <t xml:space="preserve">         UNIT SALES</t>
  </si>
  <si>
    <t xml:space="preserve">         SALES PRICE (per unit, including VAT)</t>
  </si>
  <si>
    <t xml:space="preserve">    price net of VAT and excise taxes</t>
  </si>
  <si>
    <t xml:space="preserve">    excise taxes</t>
  </si>
  <si>
    <t xml:space="preserve">    sales tax</t>
  </si>
  <si>
    <t>Ad valorem</t>
  </si>
  <si>
    <t>Fixed</t>
  </si>
  <si>
    <t xml:space="preserve">         SALES</t>
  </si>
  <si>
    <t xml:space="preserve">    sales (net of VAT)</t>
  </si>
  <si>
    <t xml:space="preserve">    of which taxes and duties</t>
  </si>
  <si>
    <t xml:space="preserve">    VAT accrued</t>
  </si>
  <si>
    <t xml:space="preserve">    payments (net of VAT)</t>
  </si>
  <si>
    <t xml:space="preserve">    VAT received</t>
  </si>
  <si>
    <t xml:space="preserve">    accounts receivable</t>
  </si>
  <si>
    <t xml:space="preserve">    advances</t>
  </si>
  <si>
    <t xml:space="preserve"> = Total</t>
  </si>
  <si>
    <t>VAT</t>
  </si>
  <si>
    <t>Income tax</t>
  </si>
  <si>
    <t>Other taxes</t>
  </si>
  <si>
    <t xml:space="preserve">  gauti išankstiniai apmokėjimai</t>
  </si>
  <si>
    <t xml:space="preserve">  pardavimai su pikėjų įsiskolonimu</t>
  </si>
  <si>
    <t xml:space="preserve">  remiantis apyvartumo rodikliu</t>
  </si>
  <si>
    <t xml:space="preserve">  remiantis gautinų sumų apmokėjimo grafiku</t>
  </si>
  <si>
    <t>Gauti išankstiniai mokėjimai</t>
  </si>
  <si>
    <t>MOKĖJIMAI TIEKĖJAMS</t>
  </si>
  <si>
    <t>Mokėjimai už žaliavas ir komponentus</t>
  </si>
  <si>
    <t xml:space="preserve">  sumokėtos sumos</t>
  </si>
  <si>
    <t xml:space="preserve">  sumokėti išankstiniai mokėjimai</t>
  </si>
  <si>
    <t xml:space="preserve">  skolos tiekėjams</t>
  </si>
  <si>
    <t>Mokėtinos sumos</t>
  </si>
  <si>
    <t xml:space="preserve">  remiantis mokėtinų sumų apmokėjimo grafiku</t>
  </si>
  <si>
    <t>Išankstiniai mokėjimai</t>
  </si>
  <si>
    <t>MOKĖTINI MOKESČIAI</t>
  </si>
  <si>
    <t>PVM</t>
  </si>
  <si>
    <t>Akcizų ir eksporto muitų mokesčiai</t>
  </si>
  <si>
    <t>Importo muito mokesčiai</t>
  </si>
  <si>
    <t>Kiti mokesčiai</t>
  </si>
  <si>
    <t>DARBO UŽMOKESTIS</t>
  </si>
  <si>
    <t>Mokėtinas darbo užmokestis</t>
  </si>
  <si>
    <t xml:space="preserve">  mokėjimo dienos periodiškumas</t>
  </si>
  <si>
    <t>GRYNIEJI PINIGAI</t>
  </si>
  <si>
    <t>Earnings before interest, taxes, depreciation and amortization (EBITDA)</t>
  </si>
  <si>
    <t>Earnings before interest and taxes (EBIT)</t>
  </si>
  <si>
    <t>Interest</t>
  </si>
  <si>
    <t>Earnings before income tax</t>
  </si>
  <si>
    <t>Net income (loss)</t>
  </si>
  <si>
    <t xml:space="preserve">         INCOME STATEMENT ADDENDUM</t>
  </si>
  <si>
    <t>Investicijos į apyvartinį kapitalą</t>
  </si>
  <si>
    <t>procentais nuo viso</t>
  </si>
  <si>
    <t>terminas, dienos</t>
  </si>
  <si>
    <t>Sudaryti rezervą</t>
  </si>
  <si>
    <t>Nesudaryti rezervo</t>
  </si>
  <si>
    <t>Prekės (paslaugos) pavadinimas</t>
  </si>
  <si>
    <t>Nominali apimtis</t>
  </si>
  <si>
    <t>vienetas</t>
  </si>
  <si>
    <t>Vidutinis pajėgumų naudojimas</t>
  </si>
  <si>
    <t xml:space="preserve">  kaina be PVM ir be akcizo</t>
  </si>
  <si>
    <t xml:space="preserve">  akcizai</t>
  </si>
  <si>
    <t xml:space="preserve">  pardavimo mokesčiai</t>
  </si>
  <si>
    <t>Advalioriniai muitai (% nuo kainos)</t>
  </si>
  <si>
    <t>Fiksuoto dydžio</t>
  </si>
  <si>
    <t xml:space="preserve">  nusidėvėjimas (tiesioginiu metodu),     dėl naudingo tarnavimo laiko: </t>
  </si>
  <si>
    <t xml:space="preserve">  turto pardavimas (be PVM)</t>
  </si>
  <si>
    <t xml:space="preserve">  pelnas/nuostolis dėl turto pardavimo</t>
  </si>
  <si>
    <t xml:space="preserve">  mokėtinas PVM nuo turto pardavimo pajamų</t>
  </si>
  <si>
    <t>Žemė</t>
  </si>
  <si>
    <t>Nematerialusis turtas</t>
  </si>
  <si>
    <t>Незавершенные инвестиции по данным текущей таблицы</t>
  </si>
  <si>
    <t>Total short-term liabilities</t>
  </si>
  <si>
    <t>Long-term liabilities</t>
  </si>
  <si>
    <t xml:space="preserve"> pardavimo pajamos (be PVM)</t>
  </si>
  <si>
    <t xml:space="preserve">  iš kurių mokesčiai ir muitai</t>
  </si>
  <si>
    <t xml:space="preserve">  sukauptas PVM</t>
  </si>
  <si>
    <t xml:space="preserve">  mokėjimų grafikas (be PVM)</t>
  </si>
  <si>
    <t xml:space="preserve">  gautas PVM</t>
  </si>
  <si>
    <t xml:space="preserve">  gautinos sumos</t>
  </si>
  <si>
    <t xml:space="preserve">  išankstiniai mokėjimai</t>
  </si>
  <si>
    <t xml:space="preserve"> = Viso</t>
  </si>
  <si>
    <t xml:space="preserve">  gamybos grafikas</t>
  </si>
  <si>
    <t xml:space="preserve">  pardavimų prognozė</t>
  </si>
  <si>
    <t xml:space="preserve">  pagaminta, bet neparduota produkcija</t>
  </si>
  <si>
    <t xml:space="preserve">  nebaigta gamyba</t>
  </si>
  <si>
    <t>Dėmesio! Pardavimai viršija gamybą ir atsargas!</t>
  </si>
  <si>
    <t>Žaliavos arba komponentų pavadinimas</t>
  </si>
  <si>
    <t>Suplanuotas poreikis vienam produkcijos vienetui</t>
  </si>
  <si>
    <t xml:space="preserve">  kaina be PVM</t>
  </si>
  <si>
    <t xml:space="preserve">  su importo muitais</t>
  </si>
  <si>
    <t xml:space="preserve">    price net of VAT</t>
  </si>
  <si>
    <t xml:space="preserve">    including import duties</t>
  </si>
  <si>
    <t xml:space="preserve">         COST OF RAW MATERIALS AND COMPONENTS</t>
  </si>
  <si>
    <t xml:space="preserve">    raw materials and supplies purchased (net of VAT)</t>
  </si>
  <si>
    <t xml:space="preserve">    inventories, based on turnover ratio</t>
  </si>
  <si>
    <t xml:space="preserve">    inventories, based on detailed payment schedule</t>
  </si>
  <si>
    <t xml:space="preserve">    raw materials and supplies paid for (net of VAT)</t>
  </si>
  <si>
    <t xml:space="preserve">    costs written off against sales</t>
  </si>
  <si>
    <t xml:space="preserve">    remainder costs in inventory</t>
  </si>
  <si>
    <t xml:space="preserve">    remainder costs in work-in-progress</t>
  </si>
  <si>
    <t xml:space="preserve">         OTHER VARIABLE COSTS</t>
  </si>
  <si>
    <t xml:space="preserve">    costs net of VAT</t>
  </si>
  <si>
    <t>Use per period</t>
  </si>
  <si>
    <t xml:space="preserve">    costs paid for (net of VAT)</t>
  </si>
  <si>
    <t xml:space="preserve">         PERSONNEL AND WAGES</t>
  </si>
  <si>
    <t>Production personnel headcount</t>
  </si>
  <si>
    <t>Support personnel headcount</t>
  </si>
  <si>
    <t xml:space="preserve">  mokėjimai (be PVM)</t>
  </si>
  <si>
    <t xml:space="preserve">    величина платежей (без НДС)</t>
  </si>
  <si>
    <t>žmonės</t>
  </si>
  <si>
    <t>Apskaičiuoti mokesčiai, susiję su darbo užmokesčiu</t>
  </si>
  <si>
    <t>Accrued payroll taxes</t>
  </si>
  <si>
    <t xml:space="preserve">    - production personnel</t>
  </si>
  <si>
    <t xml:space="preserve">    - support personnel</t>
  </si>
  <si>
    <t xml:space="preserve">    - administrative personnel</t>
  </si>
  <si>
    <t xml:space="preserve">    - sales and marketing personnel</t>
  </si>
  <si>
    <t>Wages and salaries including payroll taxes</t>
  </si>
  <si>
    <t xml:space="preserve">         OPERATING COSTS</t>
  </si>
  <si>
    <t>Other variable costs</t>
  </si>
  <si>
    <t>Direct production costs</t>
  </si>
  <si>
    <t>Indirect production costs</t>
  </si>
  <si>
    <t>General and administrative expenses</t>
  </si>
  <si>
    <t>Sales and marketing expenses</t>
  </si>
  <si>
    <t>Sales and marketing expenses as % of sales</t>
  </si>
  <si>
    <t xml:space="preserve">    Production costs</t>
  </si>
  <si>
    <t xml:space="preserve">        net of VAT</t>
  </si>
  <si>
    <t xml:space="preserve">        VAT</t>
  </si>
  <si>
    <t xml:space="preserve">    Administrative expenses</t>
  </si>
  <si>
    <t xml:space="preserve">    Sales and marketing expenses</t>
  </si>
  <si>
    <t>Cost of raw materials and components</t>
  </si>
  <si>
    <t>Production personnel wages and salaries</t>
  </si>
  <si>
    <t>Production personnel payroll taxes</t>
  </si>
  <si>
    <t>Support personnel wages and salaries</t>
  </si>
  <si>
    <t>Support personnel payroll taxes</t>
  </si>
  <si>
    <t>Sales and marketing personnel wages and salaries</t>
  </si>
  <si>
    <t>Sales and marketing personnel payroll taxes</t>
  </si>
  <si>
    <t>Administrative personnel wages and salaries</t>
  </si>
  <si>
    <t>Administrative personnel payroll taxes</t>
  </si>
  <si>
    <t>of which VAT</t>
  </si>
  <si>
    <t>be įsigijimo/ veiklos (turtas - nuomotojo nuosavybė)</t>
  </si>
  <si>
    <t>be įsigijimo/ veiklos (turtas - nuomininko nuosavybė)</t>
  </si>
  <si>
    <t>ATSARGOS</t>
  </si>
  <si>
    <t xml:space="preserve">  vidutiniškai atsargų saugojimo trukmė (dienomis)</t>
  </si>
  <si>
    <t xml:space="preserve">  produkcijos gamybos ciklo trukmė</t>
  </si>
  <si>
    <t xml:space="preserve">  išsiuntimo periodiškumas</t>
  </si>
  <si>
    <t xml:space="preserve">  minimalus atsargų likutis</t>
  </si>
  <si>
    <t xml:space="preserve">   vidutiniškai atsargų saugojimo trukmė (dienomis)</t>
  </si>
  <si>
    <t>PIRKĖJŲ MOKĖJIMAI</t>
  </si>
  <si>
    <t>Pardavimai:</t>
  </si>
  <si>
    <t xml:space="preserve">  pardavimai už grynuosius pinigus</t>
  </si>
  <si>
    <t>Investment in intangible assets</t>
  </si>
  <si>
    <t>Investment in financial assets</t>
  </si>
  <si>
    <t>Investment in buildings and structures</t>
  </si>
  <si>
    <t>Investment in equipment and other assets</t>
  </si>
  <si>
    <t>Investment in deferred expenses</t>
  </si>
  <si>
    <t>Proceeds from financing</t>
  </si>
  <si>
    <t>Repayment of financing</t>
  </si>
  <si>
    <t>Dividends</t>
  </si>
  <si>
    <t>Lease payments</t>
  </si>
  <si>
    <t>Repayment of debt</t>
  </si>
  <si>
    <t>Minimum cash at the beginning of period</t>
  </si>
  <si>
    <t xml:space="preserve">         INCOME STATEMENT</t>
  </si>
  <si>
    <t>Net sales</t>
  </si>
  <si>
    <t>including:</t>
  </si>
  <si>
    <t>Financing from construction co-investors</t>
  </si>
  <si>
    <t>Info: Cash at the end of period (current project)</t>
  </si>
  <si>
    <t>Info: Cash at the end of period (project portfolio)</t>
  </si>
  <si>
    <t xml:space="preserve">         LOANS</t>
  </si>
  <si>
    <t>Žemės mokesčiai ir kiti mokesčiai mažinantys pelno mokestį</t>
  </si>
  <si>
    <t xml:space="preserve"> = Viso: išlaidų Pelno (nuostolio) ataskaitoje</t>
  </si>
  <si>
    <t xml:space="preserve">  žaliavos ir komponentai</t>
  </si>
  <si>
    <t xml:space="preserve">  kitos kintamos išlaidos</t>
  </si>
  <si>
    <t xml:space="preserve">  darbo užmokestis</t>
  </si>
  <si>
    <t>Outstanding debt at the end of the current period</t>
  </si>
  <si>
    <t xml:space="preserve">    of which interest</t>
  </si>
  <si>
    <t xml:space="preserve">    period in which the loan was disbursed</t>
  </si>
  <si>
    <t xml:space="preserve">    interest accrued</t>
  </si>
  <si>
    <t xml:space="preserve"> = Total: Loans received</t>
  </si>
  <si>
    <t xml:space="preserve"> = Total: Loans repaid</t>
  </si>
  <si>
    <t xml:space="preserve"> = Total: Interest accrued</t>
  </si>
  <si>
    <t xml:space="preserve"> = Total: Interest paid</t>
  </si>
  <si>
    <t xml:space="preserve"> = Total: Outstanding debt</t>
  </si>
  <si>
    <t xml:space="preserve">    outstanding working capital loans</t>
  </si>
  <si>
    <t xml:space="preserve">    outstanding investment loans</t>
  </si>
  <si>
    <t>Working capital loan</t>
  </si>
  <si>
    <t>Investment loan</t>
  </si>
  <si>
    <t>Investment loan from federal government</t>
  </si>
  <si>
    <t>Investment loan from regional government</t>
  </si>
  <si>
    <t>Debt service coverage</t>
  </si>
  <si>
    <t>Prior period loans</t>
  </si>
  <si>
    <t>New loans</t>
  </si>
  <si>
    <t xml:space="preserve">    interest accrued on new loans</t>
  </si>
  <si>
    <t xml:space="preserve">         SUMMARY OF INVESTMENTS</t>
  </si>
  <si>
    <t>Investment requirements</t>
  </si>
  <si>
    <t>Investment in land</t>
  </si>
  <si>
    <t>Paskolos valiuta</t>
  </si>
  <si>
    <t>Palūkanų norma (metinė)</t>
  </si>
  <si>
    <t>Palūkanų mokėjimų atidėjimo laikotarpis</t>
  </si>
  <si>
    <t>Paskolos ėmimas</t>
  </si>
  <si>
    <t>Pokyčiai, įtraukti į veiklos pinigų srautus</t>
  </si>
  <si>
    <t>Payable to contractors</t>
  </si>
  <si>
    <t>Sale proceeds</t>
  </si>
  <si>
    <t>Payments for property sold</t>
  </si>
  <si>
    <t xml:space="preserve">   proceeds net of VAT</t>
  </si>
  <si>
    <t>Transfer of sold properties</t>
  </si>
  <si>
    <t xml:space="preserve">    transfer net of VAT</t>
  </si>
  <si>
    <t>Įranga ir kitas turtas</t>
  </si>
  <si>
    <t>Būsimųjų laikotarpių išlaidos</t>
  </si>
  <si>
    <t>Finansinis turtas</t>
  </si>
  <si>
    <t>VISO</t>
  </si>
  <si>
    <t>pagal atsiskaitymų už turtą grafiką</t>
  </si>
  <si>
    <t>po operacijų pradžios</t>
  </si>
  <si>
    <t>taip</t>
  </si>
  <si>
    <t>ne</t>
  </si>
  <si>
    <t>laikotarpio</t>
  </si>
  <si>
    <t>laikotarpis</t>
  </si>
  <si>
    <t>Pavadinimas</t>
  </si>
  <si>
    <t xml:space="preserve">  mokėjimai</t>
  </si>
  <si>
    <t xml:space="preserve">  mokėjimai (su PVM)</t>
  </si>
  <si>
    <t xml:space="preserve">  ansktesniojo laikotarpio investicijos (be PVM)</t>
  </si>
  <si>
    <t xml:space="preserve">  balanse nuo</t>
  </si>
  <si>
    <t xml:space="preserve">  mokėjimų suma (be PVM)</t>
  </si>
  <si>
    <t xml:space="preserve">  bendroji turto savikaina (be PVM)</t>
  </si>
  <si>
    <t>Iš viso: turto įsigijimo savikaina (be PVM)</t>
  </si>
  <si>
    <t xml:space="preserve">  neužbaigtos investicijos</t>
  </si>
  <si>
    <t xml:space="preserve">  mokėtinos sumos</t>
  </si>
  <si>
    <t>Pastatai ir statiniai</t>
  </si>
  <si>
    <t xml:space="preserve">  nusidėvėjimas (pagreitintas),     dėl naudingo tarnavimo laiko: </t>
  </si>
  <si>
    <t xml:space="preserve">  grąžintinas PVM</t>
  </si>
  <si>
    <t xml:space="preserve">  ankstesnio laikotarpio investicijų PVM</t>
  </si>
  <si>
    <t xml:space="preserve">  mokėtinas PVM už parduotą turtą</t>
  </si>
  <si>
    <t xml:space="preserve">  importuoti?</t>
  </si>
  <si>
    <t xml:space="preserve">  importo data</t>
  </si>
  <si>
    <t xml:space="preserve">  importo muito mokesčiai</t>
  </si>
  <si>
    <t xml:space="preserve">  finansinio turto pelningumas</t>
  </si>
  <si>
    <t xml:space="preserve">  sumokėti avansai</t>
  </si>
  <si>
    <t>Palūkanos sumokėtos investiciniu laikotrapiu</t>
  </si>
  <si>
    <t xml:space="preserve">  investicinė stadijas baigiasi nuo</t>
  </si>
  <si>
    <t>Iš viso ankstesniojo laikotarpio investicijos</t>
  </si>
  <si>
    <t>Administrative personnel headcount</t>
  </si>
  <si>
    <t>Sales and marketing personnel headcount</t>
  </si>
  <si>
    <t>Total</t>
  </si>
  <si>
    <t>Monthly wages and salaries</t>
  </si>
  <si>
    <t>Headcount</t>
  </si>
  <si>
    <t>persons</t>
  </si>
  <si>
    <t xml:space="preserve"> = Viso: būsimų laikotarpių išlaidos</t>
  </si>
  <si>
    <t xml:space="preserve"> = Viso: TURTAS</t>
  </si>
  <si>
    <t xml:space="preserve">  Išperkamosios nuomos rūšis</t>
  </si>
  <si>
    <t xml:space="preserve">  Periodo numeris, kuriame pradėta naudoti įranga</t>
  </si>
  <si>
    <t xml:space="preserve">  išperkamosios nuomos laikotarpis</t>
  </si>
  <si>
    <t>Įrangos savikaina (su PVM)</t>
  </si>
  <si>
    <t xml:space="preserve">  grynoji buhalterinė vertė (be PVM)</t>
  </si>
  <si>
    <t xml:space="preserve">  nuomotojo atlygis</t>
  </si>
  <si>
    <t xml:space="preserve">  laukiami išperkamosios nuomos mokėjimai (be PVM)</t>
  </si>
  <si>
    <t xml:space="preserve">  laukiami išperkamosios nuomos mokėjimai (su PVM)</t>
  </si>
  <si>
    <t>Išankstiniai mokėjimai (su PVM)</t>
  </si>
  <si>
    <t>Faktiniai nuomos mokėjimai (su PVM)</t>
  </si>
  <si>
    <t xml:space="preserve">  išankstiniai mokėjimai nuomotojui</t>
  </si>
  <si>
    <t xml:space="preserve">  išnuomotas ilgalaikis turtas (grynoji buhalterinė vertė)</t>
  </si>
  <si>
    <t xml:space="preserve">  apmokestinamas turtas</t>
  </si>
  <si>
    <t>Išperkamosios nuomos termino pabaigoje įsigyjamo turto grynoji buhalterinė vertė</t>
  </si>
  <si>
    <t xml:space="preserve">  bendroji buhalterinė vertė po įsigijimo</t>
  </si>
  <si>
    <t xml:space="preserve">  grynoji buhalterinė vertė po įsigijimo</t>
  </si>
  <si>
    <t xml:space="preserve">  nusidėvėjimo sąnaudos po įsigijimo</t>
  </si>
  <si>
    <t xml:space="preserve">  įsigijimo metu sumokėtas PVM</t>
  </si>
  <si>
    <t xml:space="preserve"> = Iš viso sukaupti išperkamosios nuomos mokėjimai be PVM</t>
  </si>
  <si>
    <t xml:space="preserve"> = Iš viso sukaupti išperkamosios nuomos mokėjimai su PVM</t>
  </si>
  <si>
    <t xml:space="preserve"> = Iš viso sumokėti išperkamosios nuomos mokėjimai su PVM</t>
  </si>
  <si>
    <t xml:space="preserve"> = Iš viso kaina išperkamosios nuomos termino pabaigoje su PVM</t>
  </si>
  <si>
    <t xml:space="preserve">  su išperkamosios nuomos mokėjimais sumokėtas PVM</t>
  </si>
  <si>
    <t>su įsigijimo galimybe (turtas - nuomotojo nuosavybė)</t>
  </si>
  <si>
    <t>su įsigijimo galimybe (turtas - nuomininko nuosavybė)</t>
  </si>
  <si>
    <t xml:space="preserve"> = Total purchase at the end of lease term, including VAT</t>
  </si>
  <si>
    <t xml:space="preserve">    VAT paid on leasing payments</t>
  </si>
  <si>
    <t xml:space="preserve">    VAT paid on purchase</t>
  </si>
  <si>
    <t>with purchase option (lessor carries the asset)</t>
  </si>
  <si>
    <t>with purchase option (lessee carries the asset)</t>
  </si>
  <si>
    <t>operating (lessor carries the asset)</t>
  </si>
  <si>
    <t>operating (lessee carries the asset)</t>
  </si>
  <si>
    <t xml:space="preserve">         WORKING CAPITAL</t>
  </si>
  <si>
    <t>INVENTORIES</t>
  </si>
  <si>
    <t xml:space="preserve">    average days in inventory</t>
  </si>
  <si>
    <t xml:space="preserve">    production cycle</t>
  </si>
  <si>
    <t xml:space="preserve">    shipping periodicity</t>
  </si>
  <si>
    <t xml:space="preserve">    minimum required inventory, as of</t>
  </si>
  <si>
    <t>PAYMENTS FROM CUSTOMERS</t>
  </si>
  <si>
    <t>Sales:</t>
  </si>
  <si>
    <t xml:space="preserve">    cash sales</t>
  </si>
  <si>
    <t xml:space="preserve">    advances received</t>
  </si>
  <si>
    <t xml:space="preserve">    sales on credit</t>
  </si>
  <si>
    <t xml:space="preserve">    based on turnover ratio</t>
  </si>
  <si>
    <t xml:space="preserve">    based on detailed payment schedule</t>
  </si>
  <si>
    <t>PAYMENTS TO SUPPLIERS</t>
  </si>
  <si>
    <t>Payments for raw materials and components:</t>
  </si>
  <si>
    <t xml:space="preserve">    cash purchases</t>
  </si>
  <si>
    <t xml:space="preserve">    purchases on credit</t>
  </si>
  <si>
    <t>Accounts payable</t>
  </si>
  <si>
    <t>Advances paid</t>
  </si>
  <si>
    <t>TAXES PAYABLE</t>
  </si>
  <si>
    <t>Construction</t>
  </si>
  <si>
    <t xml:space="preserve">   Raw materials and components</t>
  </si>
  <si>
    <t xml:space="preserve">   Other variable costs</t>
  </si>
  <si>
    <t xml:space="preserve">   Wages and salaries of production and support personnel</t>
  </si>
  <si>
    <t xml:space="preserve">    Leasing expenses</t>
  </si>
  <si>
    <t xml:space="preserve">    Other production costs</t>
  </si>
  <si>
    <t>Gross profit</t>
  </si>
  <si>
    <t>Wages and salaries of administrative, sales and marketing personnel</t>
  </si>
  <si>
    <t>Operating income</t>
  </si>
  <si>
    <t>Taxes not deductible for income tax purposes</t>
  </si>
  <si>
    <t>Gain (loss) from sale of fixed assets</t>
  </si>
  <si>
    <t>Gain (loss) from construction activities</t>
  </si>
  <si>
    <t>Gain (loss) from exchange rate fluctuations</t>
  </si>
  <si>
    <t>Other income</t>
  </si>
  <si>
    <t>Other loss</t>
  </si>
  <si>
    <t>Type of loan</t>
  </si>
  <si>
    <t>Loan currency</t>
  </si>
  <si>
    <t>Interest rate (annualized)</t>
  </si>
  <si>
    <t>Grace period on interest payments</t>
  </si>
  <si>
    <t>Proceeds from loan disbursement</t>
  </si>
  <si>
    <t>Repayment of principal</t>
  </si>
  <si>
    <t>Interest accrued</t>
  </si>
  <si>
    <t>Interest paid</t>
  </si>
  <si>
    <t>Outstanding debt at the beginning of the current period</t>
  </si>
  <si>
    <t>Other income (net of VAT)</t>
  </si>
  <si>
    <t xml:space="preserve">   VAT</t>
  </si>
  <si>
    <t>Other loss (net of VAT)</t>
  </si>
  <si>
    <t>Retained earnings (per period)</t>
  </si>
  <si>
    <t>Retained earnings (at the beginning of period, accumulated)</t>
  </si>
  <si>
    <t>Retained earnings (at the end of period, accumulated)</t>
  </si>
  <si>
    <t xml:space="preserve">         CASH FLOW STATEMENT</t>
  </si>
  <si>
    <t>Cash received from customers</t>
  </si>
  <si>
    <t>Cash paid to suppliers</t>
  </si>
  <si>
    <t>Cash paid to employees</t>
  </si>
  <si>
    <t>General expenses</t>
  </si>
  <si>
    <t>Taxes</t>
  </si>
  <si>
    <t>Other cash inflows</t>
  </si>
  <si>
    <t>Other cash outflows</t>
  </si>
  <si>
    <t>Cash flow from operating activities</t>
  </si>
  <si>
    <t>Proceeds from sale of fixed assets</t>
  </si>
  <si>
    <t>Cash flow from investing activities</t>
  </si>
  <si>
    <t>Equity inflow</t>
  </si>
  <si>
    <t>Proceeds from borrowing</t>
  </si>
  <si>
    <t>Dividends paid</t>
  </si>
  <si>
    <t>Cash flow from financing activities</t>
  </si>
  <si>
    <t>Change in cash</t>
  </si>
  <si>
    <t>Cash at the beginning of period</t>
  </si>
  <si>
    <t>Cash at the end of period</t>
  </si>
  <si>
    <t>Chart: Cash flows</t>
  </si>
  <si>
    <t>Chart: Cash</t>
  </si>
  <si>
    <t xml:space="preserve">         BALANCE SHEET</t>
  </si>
  <si>
    <t>Other current assets</t>
  </si>
  <si>
    <t xml:space="preserve">    land</t>
  </si>
  <si>
    <t xml:space="preserve">    buildings and structures</t>
  </si>
  <si>
    <t xml:space="preserve">    intangible assets</t>
  </si>
  <si>
    <t xml:space="preserve">    equipment and other assets</t>
  </si>
  <si>
    <t>Total fixed assets</t>
  </si>
  <si>
    <t xml:space="preserve"> = TOTAL ASSETS</t>
  </si>
  <si>
    <t xml:space="preserve">    to suppliers of raw materials and components</t>
  </si>
  <si>
    <t xml:space="preserve">    to suppliers of fixed assets</t>
  </si>
  <si>
    <t>Taxes payable</t>
  </si>
  <si>
    <t>Short-term loans</t>
  </si>
  <si>
    <t>Other short-term liabilities</t>
  </si>
  <si>
    <t>Leasing payments schedule (including VAT)</t>
  </si>
  <si>
    <t>Leasing payments offset to cost (including VAT)</t>
  </si>
  <si>
    <t>leasing payments offset (net of VAT)</t>
  </si>
  <si>
    <t xml:space="preserve">   leasing payments for schedule calculation</t>
  </si>
  <si>
    <t>Ankstesniojo laikotarpio paskolos</t>
  </si>
  <si>
    <t>Naujos paskolos</t>
  </si>
  <si>
    <t xml:space="preserve">  sukauptos palūkanos už naujas paskolas</t>
  </si>
  <si>
    <t>Investicijos į žemę</t>
  </si>
  <si>
    <t>Investicijos į nematerialųjį turtą</t>
  </si>
  <si>
    <t>Investicijos į finansinį turtą</t>
  </si>
  <si>
    <t>Investicijos į pastatus ir statinius</t>
  </si>
  <si>
    <t>Investicijos į įrangą ir kitą turtą</t>
  </si>
  <si>
    <t>Investicijos į būsimųjų laikotarpių išlaidas</t>
  </si>
  <si>
    <t>Finansavimo įplaukos</t>
  </si>
  <si>
    <t>Finansavimo grąžinimas</t>
  </si>
  <si>
    <t>Dividendai</t>
  </si>
  <si>
    <t>Išperkamosios nuomos mokėjimai</t>
  </si>
  <si>
    <t>Minimalūs grynieji pinigai laikotarpio pradžioje</t>
  </si>
  <si>
    <t>Grynosios pardavimų pajamos</t>
  </si>
  <si>
    <t>įskaitant:</t>
  </si>
  <si>
    <t>Owners' equity</t>
  </si>
  <si>
    <t>Retained earnings</t>
  </si>
  <si>
    <t>Other equity</t>
  </si>
  <si>
    <t>Total equity</t>
  </si>
  <si>
    <t xml:space="preserve"> = TOTAL LIABILITIES AND EQUITY</t>
  </si>
  <si>
    <t>Attention! Balance sheet is unbalanced!</t>
  </si>
  <si>
    <t>Chart: Project assets</t>
  </si>
  <si>
    <t>Chart: Project liabilities and equity</t>
  </si>
  <si>
    <t xml:space="preserve">         FINANCIAL RATIOS</t>
  </si>
  <si>
    <t>Return on assets</t>
  </si>
  <si>
    <t>Return on equity</t>
  </si>
  <si>
    <t>Return on fixed assets</t>
  </si>
  <si>
    <t xml:space="preserve">COGS / sales </t>
  </si>
  <si>
    <t>Gross margin</t>
  </si>
  <si>
    <t>Fixed costs / COGS</t>
  </si>
  <si>
    <t>Break-even point</t>
  </si>
  <si>
    <t>"Margin of safety"</t>
  </si>
  <si>
    <t>EBITDA margin</t>
  </si>
  <si>
    <t>EBIT margin</t>
  </si>
  <si>
    <t>Net margin</t>
  </si>
  <si>
    <t>Effective income tax rate</t>
  </si>
  <si>
    <t>Current ratio</t>
  </si>
  <si>
    <t>Solvency ratio</t>
  </si>
  <si>
    <t>Gearing ratio</t>
  </si>
  <si>
    <t>Long-term debt to total liabilities</t>
  </si>
  <si>
    <t xml:space="preserve">  įsigytos žaliavos ir atsargos (be PVM)</t>
  </si>
  <si>
    <t xml:space="preserve">  atsargos remiantis apyvartumo rodikliu</t>
  </si>
  <si>
    <t xml:space="preserve">  atsargos remiantis apmokėjimo už atsargas grafiku</t>
  </si>
  <si>
    <t xml:space="preserve">  apmokėtos žaliavos ir atsargos (be PVM) </t>
  </si>
  <si>
    <t xml:space="preserve">  kaštai įtraukti į realizuotą produkciją</t>
  </si>
  <si>
    <t xml:space="preserve">  kaštai įtraukti į pagamintą produkciją</t>
  </si>
  <si>
    <t xml:space="preserve">  kaštai įtraukti į nebaigtą gamybą</t>
  </si>
  <si>
    <t>Išlaidų rūšis</t>
  </si>
  <si>
    <t xml:space="preserve">  išlaidos be PVM</t>
  </si>
  <si>
    <t>Planuojamas poreikis vienam produkcijos vienetui</t>
  </si>
  <si>
    <t>Poreikis periodui</t>
  </si>
  <si>
    <t xml:space="preserve">  apmokėtos išlaidos (be PVM)</t>
  </si>
  <si>
    <t>Darbuotojų gamyboje skaičius</t>
  </si>
  <si>
    <t>Pagalbinių darbuotojų skaičius</t>
  </si>
  <si>
    <t xml:space="preserve">  -gamybos darbuotojų</t>
  </si>
  <si>
    <t xml:space="preserve">  -pagalbinių darbuotojų</t>
  </si>
  <si>
    <t xml:space="preserve">  -administracijos darbuotojų</t>
  </si>
  <si>
    <t xml:space="preserve">  -pardavimo ir marketingo darbuotojų</t>
  </si>
  <si>
    <t>Depreciation</t>
  </si>
  <si>
    <t>Land tax and other taxes deductible for income tax purposes</t>
  </si>
  <si>
    <t xml:space="preserve"> = Total: cost on income statement</t>
  </si>
  <si>
    <t xml:space="preserve">    raw materials and components</t>
  </si>
  <si>
    <t xml:space="preserve">    other variable costs</t>
  </si>
  <si>
    <t xml:space="preserve">    wages and salaries</t>
  </si>
  <si>
    <t xml:space="preserve">    taxes deductible for income tax purposes</t>
  </si>
  <si>
    <t xml:space="preserve">    production costs</t>
  </si>
  <si>
    <t xml:space="preserve">    leasing expenses</t>
  </si>
  <si>
    <t xml:space="preserve">    administrative expenses</t>
  </si>
  <si>
    <t xml:space="preserve">    sales and marketing expenses</t>
  </si>
  <si>
    <t xml:space="preserve"> = Total: current expenses</t>
  </si>
  <si>
    <t xml:space="preserve">    Raw materials and components</t>
  </si>
  <si>
    <t xml:space="preserve">    Wages and salaries (including payroll taxes and insurance)</t>
  </si>
  <si>
    <t xml:space="preserve">         EQUITY</t>
  </si>
  <si>
    <t>Owners' contribution</t>
  </si>
  <si>
    <t>Owner 1</t>
  </si>
  <si>
    <t>Owner 2</t>
  </si>
  <si>
    <t>Owner 3</t>
  </si>
  <si>
    <t>Owner 4</t>
  </si>
  <si>
    <t>Owner 5</t>
  </si>
  <si>
    <t>Financing from current business operation</t>
  </si>
  <si>
    <t xml:space="preserve">    the above, in terms of primary currency</t>
  </si>
  <si>
    <t xml:space="preserve">         CONSOLIDATED SUMMARY OF INVESTMENTS</t>
  </si>
  <si>
    <t>Su pardavimų ir marketingo darbuotojų darbo užmokesčiu susiję mokesčiai</t>
  </si>
  <si>
    <t>Administracijos darbuotojų darbo užmokestis</t>
  </si>
  <si>
    <t>Su administracijos darbuotojų darbo užmokesčiu susiję mokesčiai</t>
  </si>
  <si>
    <t>iš kurių PVM</t>
  </si>
  <si>
    <t>Nusidėvėjimas</t>
  </si>
  <si>
    <t>Paskolų grąžinimas</t>
  </si>
  <si>
    <t>Nuomos mokėjimai</t>
  </si>
  <si>
    <t>Sumokėti dividendai</t>
  </si>
  <si>
    <t>Pinigų srautai iš finansinės veiklos</t>
  </si>
  <si>
    <t>Grynųjų pinigų pokytis</t>
  </si>
  <si>
    <t>Grynieji pinigai laikotarpio pradžioje</t>
  </si>
  <si>
    <t>Grynieji pinigai laikotarpio pabaigoje</t>
  </si>
  <si>
    <t>Diagrama: Pinigų srautai</t>
  </si>
  <si>
    <t>Diagrama: grynieji pinigai</t>
  </si>
  <si>
    <t>Grynieji pinigai</t>
  </si>
  <si>
    <t>Sumokėtas PVM</t>
  </si>
  <si>
    <t>Kitas trumpalaikis turtas</t>
  </si>
  <si>
    <t xml:space="preserve">  žemė</t>
  </si>
  <si>
    <t xml:space="preserve">  pastatai ir statiniai</t>
  </si>
  <si>
    <t xml:space="preserve">  nematerialusis turtas</t>
  </si>
  <si>
    <t xml:space="preserve">  įranga ir kitas turtas</t>
  </si>
  <si>
    <t>Viso ilgalaikio turto</t>
  </si>
  <si>
    <t xml:space="preserve">  mokesčiai mažinantys pelno mokestį</t>
  </si>
  <si>
    <t xml:space="preserve">  išperkamosios nuomos sąnaudos</t>
  </si>
  <si>
    <t xml:space="preserve">  nusidėvejimas</t>
  </si>
  <si>
    <t xml:space="preserve">  adminitracinės sąnaudos</t>
  </si>
  <si>
    <t xml:space="preserve"> = Viso: einamosios išlaidos</t>
  </si>
  <si>
    <t xml:space="preserve">   be PVM</t>
  </si>
  <si>
    <t xml:space="preserve">   PVM</t>
  </si>
  <si>
    <t xml:space="preserve">   Administracinės sąnaudos</t>
  </si>
  <si>
    <t xml:space="preserve">   Pardavimų ir marketingo sąnaudos</t>
  </si>
  <si>
    <t xml:space="preserve">   Žaliavos ir komponentai</t>
  </si>
  <si>
    <t xml:space="preserve">   Darbo užmokesčio sąnaudos (įskaitant su darbo užmokesčiu susijusius mokesčius ir draudimą)</t>
  </si>
  <si>
    <t>Įstatinis kapitalas/Akcininkų įnašai</t>
  </si>
  <si>
    <t>Savininko 1</t>
  </si>
  <si>
    <t>Savininko 2</t>
  </si>
  <si>
    <t>Savininko 3</t>
  </si>
  <si>
    <t>Savininko 4</t>
  </si>
  <si>
    <t>Savininko 5</t>
  </si>
  <si>
    <t>Finansavimas iš dabartinės ūkinės veiklos</t>
  </si>
  <si>
    <t xml:space="preserve">    Finansavimas iš dabartinės ūkinės veiklos finansinės atsakitomybės valiuta</t>
  </si>
  <si>
    <t>Finansavimas iš investuotojų į statybas</t>
  </si>
  <si>
    <t>Info: grynieji pinigai laikotrapio pabaigai (dabartinis projektas)</t>
  </si>
  <si>
    <t>Info: grynieji pinigai laikotrapio pabaigai (visų projektų)</t>
  </si>
  <si>
    <t>Paskolos rūšis</t>
  </si>
  <si>
    <t>Прирост чистого оборотного капитала</t>
  </si>
  <si>
    <t>График: Движение денег по кредитам</t>
  </si>
  <si>
    <t>Chart: Debt cash flows</t>
  </si>
  <si>
    <t>График: Остаток задолженности по кредитам</t>
  </si>
  <si>
    <t>Chart: Outstanding debt</t>
  </si>
  <si>
    <t>График: Поступления от продаж</t>
  </si>
  <si>
    <t>Chart: Cash received from customers</t>
  </si>
  <si>
    <t>График: Выручка</t>
  </si>
  <si>
    <t>Chart: Net Sales</t>
  </si>
  <si>
    <t>График: Чистая прибыль</t>
  </si>
  <si>
    <t>Chart: Net Profit</t>
  </si>
  <si>
    <t>График: EBITDA</t>
  </si>
  <si>
    <t>Chart: EBITDA</t>
  </si>
  <si>
    <t>График: Суммарная выручка проектов</t>
  </si>
  <si>
    <t>Chart: Total Net Sales</t>
  </si>
  <si>
    <t>Себестоимость</t>
  </si>
  <si>
    <t>Cost of goods sold</t>
  </si>
  <si>
    <t>Прибыль (убыток) от операционной деятельности</t>
  </si>
  <si>
    <t>Оплата административного и коммерческого персонала</t>
  </si>
  <si>
    <t>Справочно:</t>
  </si>
  <si>
    <t xml:space="preserve">    Сырье и материалы</t>
  </si>
  <si>
    <t xml:space="preserve">    Прочие переменные расходы</t>
  </si>
  <si>
    <t xml:space="preserve">    Оплата производственного персонала</t>
  </si>
  <si>
    <t xml:space="preserve">    Лизинговые платежи</t>
  </si>
  <si>
    <t xml:space="preserve">    Прочие производственные расходы</t>
  </si>
  <si>
    <t xml:space="preserve">    Амортизация</t>
  </si>
  <si>
    <t>Прибыль до налога, процентов и амортизации (EBITDA)</t>
  </si>
  <si>
    <t>Прибыль до процентов и налога (EBIT)</t>
  </si>
  <si>
    <t>Налоги, кроме налога на прибыль</t>
  </si>
  <si>
    <t>Taxes, excl. income tax</t>
  </si>
  <si>
    <t xml:space="preserve">         RETURN ON LENDER(S)</t>
  </si>
  <si>
    <t>Chart: Net Present Value of Cash Flows (debt)</t>
  </si>
  <si>
    <t xml:space="preserve">         BUSINESS VALUATION</t>
  </si>
  <si>
    <t xml:space="preserve">    discount ratio in the middle of period</t>
  </si>
  <si>
    <t>Long-term growth rate</t>
  </si>
  <si>
    <t xml:space="preserve">    the above, recalculated per project step</t>
  </si>
  <si>
    <t>Cash flow for equity</t>
  </si>
  <si>
    <t>Net income</t>
  </si>
  <si>
    <t>Investment</t>
  </si>
  <si>
    <t>Change in long-term debt</t>
  </si>
  <si>
    <t>Discounted cash flow</t>
  </si>
  <si>
    <t>Terminal value</t>
  </si>
  <si>
    <t>Оплата расходов будущих периодов</t>
  </si>
  <si>
    <t xml:space="preserve">  Амортизация</t>
  </si>
  <si>
    <t xml:space="preserve">  Depreciation</t>
  </si>
  <si>
    <t xml:space="preserve">  Nusidėvėjimas</t>
  </si>
  <si>
    <t xml:space="preserve">    finansinio turto pelningumas</t>
  </si>
  <si>
    <t>Diagrama: Pinigų srautų grynoji dabartinė vertė (skolinto kapitalo)</t>
  </si>
  <si>
    <t xml:space="preserve">  diskonto norma laikotarpio viduriui</t>
  </si>
  <si>
    <t>Ilgalaikio augimo norma</t>
  </si>
  <si>
    <t xml:space="preserve">  ilgalaikio augimo norma perskaičiuota projekto etapui</t>
  </si>
  <si>
    <t>Pinigų srautai akcinio kapitalo savininkams</t>
  </si>
  <si>
    <t>Grynasis pelnas</t>
  </si>
  <si>
    <t>Ilgalaikių paskolų pokytis</t>
  </si>
  <si>
    <t>Diskontuoti grynųjų pinigų srautai</t>
  </si>
  <si>
    <t>Galutinė projeko vertė</t>
  </si>
  <si>
    <t>Grynasis veiklos pelnas, sumažintas pakoreguotais mokesčiais</t>
  </si>
  <si>
    <t>Diskontuota galutinė projekto vertė</t>
  </si>
  <si>
    <t>Viso vertė</t>
  </si>
  <si>
    <t>valstybinis</t>
  </si>
  <si>
    <t>regioninis/vietinis</t>
  </si>
  <si>
    <t>Mokestinių įplaukų dalys skirtingų lygių biudžetams</t>
  </si>
  <si>
    <t xml:space="preserve">Mokesčiai, susiję su darbo užmokesčiu </t>
  </si>
  <si>
    <t>Gyventojų pajamų mokestis (GPM)</t>
  </si>
  <si>
    <t>Nekilnojamajo turto mokestis</t>
  </si>
  <si>
    <t>Bendrasis pajamų mokestis</t>
  </si>
  <si>
    <t>GMP dydis (%)</t>
  </si>
  <si>
    <t>Centrinės valdžios surenkami mokesčiai</t>
  </si>
  <si>
    <t>Regioninės savivaldos surenkami mokesčiai</t>
  </si>
  <si>
    <t>Vyriausybės suteiktas finansavimas</t>
  </si>
  <si>
    <t>Centrinės valdžios</t>
  </si>
  <si>
    <t xml:space="preserve">  dotacijos</t>
  </si>
  <si>
    <t xml:space="preserve">  paskolos</t>
  </si>
  <si>
    <t xml:space="preserve">  paskolų grąžinimas</t>
  </si>
  <si>
    <t>Nepaskirstytasis pelnas (laikotarpio pabaigoje, sukauptas)</t>
  </si>
  <si>
    <t>Pinigų srautai iš pirkėjų</t>
  </si>
  <si>
    <t>Mokėjimai tiekėjams</t>
  </si>
  <si>
    <t>Mokėjimai darbuotojams</t>
  </si>
  <si>
    <t>Bendrosios sąnaudos</t>
  </si>
  <si>
    <t>Mokesčiai</t>
  </si>
  <si>
    <t>Kitos piniginės įplaukos</t>
  </si>
  <si>
    <t>Kitos piniginės išlaidos</t>
  </si>
  <si>
    <t>Pinigų srautai iš pagrindinės veiklos</t>
  </si>
  <si>
    <t>Pinigų srautai iš ilgalaikio turto pardavimo</t>
  </si>
  <si>
    <t>Administracijos darbuotojų skaičius</t>
  </si>
  <si>
    <t>Pardavimų ir marketino darbuotojų skaičius</t>
  </si>
  <si>
    <t>Viso</t>
  </si>
  <si>
    <t>Mėnesio darbo užmokestis</t>
  </si>
  <si>
    <t>Žmonių skaičius</t>
  </si>
  <si>
    <t>Pinigų srautai iš investicinės veiklos</t>
  </si>
  <si>
    <t>Nuosavo kapitalo įplaukos</t>
  </si>
  <si>
    <t>Paskolų įplaukos</t>
  </si>
  <si>
    <t>Fist period start date</t>
  </si>
  <si>
    <t>Duration</t>
  </si>
  <si>
    <t>Projects execution periods</t>
  </si>
  <si>
    <t>from period</t>
  </si>
  <si>
    <t>till period</t>
  </si>
  <si>
    <t>Budget start year</t>
  </si>
  <si>
    <t>График лизинговых платежей (с НДС)</t>
  </si>
  <si>
    <t>Tax base before loss write-off</t>
  </si>
  <si>
    <t xml:space="preserve">         CONSTRUCTION: SALE AT COMPLETION</t>
  </si>
  <si>
    <t xml:space="preserve"> = Total: Buildings and structures</t>
  </si>
  <si>
    <t>Описание проекта</t>
  </si>
  <si>
    <t>Незавершенные инвестиции</t>
  </si>
  <si>
    <t>Кредиты</t>
  </si>
  <si>
    <t>Целевое финансирование</t>
  </si>
  <si>
    <t>Отчет</t>
  </si>
  <si>
    <t>Версия программы</t>
  </si>
  <si>
    <t>Показывать диалог "О программе"?</t>
  </si>
  <si>
    <t>Метка ESTATE (всегда должна быть равна 0)</t>
  </si>
  <si>
    <t>Дата сборки</t>
  </si>
  <si>
    <t>Это демоверсия?</t>
  </si>
  <si>
    <t>Это версия СУММ?</t>
  </si>
  <si>
    <t>Это версия Строительство?</t>
  </si>
  <si>
    <t>Это пробная версия?</t>
  </si>
  <si>
    <t>Сборка дистрибутива выполнена?</t>
  </si>
  <si>
    <t>О программе</t>
  </si>
  <si>
    <t>Проект</t>
  </si>
  <si>
    <t>Пр.</t>
  </si>
  <si>
    <t>Портфель</t>
  </si>
  <si>
    <t>Current Language</t>
  </si>
  <si>
    <t>Russian</t>
  </si>
  <si>
    <t>English</t>
  </si>
  <si>
    <t>About</t>
  </si>
  <si>
    <t>Project</t>
  </si>
  <si>
    <t>Pr.</t>
  </si>
  <si>
    <t>Portfolio</t>
  </si>
  <si>
    <t>Report</t>
  </si>
  <si>
    <t>Строительство?</t>
  </si>
  <si>
    <t>Сумм?</t>
  </si>
  <si>
    <t>Ilagalikių paskolų ir visų įsipareigojimų santykis</t>
  </si>
  <si>
    <t>EBIT arba EBITDA ir palūkanų santykis</t>
  </si>
  <si>
    <t>Diagrama: Pelningumas</t>
  </si>
  <si>
    <t>Diagrama: Bendrojo pelno norma</t>
  </si>
  <si>
    <t>Diagrama: EBIT norma</t>
  </si>
  <si>
    <t>Metai</t>
  </si>
  <si>
    <t>(realioji - be infliacijos)</t>
  </si>
  <si>
    <t>(nominalioji - su infliacija)</t>
  </si>
  <si>
    <t>Įtrauktos ankstesniojo laikotarpio investicijos</t>
  </si>
  <si>
    <t>Įtraukta likutinė projekto turto vertė</t>
  </si>
  <si>
    <t>Skaičiavimo valiuta:</t>
  </si>
  <si>
    <t>Metinė diskonto norma:</t>
  </si>
  <si>
    <t xml:space="preserve">  periodo diskonto norma</t>
  </si>
  <si>
    <t xml:space="preserve">  diskonto norma laikotarpio pradžioje</t>
  </si>
  <si>
    <t xml:space="preserve">  diskonto norma laikotarpio pabaigoje</t>
  </si>
  <si>
    <t>Pinigų srautai įskaičiuojant:</t>
  </si>
  <si>
    <t>Pinigų srautai iš įprastinės veiklos</t>
  </si>
  <si>
    <t xml:space="preserve">  atimant palūkanas</t>
  </si>
  <si>
    <t>Ankstesniojo laikotarpio investicijos</t>
  </si>
  <si>
    <t>Likutinė projekto turto vertė</t>
  </si>
  <si>
    <t>Grynieji pinigų srautai</t>
  </si>
  <si>
    <t>Diskontuoti grynieji pinigų srautai</t>
  </si>
  <si>
    <t>Diskontuoti grynieji pinigų srautai, sukaupti</t>
  </si>
  <si>
    <t>Paprastasis atsipirkimo laikotarpis</t>
  </si>
  <si>
    <t xml:space="preserve">   nediskontuoti pinigų srautai, sukaupti</t>
  </si>
  <si>
    <t xml:space="preserve">  grynųjų pinigų likučio ženklas</t>
  </si>
  <si>
    <t xml:space="preserve">  grynųjų pinigų likučio laikotarpio pabaigoje ženklas</t>
  </si>
  <si>
    <t>Grynoji dabartinė vertė</t>
  </si>
  <si>
    <t>Diskontuotas atsipirkimo laikotarpis</t>
  </si>
  <si>
    <t xml:space="preserve">  diskontuotų grynųjų pinigų likučio ženklas</t>
  </si>
  <si>
    <t xml:space="preserve">  diskontuotų grynųjų pinigų likučio laikotarpio pabaigoje ženklas</t>
  </si>
  <si>
    <t>Vidinė grąžos norma</t>
  </si>
  <si>
    <t>Pelningumo koeficinetas</t>
  </si>
  <si>
    <t xml:space="preserve">  įplaukos</t>
  </si>
  <si>
    <t xml:space="preserve">  diskontuotos įplaukos</t>
  </si>
  <si>
    <t xml:space="preserve">  išlaidos</t>
  </si>
  <si>
    <t xml:space="preserve">  diskontuotos išlaidos</t>
  </si>
  <si>
    <t>Modifikuota vidinė grąžos norma</t>
  </si>
  <si>
    <t>Reinvestavimo norma</t>
  </si>
  <si>
    <t>Investicijų diskonto norma</t>
  </si>
  <si>
    <t>Diagrama: Pinigų srautų grynoji dabartinė vertė (visų investicijų)</t>
  </si>
  <si>
    <t>Diagrama: Pinigų srautų grynoji dabartinė vertė (akcinio kapitalo)</t>
  </si>
  <si>
    <t>Собственный капитал</t>
  </si>
  <si>
    <t>Кредиторская задолженность перед поставщиками</t>
  </si>
  <si>
    <t>Кредиторская задолженность перед бюджетом</t>
  </si>
  <si>
    <t>Прочие кредиторы</t>
  </si>
  <si>
    <t>Дебиторская задолженность покупателей</t>
  </si>
  <si>
    <t>Прочие дебиторы</t>
  </si>
  <si>
    <t>Итого активы</t>
  </si>
  <si>
    <t>Итого пассивы</t>
  </si>
  <si>
    <t>Метод расчетов</t>
  </si>
  <si>
    <t>Денежные средства</t>
  </si>
  <si>
    <t>Предполагаемый темп годового роста цен</t>
  </si>
  <si>
    <t>для основной валюты</t>
  </si>
  <si>
    <t>То же, в пересчете на период, равный шагу проекта</t>
  </si>
  <si>
    <t>Множитель прироста цен для основной валюты</t>
  </si>
  <si>
    <t>Предполагаемый годовой темп прироста</t>
  </si>
  <si>
    <t>обменного курса иностранной валюты</t>
  </si>
  <si>
    <t xml:space="preserve">АЛЬТ-Инвест™ </t>
  </si>
  <si>
    <t xml:space="preserve">Сумм </t>
  </si>
  <si>
    <t xml:space="preserve">Строительство </t>
  </si>
  <si>
    <t xml:space="preserve">Демо </t>
  </si>
  <si>
    <t xml:space="preserve">Пробная версия </t>
  </si>
  <si>
    <t xml:space="preserve">ALT-Invest™ </t>
  </si>
  <si>
    <t xml:space="preserve">Summ </t>
  </si>
  <si>
    <t xml:space="preserve">Demo </t>
  </si>
  <si>
    <t xml:space="preserve">Trial </t>
  </si>
  <si>
    <t>Название проекта:</t>
  </si>
  <si>
    <t>Проект 1</t>
  </si>
  <si>
    <t>Дата начала проекта</t>
  </si>
  <si>
    <t>Срок жизни проекта</t>
  </si>
  <si>
    <t>Шаг планирования</t>
  </si>
  <si>
    <t>Длительность шага планирования</t>
  </si>
  <si>
    <t>Основная валюта расчета</t>
  </si>
  <si>
    <t>Иностранная валюта</t>
  </si>
  <si>
    <t>Валюта для отображения результатов</t>
  </si>
  <si>
    <t>год</t>
  </si>
  <si>
    <t>тыс. руб.</t>
  </si>
  <si>
    <t>$</t>
  </si>
  <si>
    <t>Язык интерфейса и таблиц</t>
  </si>
  <si>
    <t>Защита</t>
  </si>
  <si>
    <t>Показывать реальные даты в названиях периодов?</t>
  </si>
  <si>
    <t>Год начала проекта</t>
  </si>
  <si>
    <t>Месяц начала проекта</t>
  </si>
  <si>
    <t>Номера периодов</t>
  </si>
  <si>
    <t>Наименования периодов без учета дат</t>
  </si>
  <si>
    <t>Дата начала периода</t>
  </si>
  <si>
    <t>Наименования периодов с учетом дат</t>
  </si>
  <si>
    <t>мес.</t>
  </si>
  <si>
    <t>кв.</t>
  </si>
  <si>
    <t>пг.</t>
  </si>
  <si>
    <t>лет</t>
  </si>
  <si>
    <t>месяц</t>
  </si>
  <si>
    <t>квартал</t>
  </si>
  <si>
    <t>полугодие</t>
  </si>
  <si>
    <t>дн.</t>
  </si>
  <si>
    <t>руб.</t>
  </si>
  <si>
    <t>EUR</t>
  </si>
  <si>
    <t>GBP</t>
  </si>
  <si>
    <t>гр.</t>
  </si>
  <si>
    <t>тнг.</t>
  </si>
  <si>
    <t>тыс. $</t>
  </si>
  <si>
    <t>тыс. EUR</t>
  </si>
  <si>
    <t>тыс. GBP</t>
  </si>
  <si>
    <t>тыс. гр.</t>
  </si>
  <si>
    <t>тыс. тнг</t>
  </si>
  <si>
    <t>леи</t>
  </si>
  <si>
    <t>тыс. леев</t>
  </si>
  <si>
    <t>Русский</t>
  </si>
  <si>
    <t>Включена</t>
  </si>
  <si>
    <t>Выключена</t>
  </si>
  <si>
    <t>Да</t>
  </si>
  <si>
    <t>Нет</t>
  </si>
  <si>
    <t>int_start</t>
  </si>
  <si>
    <t>Внеоборотные активы</t>
  </si>
  <si>
    <t>Запасы сырья и материалов</t>
  </si>
  <si>
    <t>Запасы готовой продукции</t>
  </si>
  <si>
    <t>Viso pinigų srautai centrinei valdžiai</t>
  </si>
  <si>
    <t>Viso pinigų srautai regioninei savivaldai</t>
  </si>
  <si>
    <t>Diskonto norma</t>
  </si>
  <si>
    <t>Diskontuoti pinigų srautai centrinei valdžiai</t>
  </si>
  <si>
    <t>Diskontuoti pinigų srautai regioninei savivaldai</t>
  </si>
  <si>
    <t xml:space="preserve">Grynoji dabartinė pinigų srautų centrinei valdžiai vertė </t>
  </si>
  <si>
    <t xml:space="preserve">Grynoji dabartinė pinigų srautų regioninei savivaldai vertė </t>
  </si>
  <si>
    <t xml:space="preserve">    PAGRINDINIAI PROJEKTO PARAMETRAI</t>
  </si>
  <si>
    <t>Pardavimai (be PVM)</t>
  </si>
  <si>
    <t>Gamybos savikaina (be PVM)</t>
  </si>
  <si>
    <t>Investicijos į ilgalaikį turtą</t>
  </si>
  <si>
    <t>Investicijos į akcinį kapitalą ir dotacijos</t>
  </si>
  <si>
    <t xml:space="preserve">         CONSOLIDATED BALANCE SHEET</t>
  </si>
  <si>
    <t>Chart: Consolidated assets</t>
  </si>
  <si>
    <t xml:space="preserve">    расчетная величина лизинговых платежей (без НДС)</t>
  </si>
  <si>
    <t>Реальная величина лизинговых платежей (с НДС)</t>
  </si>
  <si>
    <t>Gautos paskolos</t>
  </si>
  <si>
    <t>Investicijų efektyvumas</t>
  </si>
  <si>
    <t>Akcinio kapitalo grąža</t>
  </si>
  <si>
    <t>Skolinto kapitalo grąža</t>
  </si>
  <si>
    <t>Kompanijos projektų portfelis</t>
  </si>
  <si>
    <t>Kompanijos pavadinimas:</t>
  </si>
  <si>
    <t>Kompanija be pavadinimo</t>
  </si>
  <si>
    <t>Projektų sąrašas</t>
  </si>
  <si>
    <t>Įskaičiuoti?</t>
  </si>
  <si>
    <t>Šaltinis</t>
  </si>
  <si>
    <t>Paskutinį kartą atnaujinta pagal išorės duomenis:</t>
  </si>
  <si>
    <t>Projektų portfelio biudžeto parametrai</t>
  </si>
  <si>
    <t>Pirmojo laikotarpio pradžios data</t>
  </si>
  <si>
    <t>Trukmė</t>
  </si>
  <si>
    <t>Planavimo žingsnis (mėnesis, ketvirtis, metai)</t>
  </si>
  <si>
    <t>Projektų vykdymo terminai</t>
  </si>
  <si>
    <t>nuo laikotarpio</t>
  </si>
  <si>
    <t>iki laikotrapio</t>
  </si>
  <si>
    <t>Biudžeto metų pradžia</t>
  </si>
  <si>
    <t>Biudžeto pradžios mėnuo</t>
  </si>
  <si>
    <t>Laikotarpių skaičius</t>
  </si>
  <si>
    <t>без выкупа (учет на балансе лизингодателя)</t>
  </si>
  <si>
    <t>без выкупа (учет на балансе лизингополучателя)</t>
  </si>
  <si>
    <t>Постоянные цены (без учета инфляции)</t>
  </si>
  <si>
    <t>Текущие цены (с учетом инфляции)</t>
  </si>
  <si>
    <t>Авансовый платеж (с НДС)</t>
  </si>
  <si>
    <t xml:space="preserve">    оплачено сырья и материалов (без НДС)</t>
  </si>
  <si>
    <t xml:space="preserve">    выплаченные авансы</t>
  </si>
  <si>
    <t>Основной производственный персонал</t>
  </si>
  <si>
    <t>Вспомогательный производственный персонал</t>
  </si>
  <si>
    <t>Административный персонал</t>
  </si>
  <si>
    <t>Коммерческий персонал</t>
  </si>
  <si>
    <t>Общая численность персонала</t>
  </si>
  <si>
    <t>Мес. оклад</t>
  </si>
  <si>
    <t>чел.</t>
  </si>
  <si>
    <t>qnt;int_avg</t>
  </si>
  <si>
    <t>summprj;int_sum</t>
  </si>
  <si>
    <t>summprj;int_end</t>
  </si>
  <si>
    <t>Общие производственные расходы</t>
  </si>
  <si>
    <t>Расходы на зарплату с учетом ЕСН и страхования</t>
  </si>
  <si>
    <t>Прямые производственные расходы</t>
  </si>
  <si>
    <t>Зарплата вспомогательного произв. персонала</t>
  </si>
  <si>
    <t>ЕСН на зарплату вспомогательного произв. персонала</t>
  </si>
  <si>
    <t>Зарплата коммерческого персонала</t>
  </si>
  <si>
    <t>ЕСН на зарплату коммерческого персонала</t>
  </si>
  <si>
    <t>Зарплата административного персонала</t>
  </si>
  <si>
    <t>ЕСН на зарплату административного персонала</t>
  </si>
  <si>
    <t>в том числе НДС</t>
  </si>
  <si>
    <t>Амортизация</t>
  </si>
  <si>
    <t>Земельный и другие налоги, относимые на текущие затраты</t>
  </si>
  <si>
    <t>1_02</t>
  </si>
  <si>
    <t xml:space="preserve"> = Итого: затраты в отчете о прибылях и убытках</t>
  </si>
  <si>
    <t xml:space="preserve">    материалы и комплектующие</t>
  </si>
  <si>
    <t xml:space="preserve">    оплата труда</t>
  </si>
  <si>
    <t xml:space="preserve">    налоги, относимые на текущие затраты</t>
  </si>
  <si>
    <t xml:space="preserve">    производственные расходы</t>
  </si>
  <si>
    <t xml:space="preserve">    начисленные лизинговые платежи</t>
  </si>
  <si>
    <t xml:space="preserve">    амортизация</t>
  </si>
  <si>
    <t xml:space="preserve">    коммерческие расходы</t>
  </si>
  <si>
    <t>Жилые площади</t>
  </si>
  <si>
    <t>Living area</t>
  </si>
  <si>
    <t xml:space="preserve">    административные расходы</t>
  </si>
  <si>
    <t xml:space="preserve"> = Итого: оплата текущих расходов</t>
  </si>
  <si>
    <t xml:space="preserve">    Материалы и комплектующие</t>
  </si>
  <si>
    <t>Денежные средства на конец периода</t>
  </si>
  <si>
    <t>Поступления собственного капитала</t>
  </si>
  <si>
    <t>Дебиторская задолженность</t>
  </si>
  <si>
    <t>Авансы уплаченные</t>
  </si>
  <si>
    <t>Готовая продукция</t>
  </si>
  <si>
    <t>Материалы и комплектующие</t>
  </si>
  <si>
    <t>НДС на приобретенные товары</t>
  </si>
  <si>
    <t>Прочие оборотные активы</t>
  </si>
  <si>
    <t>Суммарные оборотные активы</t>
  </si>
  <si>
    <t xml:space="preserve">    здания и сооружения</t>
  </si>
  <si>
    <t xml:space="preserve">    оборудование и прочие активы</t>
  </si>
  <si>
    <t>Незавершенные капиталовложения</t>
  </si>
  <si>
    <t>Суммарные внеоборотные активы</t>
  </si>
  <si>
    <t xml:space="preserve"> = ИТОГО АКТИВОВ</t>
  </si>
  <si>
    <t>Кредиторская задолженность</t>
  </si>
  <si>
    <t xml:space="preserve">    за поставленные товары</t>
  </si>
  <si>
    <t>Расчеты с бюджетом</t>
  </si>
  <si>
    <t>Расчеты с персоналом</t>
  </si>
  <si>
    <t>Авансы покупателей</t>
  </si>
  <si>
    <t>Краткосрочные кредиты</t>
  </si>
  <si>
    <t>Прочие краткосрочные обязательства</t>
  </si>
  <si>
    <t xml:space="preserve">    амортизация (линейная),       для срока использования:</t>
  </si>
  <si>
    <t xml:space="preserve">    импортная пошлина</t>
  </si>
  <si>
    <t xml:space="preserve">    доходность финансовых вложений</t>
  </si>
  <si>
    <t xml:space="preserve">    авансы выданные</t>
  </si>
  <si>
    <t>Учитывать при оценке эффективности в сумме</t>
  </si>
  <si>
    <t>1_03</t>
  </si>
  <si>
    <t>1_04</t>
  </si>
  <si>
    <t>1_11</t>
  </si>
  <si>
    <t>1_12</t>
  </si>
  <si>
    <t>1_13</t>
  </si>
  <si>
    <t>1_14</t>
  </si>
  <si>
    <t>1_05; int_end</t>
  </si>
  <si>
    <t>1_06; int_end</t>
  </si>
  <si>
    <t>1_09; int_end</t>
  </si>
  <si>
    <t>1_10; int_end</t>
  </si>
  <si>
    <t>1_07; int_end</t>
  </si>
  <si>
    <t>1_08; int_end</t>
  </si>
  <si>
    <t>1_16</t>
  </si>
  <si>
    <t>1_17; int_end</t>
  </si>
  <si>
    <t>1_18</t>
  </si>
  <si>
    <t>Инвестиции в здания и сооружения</t>
  </si>
  <si>
    <t xml:space="preserve">    затраты без НДС</t>
  </si>
  <si>
    <t>Прочие переменные затраты</t>
  </si>
  <si>
    <t xml:space="preserve">    прочие переменные затраты</t>
  </si>
  <si>
    <t>Акцизы и экспортные пошлины</t>
  </si>
  <si>
    <t>Импортные пошлины</t>
  </si>
  <si>
    <t xml:space="preserve">    ставка</t>
  </si>
  <si>
    <t xml:space="preserve">    период уплаты</t>
  </si>
  <si>
    <t xml:space="preserve">    способ зачета переплаченного НДС</t>
  </si>
  <si>
    <t>НДС полученный</t>
  </si>
  <si>
    <t xml:space="preserve">    от продажи товаров (работ, услуг)</t>
  </si>
  <si>
    <t xml:space="preserve">    investment stage starts in the</t>
  </si>
  <si>
    <t xml:space="preserve">    план реализации</t>
  </si>
  <si>
    <t xml:space="preserve">    склад готовой продукции</t>
  </si>
  <si>
    <t>Плановый расход на единицу продукции</t>
  </si>
  <si>
    <t xml:space="preserve">    списано затрат на реализованную продукцию</t>
  </si>
  <si>
    <t xml:space="preserve">    остаток затрат на складе готовой продукции</t>
  </si>
  <si>
    <t>Наименование материала</t>
  </si>
  <si>
    <t>Raw material or component name</t>
  </si>
  <si>
    <t>Name of cost</t>
  </si>
  <si>
    <t xml:space="preserve">    остаток затрат в незавершенном производстве</t>
  </si>
  <si>
    <t>Курсовые разницы</t>
  </si>
  <si>
    <t>Учитывать остаточную стоимость проекта</t>
  </si>
  <si>
    <t>Валюта расчетов:</t>
  </si>
  <si>
    <t>Годовая ставка дисконтирования:</t>
  </si>
  <si>
    <t xml:space="preserve">    ставка дисконтирования на расчетный период</t>
  </si>
  <si>
    <t xml:space="preserve">    коэффициент дисконта</t>
  </si>
  <si>
    <t>Учитываемые денежные потоки проекта:</t>
  </si>
  <si>
    <t xml:space="preserve">    за исключением процентов по кредитам</t>
  </si>
  <si>
    <t>Поступления целевого финансирования</t>
  </si>
  <si>
    <t>Ранее осуществленные инвестиции</t>
  </si>
  <si>
    <t>Остаточная стоимость проекта</t>
  </si>
  <si>
    <t>Чистый денежный поток</t>
  </si>
  <si>
    <t>Дисконтированный чистый денежный поток</t>
  </si>
  <si>
    <t>Дисконтированный поток нарастающим итогом</t>
  </si>
  <si>
    <t>Простой срок окупаемости</t>
  </si>
  <si>
    <t xml:space="preserve">    недисконтированный поток нарастающим итогом</t>
  </si>
  <si>
    <t xml:space="preserve">    знак остатка денежных средств</t>
  </si>
  <si>
    <t xml:space="preserve">    знак остатка денежных средств (с конца)</t>
  </si>
  <si>
    <t>Чистая приведенная стоимость (NPV)</t>
  </si>
  <si>
    <t>Дисконтированный срок окупаемости (PBP)</t>
  </si>
  <si>
    <t xml:space="preserve">    знак остатка дисконтированных денежных средств</t>
  </si>
  <si>
    <t xml:space="preserve">    знак остатка дисконтированных денежных средств (с конца)</t>
  </si>
  <si>
    <t>Внутренняя норма рентабельности (IRR)</t>
  </si>
  <si>
    <t>Модифицированная IRR (MIRR)</t>
  </si>
  <si>
    <t>Ставка реинвестирования доходов</t>
  </si>
  <si>
    <t>Начало строительства очереди</t>
  </si>
  <si>
    <t>Ставка дисконтирования инвестиционных затрат</t>
  </si>
  <si>
    <t>Учитывать ранее осуществленные инвестиции</t>
  </si>
  <si>
    <t xml:space="preserve">    в пересчете на период, равный шагу проекта</t>
  </si>
  <si>
    <t>Площадь</t>
  </si>
  <si>
    <t>кв. м</t>
  </si>
  <si>
    <t>Стадия строительства №1</t>
  </si>
  <si>
    <t>Стоимость одного кв. м (с НДС)</t>
  </si>
  <si>
    <t>Внимание! Сумма продаваемых долей не может превышать 100%</t>
  </si>
  <si>
    <t>Стоимость оставшейся доли объекта на начало периода:</t>
  </si>
  <si>
    <t>К оплате от покупателей</t>
  </si>
  <si>
    <t xml:space="preserve">    проценты по новым инвестиционным кредитам</t>
  </si>
  <si>
    <t>Прибыль / убыток от реализации внеоборотных активов</t>
  </si>
  <si>
    <t>Денежные средства на начало периода</t>
  </si>
  <si>
    <t xml:space="preserve">   НДС к зачету</t>
  </si>
  <si>
    <t xml:space="preserve">   НДС в бюджет</t>
  </si>
  <si>
    <t>Передача площадей</t>
  </si>
  <si>
    <t xml:space="preserve">    передача площадей</t>
  </si>
  <si>
    <t>Итого: Поступление финансирования</t>
  </si>
  <si>
    <t>Итого: Передано площадей на сумму</t>
  </si>
  <si>
    <t xml:space="preserve">    передано влощадей в кв. м</t>
  </si>
  <si>
    <t>Цены за кв. м (с НДС)</t>
  </si>
  <si>
    <t>Проценты по кредитам на инвестиционной фазе</t>
  </si>
  <si>
    <t>Общая величина ранее осуществленных инвестиций</t>
  </si>
  <si>
    <t xml:space="preserve">    в том числе НДС</t>
  </si>
  <si>
    <t xml:space="preserve"> = Итого: Здания и сооружения</t>
  </si>
  <si>
    <t xml:space="preserve">    балансовая стоимость</t>
  </si>
  <si>
    <t xml:space="preserve">    прибыль/убыток от реализации активов</t>
  </si>
  <si>
    <t xml:space="preserve"> = Итого: Земельные участки</t>
  </si>
  <si>
    <t xml:space="preserve"> = Итого: Нематериальные активы</t>
  </si>
  <si>
    <t xml:space="preserve"> = Итого: Финансовые вложения</t>
  </si>
  <si>
    <t xml:space="preserve"> = Итого: Оборудование и другие активы</t>
  </si>
  <si>
    <t xml:space="preserve"> = Итого: Расходы будущих периодов</t>
  </si>
  <si>
    <t xml:space="preserve"> = Итого: ВСЕ АКТИВЫ</t>
  </si>
  <si>
    <t>Рентабельность активов</t>
  </si>
  <si>
    <t>Рентабельность собственного капитала</t>
  </si>
  <si>
    <t xml:space="preserve"> = Итого: Начисление процентов</t>
  </si>
  <si>
    <t xml:space="preserve">    задолженность по кредитам на оборотный капитал</t>
  </si>
  <si>
    <t>Общий коэффициент покрытия долга</t>
  </si>
  <si>
    <t>разы</t>
  </si>
  <si>
    <t>Существующие кредиты</t>
  </si>
  <si>
    <t>Новые кредиты</t>
  </si>
  <si>
    <t>2/1_01</t>
  </si>
  <si>
    <t>2/1_02</t>
  </si>
  <si>
    <t>2/1_03</t>
  </si>
  <si>
    <t>2/1_07</t>
  </si>
  <si>
    <t>2/1_04;int_end</t>
  </si>
  <si>
    <t>Потребность в инвестициях</t>
  </si>
  <si>
    <t>Инвестиции в нематериальные активы</t>
  </si>
  <si>
    <t>Инвестиции в оборудование и прочие активы</t>
  </si>
  <si>
    <t>Инвестиции в оборотный капитал</t>
  </si>
  <si>
    <t>Инвестиции в земельные участки</t>
  </si>
  <si>
    <t>Средства от текущей деятельности</t>
  </si>
  <si>
    <t>Дивиденды</t>
  </si>
  <si>
    <t>Лизинговые платежи</t>
  </si>
  <si>
    <t>Возврат кредитов</t>
  </si>
  <si>
    <t>Минимальный остаток средств на счете</t>
  </si>
  <si>
    <t>Выручка (нетто)</t>
  </si>
  <si>
    <t>Валовая прибыль</t>
  </si>
  <si>
    <t>Проценты</t>
  </si>
  <si>
    <t>Налог на прибыль</t>
  </si>
  <si>
    <t>в том числе</t>
  </si>
  <si>
    <t>Чистая прибыль (убыток)</t>
  </si>
  <si>
    <t>Нераспределенная прибыль</t>
  </si>
  <si>
    <t>Налоги, относимые на финансовые результаты</t>
  </si>
  <si>
    <t>Поступления от продаж</t>
  </si>
  <si>
    <t>Затраты на материалы и комплектующие</t>
  </si>
  <si>
    <t>Зарплата</t>
  </si>
  <si>
    <t>Общие затраты</t>
  </si>
  <si>
    <t>Налоги</t>
  </si>
  <si>
    <t>Выплата процентов по кредитам</t>
  </si>
  <si>
    <t>Прочие поступления</t>
  </si>
  <si>
    <t>Прочие затраты</t>
  </si>
  <si>
    <t>Денежные потоки от операционной деятельности</t>
  </si>
  <si>
    <t>Выручка от реализации активов</t>
  </si>
  <si>
    <t>Денежные потоки от инвестиционной деятельности</t>
  </si>
  <si>
    <t>Поступления кредитов</t>
  </si>
  <si>
    <t>Выплата дивидендов</t>
  </si>
  <si>
    <t xml:space="preserve">         ЛИЗИНГ</t>
  </si>
  <si>
    <t xml:space="preserve">         ПЛАН РЕАЛИЗАЦИИ</t>
  </si>
  <si>
    <t>Суммарные краткосрочные обязательства</t>
  </si>
  <si>
    <t>Долгосрочные обязательства</t>
  </si>
  <si>
    <t>Прочие источники финансирования</t>
  </si>
  <si>
    <t>Суммарный собственный капитал</t>
  </si>
  <si>
    <t>Оплата строительства объекта</t>
  </si>
  <si>
    <t xml:space="preserve">    оплата без НДС</t>
  </si>
  <si>
    <t>Выполненный объем работ</t>
  </si>
  <si>
    <t xml:space="preserve">    работы без НДС</t>
  </si>
  <si>
    <t>Авансы подрядчикам (без НДС)</t>
  </si>
  <si>
    <t>Кредиторская задолженность подрядчикам (без НДС)</t>
  </si>
  <si>
    <t>Стоимость завершенного объекта</t>
  </si>
  <si>
    <t xml:space="preserve">    стоимость без НДС</t>
  </si>
  <si>
    <t>Доля площадей к передаче дольщикам / соинвесторам</t>
  </si>
  <si>
    <t>Доля площадей к продаже</t>
  </si>
  <si>
    <t>Учет доли объекта для собственного использования</t>
  </si>
  <si>
    <t>Здания и сооружения на балансе</t>
  </si>
  <si>
    <t>Срок амортизации</t>
  </si>
  <si>
    <t>Инвестиции в финансовые активы</t>
  </si>
  <si>
    <t xml:space="preserve">    при оплате инвестиционных вложений</t>
  </si>
  <si>
    <t xml:space="preserve">    зачтенный НДС на инвестиционные вложения</t>
  </si>
  <si>
    <t>НДС как актив</t>
  </si>
  <si>
    <t xml:space="preserve">    план производства</t>
  </si>
  <si>
    <t xml:space="preserve">    инвестиционная фаза начинается с начала</t>
  </si>
  <si>
    <t xml:space="preserve">         БЮДЖЕТНАЯ ЭФФЕКТИВНОСТЬ</t>
  </si>
  <si>
    <t xml:space="preserve">         ОСНОВНЫЕ ПОКАЗАТЕЛИ ПРОЕКТА</t>
  </si>
  <si>
    <t xml:space="preserve">         ПРИЛОЖЕНИЕ К ОТЧЕТУ О ПРИБЫЛЯХ И УБЫТКАХ</t>
  </si>
  <si>
    <t>Прочие доходы</t>
  </si>
  <si>
    <t>Прочие расходы</t>
  </si>
  <si>
    <t>Не пересчитывать налог</t>
  </si>
  <si>
    <t xml:space="preserve">         то же, в итоговой валюте</t>
  </si>
  <si>
    <t>Value of remaining property at the beginning of the period:</t>
  </si>
  <si>
    <t xml:space="preserve">    outflows</t>
  </si>
  <si>
    <t xml:space="preserve">    discounted outflows</t>
  </si>
  <si>
    <t>Parameter to be changed</t>
  </si>
  <si>
    <t>Range</t>
  </si>
  <si>
    <t>from:</t>
  </si>
  <si>
    <t>step:</t>
  </si>
  <si>
    <t>Resulting parameter</t>
  </si>
  <si>
    <t>Calculated values</t>
  </si>
  <si>
    <t>Result</t>
  </si>
  <si>
    <t>Chart: Sensitivity analysis</t>
  </si>
  <si>
    <t>Properties of calculation</t>
  </si>
  <si>
    <t>Sales volume (in pcs)</t>
  </si>
  <si>
    <t>Sales price</t>
  </si>
  <si>
    <t>&lt;end of list&gt;</t>
  </si>
  <si>
    <t>NPV</t>
  </si>
  <si>
    <t>NPV for equity investments</t>
  </si>
  <si>
    <t>NPV for banks</t>
  </si>
  <si>
    <t>Total net profit</t>
  </si>
  <si>
    <t>relative to planned value</t>
  </si>
  <si>
    <t>Accrued special taxes</t>
  </si>
  <si>
    <t>Use</t>
  </si>
  <si>
    <t>Don't use</t>
  </si>
  <si>
    <t>Subtract</t>
  </si>
  <si>
    <t>Баланс не сходится!</t>
  </si>
  <si>
    <t>Don't balance</t>
  </si>
  <si>
    <t xml:space="preserve">    амортизация за текущий период</t>
  </si>
  <si>
    <t>Зачет НДС</t>
  </si>
  <si>
    <t xml:space="preserve">    прибыль / убыток от продажи объекта</t>
  </si>
  <si>
    <t xml:space="preserve">    НДС к выручке от продажи объекта</t>
  </si>
  <si>
    <t>Авансы подрядчикам</t>
  </si>
  <si>
    <t>Кредиторская задолженность подрядчикам</t>
  </si>
  <si>
    <t>Учет доли к передаче дольщикам / соинвесторам</t>
  </si>
  <si>
    <t>Списание стоимости переданных площадей:</t>
  </si>
  <si>
    <t xml:space="preserve">    доля объекта, переданная в текущем периоде</t>
  </si>
  <si>
    <t xml:space="preserve">    непроданная доля объекта</t>
  </si>
  <si>
    <t>Доходы от продажи площадей</t>
  </si>
  <si>
    <t>Поступления от продажи площадей</t>
  </si>
  <si>
    <t xml:space="preserve">    доходы без НДС</t>
  </si>
  <si>
    <t>Передача проданных площадей</t>
  </si>
  <si>
    <t xml:space="preserve">    передача без НДС</t>
  </si>
  <si>
    <t>Себестоимость проданных площадей</t>
  </si>
  <si>
    <t>Полученные авансы</t>
  </si>
  <si>
    <t xml:space="preserve">   НДС с авансов</t>
  </si>
  <si>
    <t>Доходы от аренды</t>
  </si>
  <si>
    <t>Учет объекта в текущих активах</t>
  </si>
  <si>
    <t xml:space="preserve">     НДС к существующим активам</t>
  </si>
  <si>
    <t xml:space="preserve">    VAT on present assets</t>
  </si>
  <si>
    <t xml:space="preserve">  dabartinis turtas PVM</t>
  </si>
  <si>
    <t>График: Окупаемость проектов (для банка)</t>
  </si>
  <si>
    <t xml:space="preserve">         ОСНОВНЫЕ ПОКАЗАТЕЛИ ПРОЕКТОВ</t>
  </si>
  <si>
    <t>Прямые расходы к выручке от реализации</t>
  </si>
  <si>
    <t>Рентабельность по EBITDA</t>
  </si>
  <si>
    <t>Рентабельность по EBIT</t>
  </si>
  <si>
    <t>График: Рентабельность активов</t>
  </si>
  <si>
    <t>График: Прибыльность продаж</t>
  </si>
  <si>
    <t>График: Рентабельность по EBITDA</t>
  </si>
  <si>
    <t>Прибыль до налогообложения</t>
  </si>
  <si>
    <t>Project description</t>
  </si>
  <si>
    <t xml:space="preserve">         PROJECT SETTINGS</t>
  </si>
  <si>
    <t>Project title:</t>
  </si>
  <si>
    <t>Project 1</t>
  </si>
  <si>
    <t>Project start date</t>
  </si>
  <si>
    <t>Project duration</t>
  </si>
  <si>
    <t>Planning step</t>
  </si>
  <si>
    <t>Duration of planning step</t>
  </si>
  <si>
    <t>Primary currency</t>
  </si>
  <si>
    <t>Foreign currency</t>
  </si>
  <si>
    <t>Currency for financial reports</t>
  </si>
  <si>
    <t>Calculation method</t>
  </si>
  <si>
    <t>Constant prices (without inflation adjustment)</t>
  </si>
  <si>
    <t>Передано площадей на сумму</t>
  </si>
  <si>
    <t>Доля площадей, не облагаемых НДС</t>
  </si>
  <si>
    <t xml:space="preserve"> = Итого: Задолженность по кредитам</t>
  </si>
  <si>
    <t xml:space="preserve">    задолженность по инвестиционным кредитам</t>
  </si>
  <si>
    <t xml:space="preserve">    проценты начисленные</t>
  </si>
  <si>
    <t>Начисленные проценты</t>
  </si>
  <si>
    <t>int_rate;int_avg</t>
  </si>
  <si>
    <t>Инвестиционный кредит из федерального бюджета</t>
  </si>
  <si>
    <t>Инвестиционный кредит из регионального бюджета</t>
  </si>
  <si>
    <t>Кредит на пополнение оборотных средств</t>
  </si>
  <si>
    <t>Инвестиционный кредит</t>
  </si>
  <si>
    <t>autoloan_button</t>
  </si>
  <si>
    <t xml:space="preserve">    в том числе по процентам</t>
  </si>
  <si>
    <t>Задолженность на начало текущего периода</t>
  </si>
  <si>
    <t>График: Движение денежных средств</t>
  </si>
  <si>
    <t>График: Остаток денежных средств</t>
  </si>
  <si>
    <t>График: Активы проекта</t>
  </si>
  <si>
    <t>График: Пассивы проекта</t>
  </si>
  <si>
    <t>года</t>
  </si>
  <si>
    <t>(реальная - без учета инфляции)</t>
  </si>
  <si>
    <t>(номинальная - с учетом инфляции)</t>
  </si>
  <si>
    <t>Норма доходности дисконтированных затрат (PI)</t>
  </si>
  <si>
    <t xml:space="preserve">    притоки</t>
  </si>
  <si>
    <t xml:space="preserve">    дисконтированные притоки</t>
  </si>
  <si>
    <t xml:space="preserve">    оттоки</t>
  </si>
  <si>
    <t xml:space="preserve">    дисконтированные оттоки</t>
  </si>
  <si>
    <t>Итого - поступления от продаж</t>
  </si>
  <si>
    <t>ПРИВЛЕЧЕНИЕ ДОЛЬЩИКОВ/СОИНВЕСТОРОВ</t>
  </si>
  <si>
    <t>ПРОДАЖА ГОТОВЫХ ПЛОЩАДЕЙ (ПОКУПАТЕЛИ)</t>
  </si>
  <si>
    <t>СОБСТВЕННОЕ ИСПОЛЬЗОВАНИЕ ОБЪЕКТА</t>
  </si>
  <si>
    <t>Итого - стоимость переданных площадей</t>
  </si>
  <si>
    <t>Ставка, за кв. м в год (с НДС)</t>
  </si>
  <si>
    <t>Доступные для сдачи площади</t>
  </si>
  <si>
    <t>Сдано в аренду</t>
  </si>
  <si>
    <t>Поступления от аренды</t>
  </si>
  <si>
    <t>Прочие доходы (без НДС)</t>
  </si>
  <si>
    <t>Прочие расходы (без НДС)</t>
  </si>
  <si>
    <t>Данные для иностранной валюты</t>
  </si>
  <si>
    <t>Расход за период</t>
  </si>
  <si>
    <t xml:space="preserve">    оплачено расходов (без НДС)</t>
  </si>
  <si>
    <t>Привлечение финансирования</t>
  </si>
  <si>
    <t>Возврат финансирования</t>
  </si>
  <si>
    <t>ИТОГО ПО ОБЪЕКТУ</t>
  </si>
  <si>
    <t>График привлечения покупателей</t>
  </si>
  <si>
    <t>Передача проданных площадей покупателям</t>
  </si>
  <si>
    <t>Итого - поступления от аренды</t>
  </si>
  <si>
    <t xml:space="preserve">    продаваемая доля объекта</t>
  </si>
  <si>
    <t>Суммарная чистая прибыль</t>
  </si>
  <si>
    <t>&lt;конец списка анализируемых результатов&gt;</t>
  </si>
  <si>
    <t>Область</t>
  </si>
  <si>
    <t>%?</t>
  </si>
  <si>
    <t>от планового значения</t>
  </si>
  <si>
    <t>SENS_Sales</t>
  </si>
  <si>
    <t>SENS_Price</t>
  </si>
  <si>
    <t>SENS_Invest</t>
  </si>
  <si>
    <t>SENS_Discount</t>
  </si>
  <si>
    <t>TotalProfit</t>
  </si>
  <si>
    <t>График: Анализ чувствительности</t>
  </si>
  <si>
    <t>Список проектов</t>
  </si>
  <si>
    <t>List of projects</t>
  </si>
  <si>
    <t xml:space="preserve">         ОБЪЕМЫ РЕАЛИЗАЦИИ (в единицах)</t>
  </si>
  <si>
    <t xml:space="preserve">         ЦЕНА РЕАЛИЗАЦИИ (за единицу, с НДС)</t>
  </si>
  <si>
    <t xml:space="preserve">         ДОХОДЫ ОТ ПРОДАЖ</t>
  </si>
  <si>
    <t xml:space="preserve">         ОБЪЕМЫ ПРОИЗВОДСТВА (в единицах)</t>
  </si>
  <si>
    <t xml:space="preserve">         РАСХОД СЫРЬЯ И МАТЕРИАЛОВ (в единицах)</t>
  </si>
  <si>
    <t xml:space="preserve">         ЦЕНА СЫРЬЯ И МАТЕРИАЛОВ (за единицу, с НДС)</t>
  </si>
  <si>
    <t xml:space="preserve">         ЗАТРАТЫ НА СЫРЬЕ И МАТЕРИАЛЫ</t>
  </si>
  <si>
    <t xml:space="preserve">         ПРОЧИЕ ПЕРЕМЕННЫЕ ЗАТРАТЫ</t>
  </si>
  <si>
    <t xml:space="preserve">         ПЕРСОНАЛ И ЗАРАБОТНАЯ ПЛАТА</t>
  </si>
  <si>
    <t xml:space="preserve">         ТЕКУЩИЕ ЗАТРАТЫ</t>
  </si>
  <si>
    <t xml:space="preserve">         ОБОРОТНЫЙ КАПИТАЛ</t>
  </si>
  <si>
    <t xml:space="preserve">         СОБСТВЕННЫЙ КАПИТАЛ</t>
  </si>
  <si>
    <t xml:space="preserve">         КРЕДИТЫ</t>
  </si>
  <si>
    <t xml:space="preserve">         СВОДНЫЙ ОТЧЕТ ОБ ИНВЕСТИЦИЯХ В ПРОЕКТ</t>
  </si>
  <si>
    <t xml:space="preserve">         БАЛАНС</t>
  </si>
  <si>
    <t xml:space="preserve">         ПОКАЗАТЕЛИ ФИНАНСОВОЙ СОСТОЯТЕЛЬНОСТИ</t>
  </si>
  <si>
    <t xml:space="preserve">    убытки предыдущих периодов</t>
  </si>
  <si>
    <t xml:space="preserve">    prior period losses</t>
  </si>
  <si>
    <t xml:space="preserve">         ЭФФЕКТИВНОСТЬ ПОЛНЫХ ИНВЕСТИЦИОННЫХ ЗАТРАТ</t>
  </si>
  <si>
    <t xml:space="preserve">         ЭФФЕКТИВНОСТЬ ДЛЯ СОБСТВЕННОГО КАПИТАЛА</t>
  </si>
  <si>
    <t xml:space="preserve">         ЭФФЕКТИВНОСТЬ ДЛЯ БАНКА</t>
  </si>
  <si>
    <t xml:space="preserve">         ОЦЕНКА БИЗНЕСА</t>
  </si>
  <si>
    <t>Эффективная ставка налога на прибыль</t>
  </si>
  <si>
    <t>Портфель проектов компании</t>
  </si>
  <si>
    <t>Учитывать?</t>
  </si>
  <si>
    <t>Последнее обновление проектов из внешних книг:</t>
  </si>
  <si>
    <t>Параметры бюджета портфеля проектов</t>
  </si>
  <si>
    <t>Дата начала первого периода</t>
  </si>
  <si>
    <t>Длительность</t>
  </si>
  <si>
    <t>Периоды осуществления проектов</t>
  </si>
  <si>
    <t>с периода</t>
  </si>
  <si>
    <t>по период</t>
  </si>
  <si>
    <t>Год начала бюджета</t>
  </si>
  <si>
    <t>Месяц начала бюджета</t>
  </si>
  <si>
    <t>Налог на прибыль по консолидированной отчетности</t>
  </si>
  <si>
    <t>Источник</t>
  </si>
  <si>
    <t xml:space="preserve">         СОСТАВ ПОРТФЕЛЯ</t>
  </si>
  <si>
    <t>Ставка налога на прибыль</t>
  </si>
  <si>
    <t>График: Прибыль проектов</t>
  </si>
  <si>
    <t>Прибыль / убыток от строительной деятельности</t>
  </si>
  <si>
    <t xml:space="preserve">    прибыль/убыток от строительной деятельности</t>
  </si>
  <si>
    <t xml:space="preserve">    величина платежей (с НДС)</t>
  </si>
  <si>
    <t>Нераспределенная прибыль (за период)</t>
  </si>
  <si>
    <t>Нераспределенная прибыль (на начало периода, нарастающим итогом)</t>
  </si>
  <si>
    <t>Нераспределенная прибыль (на конец периода, нарастающим итогом)</t>
  </si>
  <si>
    <t xml:space="preserve">    коэффициент дисконта на середину периода</t>
  </si>
  <si>
    <t xml:space="preserve">         СВОДНЫЙ ОТЧЕТ О ПРИБЫЛЯХ И УБЫТКАХ</t>
  </si>
  <si>
    <t xml:space="preserve">         СВОДНЫЙ ОТЧЕТ О ДВИЖЕНИИ ДЕНЕЖНЫХ СРЕДСТВ</t>
  </si>
  <si>
    <t xml:space="preserve">         СВОДНЫЙ БАЛАНС</t>
  </si>
  <si>
    <t>График: Активы проектов</t>
  </si>
  <si>
    <t>График: Пассивы проектов</t>
  </si>
  <si>
    <t xml:space="preserve">         СВОДНЫЕ ПОКАЗАТЕЛИ ФИНАНСОВОЙ СОСТОЯТЕЛЬНОСТИ</t>
  </si>
  <si>
    <t>График: Окупаемость проектов (для полных инвестиционных затрат)</t>
  </si>
  <si>
    <t>График: Окупаемость проектов (для собственного капитала)</t>
  </si>
  <si>
    <t xml:space="preserve">         ОТЧЕТ О ДВИЖЕНИИ ДЕНЕЖНЫХ СРЕДСТВ</t>
  </si>
  <si>
    <t>1_20;set_0</t>
  </si>
  <si>
    <t xml:space="preserve">    интервал, в котором впервые взят кредит</t>
  </si>
  <si>
    <t>Изменяемый параметр</t>
  </si>
  <si>
    <t>Итоговый показатель</t>
  </si>
  <si>
    <t>В интервале</t>
  </si>
  <si>
    <t xml:space="preserve">от: </t>
  </si>
  <si>
    <t xml:space="preserve">с шагом: </t>
  </si>
  <si>
    <t>Таблица рассчитанных значений</t>
  </si>
  <si>
    <t>Значение</t>
  </si>
  <si>
    <t>Результат</t>
  </si>
  <si>
    <t>Параметры анализа чувствительности</t>
  </si>
  <si>
    <t>Цена продажи</t>
  </si>
  <si>
    <t>Ставка дисконтирования</t>
  </si>
  <si>
    <t>&lt;конец списка изменяемых параметров&gt;</t>
  </si>
  <si>
    <t>NPV для полных инвестиционных затрат</t>
  </si>
  <si>
    <t>NPV для собственного капитала</t>
  </si>
  <si>
    <t>NPV для банка</t>
  </si>
  <si>
    <t xml:space="preserve">  investicinė stadija prasideda nuo</t>
  </si>
  <si>
    <t>Savikaina</t>
  </si>
  <si>
    <t>Mokesčiai, išskyrus pelno mokestį</t>
  </si>
  <si>
    <t>Veiklos pelnas (nuostolis)</t>
  </si>
  <si>
    <t>Grafikas: pardavimai</t>
  </si>
  <si>
    <t>Priskaičiuoti specialūs mokesčiai</t>
  </si>
  <si>
    <t>Išskaičiuoti</t>
  </si>
  <si>
    <t>Grafikas: paskolų srautų pokyčiai</t>
  </si>
  <si>
    <t>Grafikas: paskolų likučiai</t>
  </si>
  <si>
    <t>Grafikas: pardavimų įplaukos</t>
  </si>
  <si>
    <t>Annual exchange rate appreciation assumption</t>
  </si>
  <si>
    <t>Current prices (with inflation adjustment)</t>
  </si>
  <si>
    <t>Interface and tables language</t>
  </si>
  <si>
    <t>Protection</t>
  </si>
  <si>
    <t xml:space="preserve">    в соответствии с графиком оплаты затрат</t>
  </si>
  <si>
    <t>Примечание</t>
  </si>
  <si>
    <t>Производительность по входу в час</t>
  </si>
  <si>
    <t>Мусор</t>
  </si>
  <si>
    <t>Фракция М1</t>
  </si>
  <si>
    <t>0,5-3</t>
  </si>
  <si>
    <t>Фракция М2</t>
  </si>
  <si>
    <t>0-0,5</t>
  </si>
  <si>
    <t>Фракция МП</t>
  </si>
  <si>
    <t>Потери влаги</t>
  </si>
  <si>
    <t>Потери аспирации</t>
  </si>
  <si>
    <t>Признак</t>
  </si>
  <si>
    <t>Сырье</t>
  </si>
  <si>
    <t>Отходы</t>
  </si>
  <si>
    <t>Продукция</t>
  </si>
  <si>
    <t>Отходы Итог</t>
  </si>
  <si>
    <t>Продукция Итог</t>
  </si>
  <si>
    <t>Общий итог</t>
  </si>
  <si>
    <t>Проц.</t>
  </si>
  <si>
    <t>Кол-во</t>
  </si>
  <si>
    <t>Часов в интервале планирования</t>
  </si>
  <si>
    <t>На квартал</t>
  </si>
  <si>
    <t>0-0,08</t>
  </si>
  <si>
    <t>Цена</t>
  </si>
  <si>
    <t>Вспомогательные рабочие</t>
  </si>
  <si>
    <t>Сбыт и снабжение</t>
  </si>
  <si>
    <t>Нормативные расходы на АУП</t>
  </si>
  <si>
    <t>Инвестиционный кредит 1</t>
  </si>
  <si>
    <t>1 квартал = 3 месяца, по 30 дней, по 22 часа, работа в 3 смены</t>
  </si>
  <si>
    <t>Недожог</t>
  </si>
  <si>
    <t>Сухая зола</t>
  </si>
  <si>
    <t>шт</t>
  </si>
  <si>
    <t>Наименование затрат</t>
  </si>
  <si>
    <t>Прочие производственные расходы</t>
  </si>
  <si>
    <t>час</t>
  </si>
  <si>
    <t>Специалист по управлению проектами</t>
  </si>
  <si>
    <t>Наименование проека</t>
  </si>
  <si>
    <t>Наименование проекта</t>
  </si>
  <si>
    <t>Наименование товара</t>
  </si>
  <si>
    <t xml:space="preserve">Наименование сырья </t>
  </si>
  <si>
    <t xml:space="preserve">Наименование </t>
  </si>
  <si>
    <t>Компьютер</t>
  </si>
  <si>
    <t>Лицензия продукта</t>
  </si>
  <si>
    <t>TeamLead программист</t>
  </si>
  <si>
    <t>backend-программист</t>
  </si>
  <si>
    <t>frontend-программист</t>
  </si>
  <si>
    <t>Аренда офиса</t>
  </si>
  <si>
    <t>Маркетолог</t>
  </si>
  <si>
    <t>Реклама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</si>
</sst>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р_._-;\-* #,##0.00_р_._-;_-* &quot;-&quot;??_р_._-;_-@_-"/>
    <numFmt numFmtId="165" formatCode="0.0%"/>
    <numFmt numFmtId="166" formatCode="0.0000"/>
    <numFmt numFmtId="167" formatCode="#,##0.0"/>
    <numFmt numFmtId="168" formatCode="_-* #,##0_р_._-;\-* #,##0_р_._-;_-* &quot;-&quot;??_р_._-;_-@_-"/>
    <numFmt numFmtId="169" formatCode="_-* #,##0[$р.-419]_-;\-* #,##0[$р.-419]_-;_-* &quot;-&quot;??[$р.-419]_-;_-@_-"/>
    <numFmt numFmtId="170" formatCode="#,##0.000"/>
    <numFmt numFmtId="171" formatCode="#,##0.0000"/>
  </numFmts>
  <fonts count="50" x14ac:knownFonts="1">
    <font>
      <sz val="8"/>
      <color theme="1"/>
      <name val="Arial"/>
      <family val="2"/>
      <charset val="204"/>
    </font>
    <font>
      <sz val="8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8"/>
      <color indexed="23"/>
      <name val="Arial"/>
      <family val="2"/>
      <charset val="204"/>
    </font>
    <font>
      <sz val="12"/>
      <color indexed="8"/>
      <name val="Arial"/>
      <family val="2"/>
      <charset val="204"/>
    </font>
    <font>
      <b/>
      <sz val="12"/>
      <color indexed="56"/>
      <name val="Arial"/>
      <family val="2"/>
      <charset val="204"/>
    </font>
    <font>
      <b/>
      <sz val="8"/>
      <color indexed="8"/>
      <name val="Arial"/>
      <family val="2"/>
      <charset val="204"/>
    </font>
    <font>
      <i/>
      <sz val="8"/>
      <color indexed="8"/>
      <name val="Arial"/>
      <family val="2"/>
      <charset val="204"/>
    </font>
    <font>
      <b/>
      <i/>
      <sz val="8"/>
      <color indexed="60"/>
      <name val="Arial"/>
      <family val="2"/>
      <charset val="204"/>
    </font>
    <font>
      <sz val="8"/>
      <color indexed="60"/>
      <name val="Arial"/>
      <family val="2"/>
      <charset val="204"/>
    </font>
    <font>
      <b/>
      <i/>
      <sz val="8"/>
      <color indexed="8"/>
      <name val="Arial"/>
      <family val="2"/>
      <charset val="204"/>
    </font>
    <font>
      <sz val="8"/>
      <name val="Arial"/>
      <family val="2"/>
      <charset val="204"/>
    </font>
    <font>
      <sz val="8"/>
      <name val="Arial Cyr"/>
      <charset val="204"/>
    </font>
    <font>
      <i/>
      <sz val="8"/>
      <color indexed="10"/>
      <name val="Arial"/>
      <family val="2"/>
      <charset val="204"/>
    </font>
    <font>
      <i/>
      <sz val="12"/>
      <color indexed="8"/>
      <name val="Arial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indexed="8"/>
      <name val="Arial"/>
      <family val="2"/>
      <charset val="204"/>
    </font>
    <font>
      <sz val="8"/>
      <color indexed="10"/>
      <name val="Arial"/>
      <family val="2"/>
      <charset val="204"/>
    </font>
    <font>
      <i/>
      <sz val="8"/>
      <color indexed="10"/>
      <name val="Arial Cyr"/>
      <charset val="204"/>
    </font>
    <font>
      <sz val="9"/>
      <color indexed="81"/>
      <name val="Tahoma"/>
      <family val="2"/>
      <charset val="204"/>
    </font>
    <font>
      <sz val="8"/>
      <name val="Arial Cyr"/>
    </font>
    <font>
      <b/>
      <sz val="9"/>
      <color indexed="81"/>
      <name val="Tahoma"/>
      <family val="2"/>
      <charset val="204"/>
    </font>
    <font>
      <b/>
      <sz val="8"/>
      <color indexed="8"/>
      <name val="Arial"/>
      <family val="2"/>
      <charset val="204"/>
    </font>
    <font>
      <i/>
      <sz val="8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8"/>
      <name val="Arial Cyr"/>
      <family val="2"/>
      <charset val="204"/>
    </font>
    <font>
      <sz val="8"/>
      <color indexed="9"/>
      <name val="Arial Cyr"/>
      <charset val="204"/>
    </font>
    <font>
      <i/>
      <sz val="10"/>
      <color indexed="23"/>
      <name val="Arial"/>
      <family val="2"/>
      <charset val="204"/>
    </font>
    <font>
      <i/>
      <sz val="8"/>
      <color indexed="8"/>
      <name val="Arial"/>
      <family val="2"/>
      <charset val="204"/>
    </font>
    <font>
      <b/>
      <i/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sz val="8"/>
      <color indexed="9"/>
      <name val="Arial"/>
      <family val="2"/>
      <charset val="204"/>
    </font>
    <font>
      <b/>
      <sz val="8"/>
      <color indexed="9"/>
      <name val="Arial"/>
      <family val="2"/>
      <charset val="204"/>
    </font>
    <font>
      <b/>
      <sz val="8"/>
      <color indexed="8"/>
      <name val="Arial"/>
      <family val="2"/>
      <charset val="204"/>
    </font>
    <font>
      <i/>
      <sz val="8"/>
      <color indexed="8"/>
      <name val="Arial"/>
      <family val="2"/>
      <charset val="204"/>
    </font>
    <font>
      <sz val="10"/>
      <name val="Arial Cyr"/>
    </font>
    <font>
      <b/>
      <sz val="9"/>
      <color indexed="81"/>
      <name val="Arial Cyr"/>
    </font>
    <font>
      <sz val="9"/>
      <color indexed="81"/>
      <name val="Arial Cyr"/>
    </font>
    <font>
      <b/>
      <sz val="8"/>
      <color indexed="8"/>
      <name val="Arial"/>
      <family val="2"/>
      <charset val="204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sz val="8"/>
      <color theme="1"/>
      <name val="Arial"/>
      <family val="2"/>
      <charset val="204"/>
    </font>
    <font>
      <b/>
      <sz val="15"/>
      <color theme="3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8"/>
      <color rgb="FF000000"/>
      <name val="Arial Cyr"/>
    </font>
    <font>
      <sz val="7"/>
      <color rgb="FF000000"/>
      <name val="Arial Cyr"/>
    </font>
    <font>
      <i/>
      <sz val="9"/>
      <color rgb="FF800000"/>
      <name val="Calibri"/>
      <family val="2"/>
      <charset val="204"/>
    </font>
    <font>
      <b/>
      <sz val="8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3" fillId="0" borderId="1" applyNumberFormat="0" applyFill="0" applyAlignment="0" applyProtection="0"/>
    <xf numFmtId="0" fontId="1" fillId="0" borderId="0"/>
    <xf numFmtId="9" fontId="2" fillId="0" borderId="0" applyFont="0" applyFill="0" applyBorder="0" applyAlignment="0" applyProtection="0"/>
    <xf numFmtId="164" fontId="25" fillId="0" borderId="0" applyFont="0" applyFill="0" applyBorder="0" applyAlignment="0" applyProtection="0"/>
  </cellStyleXfs>
  <cellXfs count="41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2" xfId="0" applyFill="1" applyBorder="1"/>
    <xf numFmtId="0" fontId="0" fillId="2" borderId="0" xfId="0" applyFont="1" applyFill="1"/>
    <xf numFmtId="0" fontId="6" fillId="2" borderId="2" xfId="0" applyFont="1" applyFill="1" applyBorder="1" applyAlignment="1">
      <alignment horizontal="left"/>
    </xf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2" borderId="0" xfId="0" applyFill="1" applyAlignment="1">
      <alignment vertical="center"/>
    </xf>
    <xf numFmtId="0" fontId="9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0" fillId="0" borderId="0" xfId="0" applyBorder="1"/>
    <xf numFmtId="0" fontId="7" fillId="0" borderId="2" xfId="0" applyFont="1" applyBorder="1"/>
    <xf numFmtId="0" fontId="0" fillId="0" borderId="0" xfId="0" applyFill="1" applyBorder="1" applyAlignment="1">
      <alignment vertical="center"/>
    </xf>
    <xf numFmtId="0" fontId="7" fillId="0" borderId="0" xfId="0" applyFont="1" applyBorder="1"/>
    <xf numFmtId="0" fontId="1" fillId="0" borderId="0" xfId="0" applyFont="1"/>
    <xf numFmtId="0" fontId="1" fillId="0" borderId="0" xfId="0" applyFont="1" applyBorder="1"/>
    <xf numFmtId="3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/>
    <xf numFmtId="0" fontId="12" fillId="0" borderId="2" xfId="0" applyFont="1" applyBorder="1" applyAlignment="1">
      <alignment vertical="center"/>
    </xf>
    <xf numFmtId="0" fontId="0" fillId="0" borderId="2" xfId="0" applyBorder="1" applyAlignment="1">
      <alignment horizontal="center"/>
    </xf>
    <xf numFmtId="165" fontId="12" fillId="0" borderId="0" xfId="3" applyNumberFormat="1" applyFont="1" applyFill="1" applyAlignment="1">
      <alignment vertical="center"/>
    </xf>
    <xf numFmtId="2" fontId="0" fillId="0" borderId="0" xfId="0" applyNumberFormat="1"/>
    <xf numFmtId="2" fontId="12" fillId="0" borderId="0" xfId="3" applyNumberFormat="1" applyFont="1" applyFill="1" applyAlignment="1">
      <alignment vertical="center"/>
    </xf>
    <xf numFmtId="166" fontId="12" fillId="0" borderId="0" xfId="3" applyNumberFormat="1" applyFont="1" applyFill="1" applyAlignment="1">
      <alignment vertical="center"/>
    </xf>
    <xf numFmtId="165" fontId="0" fillId="0" borderId="0" xfId="0" applyNumberFormat="1" applyBorder="1"/>
    <xf numFmtId="0" fontId="6" fillId="0" borderId="0" xfId="0" applyFont="1"/>
    <xf numFmtId="0" fontId="7" fillId="0" borderId="0" xfId="0" applyFont="1" applyAlignment="1">
      <alignment horizontal="center"/>
    </xf>
    <xf numFmtId="0" fontId="14" fillId="0" borderId="0" xfId="0" applyFont="1"/>
    <xf numFmtId="0" fontId="7" fillId="0" borderId="0" xfId="0" applyFont="1" applyFill="1" applyBorder="1" applyAlignment="1">
      <alignment vertical="center"/>
    </xf>
    <xf numFmtId="167" fontId="7" fillId="0" borderId="0" xfId="0" applyNumberFormat="1" applyFont="1"/>
    <xf numFmtId="0" fontId="1" fillId="0" borderId="0" xfId="0" applyFont="1" applyAlignment="1">
      <alignment horizontal="center"/>
    </xf>
    <xf numFmtId="0" fontId="7" fillId="0" borderId="0" xfId="0" applyFont="1" applyFill="1"/>
    <xf numFmtId="167" fontId="1" fillId="0" borderId="0" xfId="0" applyNumberFormat="1" applyFont="1" applyFill="1"/>
    <xf numFmtId="3" fontId="0" fillId="0" borderId="0" xfId="0" applyNumberFormat="1"/>
    <xf numFmtId="165" fontId="0" fillId="0" borderId="0" xfId="0" applyNumberFormat="1" applyFill="1" applyAlignment="1">
      <alignment horizontal="center"/>
    </xf>
    <xf numFmtId="0" fontId="0" fillId="0" borderId="0" xfId="0" applyFill="1" applyBorder="1"/>
    <xf numFmtId="0" fontId="12" fillId="0" borderId="0" xfId="0" applyFont="1" applyBorder="1" applyAlignment="1">
      <alignment vertical="center"/>
    </xf>
    <xf numFmtId="9" fontId="0" fillId="0" borderId="0" xfId="0" applyNumberFormat="1" applyBorder="1"/>
    <xf numFmtId="0" fontId="0" fillId="0" borderId="0" xfId="0" applyFill="1"/>
    <xf numFmtId="49" fontId="1" fillId="0" borderId="0" xfId="0" applyNumberFormat="1" applyFont="1"/>
    <xf numFmtId="0" fontId="12" fillId="0" borderId="0" xfId="0" applyFont="1" applyFill="1" applyAlignment="1">
      <alignment horizontal="center" vertical="center"/>
    </xf>
    <xf numFmtId="0" fontId="10" fillId="0" borderId="0" xfId="0" applyFont="1"/>
    <xf numFmtId="0" fontId="1" fillId="0" borderId="0" xfId="0" applyFont="1" applyFill="1"/>
    <xf numFmtId="3" fontId="12" fillId="0" borderId="0" xfId="0" applyNumberFormat="1" applyFont="1" applyAlignment="1">
      <alignment vertical="center"/>
    </xf>
    <xf numFmtId="3" fontId="7" fillId="0" borderId="0" xfId="0" applyNumberFormat="1" applyFont="1"/>
    <xf numFmtId="3" fontId="15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vertical="center"/>
    </xf>
    <xf numFmtId="3" fontId="10" fillId="0" borderId="0" xfId="0" applyNumberFormat="1" applyFont="1"/>
    <xf numFmtId="3" fontId="6" fillId="0" borderId="0" xfId="0" applyNumberFormat="1" applyFont="1"/>
    <xf numFmtId="0" fontId="15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9" fontId="12" fillId="0" borderId="0" xfId="3" applyFont="1" applyAlignment="1">
      <alignment horizontal="center" vertical="center"/>
    </xf>
    <xf numFmtId="0" fontId="6" fillId="0" borderId="0" xfId="0" applyFont="1" applyBorder="1"/>
    <xf numFmtId="0" fontId="0" fillId="0" borderId="3" xfId="0" applyBorder="1"/>
    <xf numFmtId="0" fontId="7" fillId="0" borderId="3" xfId="0" applyFont="1" applyBorder="1"/>
    <xf numFmtId="3" fontId="0" fillId="0" borderId="0" xfId="0" applyNumberFormat="1" applyBorder="1"/>
    <xf numFmtId="3" fontId="7" fillId="0" borderId="0" xfId="0" applyNumberFormat="1" applyFont="1" applyBorder="1"/>
    <xf numFmtId="0" fontId="0" fillId="0" borderId="3" xfId="0" applyBorder="1" applyAlignment="1">
      <alignment horizontal="center"/>
    </xf>
    <xf numFmtId="9" fontId="0" fillId="0" borderId="3" xfId="0" applyNumberFormat="1" applyBorder="1"/>
    <xf numFmtId="0" fontId="13" fillId="0" borderId="0" xfId="0" applyFont="1" applyBorder="1"/>
    <xf numFmtId="3" fontId="7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7" fontId="12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12" fillId="0" borderId="0" xfId="0" applyFont="1" applyFill="1" applyBorder="1" applyAlignment="1">
      <alignment vertical="center"/>
    </xf>
    <xf numFmtId="9" fontId="0" fillId="0" borderId="0" xfId="0" applyNumberFormat="1" applyFill="1"/>
    <xf numFmtId="0" fontId="0" fillId="0" borderId="3" xfId="0" applyFill="1" applyBorder="1"/>
    <xf numFmtId="0" fontId="7" fillId="0" borderId="0" xfId="0" applyFont="1" applyFill="1" applyBorder="1"/>
    <xf numFmtId="167" fontId="10" fillId="0" borderId="0" xfId="0" applyNumberFormat="1" applyFont="1"/>
    <xf numFmtId="9" fontId="12" fillId="0" borderId="0" xfId="3" applyFont="1" applyFill="1" applyBorder="1" applyAlignment="1">
      <alignment horizontal="center" vertical="center"/>
    </xf>
    <xf numFmtId="4" fontId="12" fillId="0" borderId="0" xfId="3" applyNumberFormat="1" applyFont="1" applyFill="1" applyAlignment="1">
      <alignment horizontal="center" vertical="center"/>
    </xf>
    <xf numFmtId="9" fontId="12" fillId="0" borderId="0" xfId="3" applyFont="1" applyFill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3" fontId="12" fillId="0" borderId="0" xfId="0" applyNumberFormat="1" applyFont="1" applyFill="1" applyBorder="1" applyAlignment="1">
      <alignment vertical="center"/>
    </xf>
    <xf numFmtId="3" fontId="12" fillId="0" borderId="0" xfId="0" applyNumberFormat="1" applyFont="1" applyFill="1" applyAlignment="1">
      <alignment vertical="center"/>
    </xf>
    <xf numFmtId="0" fontId="7" fillId="0" borderId="0" xfId="0" applyFont="1" applyAlignment="1">
      <alignment horizontal="left"/>
    </xf>
    <xf numFmtId="4" fontId="12" fillId="0" borderId="0" xfId="0" applyNumberFormat="1" applyFont="1" applyAlignment="1">
      <alignment vertical="center"/>
    </xf>
    <xf numFmtId="3" fontId="1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3" fontId="15" fillId="0" borderId="0" xfId="0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3" fontId="16" fillId="0" borderId="0" xfId="0" applyNumberFormat="1" applyFont="1" applyAlignment="1">
      <alignment vertical="center"/>
    </xf>
    <xf numFmtId="167" fontId="7" fillId="0" borderId="0" xfId="0" applyNumberFormat="1" applyFont="1" applyFill="1"/>
    <xf numFmtId="3" fontId="1" fillId="0" borderId="0" xfId="0" applyNumberFormat="1" applyFont="1" applyFill="1" applyAlignment="1">
      <alignment horizontal="center"/>
    </xf>
    <xf numFmtId="3" fontId="7" fillId="0" borderId="0" xfId="0" applyNumberFormat="1" applyFont="1" applyFill="1"/>
    <xf numFmtId="3" fontId="10" fillId="0" borderId="0" xfId="0" applyNumberFormat="1" applyFont="1" applyFill="1"/>
    <xf numFmtId="0" fontId="7" fillId="0" borderId="0" xfId="0" applyFont="1" applyBorder="1" applyAlignment="1">
      <alignment horizontal="left"/>
    </xf>
    <xf numFmtId="3" fontId="10" fillId="0" borderId="0" xfId="0" applyNumberFormat="1" applyFont="1" applyBorder="1"/>
    <xf numFmtId="1" fontId="0" fillId="0" borderId="0" xfId="0" applyNumberFormat="1" applyBorder="1"/>
    <xf numFmtId="3" fontId="6" fillId="0" borderId="0" xfId="0" applyNumberFormat="1" applyFont="1" applyBorder="1"/>
    <xf numFmtId="0" fontId="0" fillId="0" borderId="0" xfId="0" applyFill="1" applyBorder="1" applyAlignment="1">
      <alignment horizontal="center"/>
    </xf>
    <xf numFmtId="0" fontId="12" fillId="0" borderId="0" xfId="0" applyFont="1" applyFill="1" applyAlignment="1">
      <alignment vertical="center"/>
    </xf>
    <xf numFmtId="3" fontId="0" fillId="0" borderId="0" xfId="0" applyNumberFormat="1" applyFill="1" applyBorder="1"/>
    <xf numFmtId="1" fontId="0" fillId="0" borderId="0" xfId="0" applyNumberFormat="1" applyFill="1" applyBorder="1"/>
    <xf numFmtId="3" fontId="7" fillId="0" borderId="0" xfId="0" applyNumberFormat="1" applyFont="1" applyFill="1" applyBorder="1"/>
    <xf numFmtId="3" fontId="10" fillId="0" borderId="0" xfId="0" applyNumberFormat="1" applyFont="1" applyFill="1" applyBorder="1"/>
    <xf numFmtId="3" fontId="0" fillId="0" borderId="0" xfId="0" applyNumberFormat="1" applyFill="1"/>
    <xf numFmtId="0" fontId="16" fillId="0" borderId="0" xfId="0" applyFont="1" applyAlignment="1">
      <alignment horizontal="left" vertical="center"/>
    </xf>
    <xf numFmtId="9" fontId="0" fillId="0" borderId="0" xfId="0" applyNumberFormat="1"/>
    <xf numFmtId="3" fontId="1" fillId="0" borderId="0" xfId="0" applyNumberFormat="1" applyFont="1"/>
    <xf numFmtId="0" fontId="7" fillId="0" borderId="0" xfId="0" applyFont="1" applyFill="1" applyBorder="1" applyAlignment="1">
      <alignment horizontal="center" vertical="center"/>
    </xf>
    <xf numFmtId="3" fontId="12" fillId="0" borderId="0" xfId="0" applyNumberFormat="1" applyFont="1" applyBorder="1" applyAlignment="1">
      <alignment vertical="center"/>
    </xf>
    <xf numFmtId="0" fontId="1" fillId="0" borderId="3" xfId="0" applyFont="1" applyBorder="1"/>
    <xf numFmtId="14" fontId="0" fillId="4" borderId="4" xfId="0" applyNumberFormat="1" applyFill="1" applyBorder="1" applyAlignment="1">
      <alignment vertic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 vertical="center"/>
    </xf>
    <xf numFmtId="3" fontId="16" fillId="0" borderId="0" xfId="0" applyNumberFormat="1" applyFont="1" applyBorder="1" applyAlignment="1">
      <alignment vertical="center"/>
    </xf>
    <xf numFmtId="0" fontId="12" fillId="0" borderId="5" xfId="0" applyFont="1" applyBorder="1" applyAlignment="1">
      <alignment horizontal="left" vertical="center" wrapText="1"/>
    </xf>
    <xf numFmtId="3" fontId="6" fillId="0" borderId="0" xfId="0" applyNumberFormat="1" applyFont="1" applyFill="1" applyAlignment="1">
      <alignment horizontal="center"/>
    </xf>
    <xf numFmtId="3" fontId="0" fillId="0" borderId="3" xfId="0" applyNumberFormat="1" applyBorder="1"/>
    <xf numFmtId="3" fontId="7" fillId="0" borderId="3" xfId="0" applyNumberFormat="1" applyFont="1" applyBorder="1"/>
    <xf numFmtId="3" fontId="12" fillId="0" borderId="3" xfId="0" applyNumberFormat="1" applyFont="1" applyBorder="1" applyAlignment="1">
      <alignment vertical="center"/>
    </xf>
    <xf numFmtId="0" fontId="10" fillId="0" borderId="0" xfId="0" applyFont="1" applyBorder="1" applyAlignment="1">
      <alignment horizontal="left"/>
    </xf>
    <xf numFmtId="0" fontId="6" fillId="0" borderId="0" xfId="0" applyFont="1" applyFill="1" applyBorder="1"/>
    <xf numFmtId="0" fontId="10" fillId="0" borderId="0" xfId="0" applyFont="1" applyFill="1" applyBorder="1" applyAlignment="1">
      <alignment horizontal="left"/>
    </xf>
    <xf numFmtId="9" fontId="0" fillId="0" borderId="0" xfId="0" applyNumberFormat="1" applyFill="1" applyBorder="1"/>
    <xf numFmtId="0" fontId="1" fillId="0" borderId="0" xfId="0" applyFont="1" applyFill="1" applyBorder="1"/>
    <xf numFmtId="0" fontId="6" fillId="0" borderId="2" xfId="0" applyFont="1" applyBorder="1"/>
    <xf numFmtId="0" fontId="6" fillId="0" borderId="0" xfId="0" applyFont="1" applyFill="1"/>
    <xf numFmtId="3" fontId="0" fillId="0" borderId="0" xfId="0" applyNumberFormat="1" applyAlignment="1">
      <alignment horizontal="center"/>
    </xf>
    <xf numFmtId="16" fontId="1" fillId="0" borderId="0" xfId="0" applyNumberFormat="1" applyFont="1"/>
    <xf numFmtId="0" fontId="1" fillId="0" borderId="2" xfId="0" applyFont="1" applyBorder="1"/>
    <xf numFmtId="0" fontId="18" fillId="0" borderId="0" xfId="0" applyFont="1"/>
    <xf numFmtId="9" fontId="0" fillId="0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65" fontId="12" fillId="0" borderId="0" xfId="3" applyNumberFormat="1" applyFont="1" applyFill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12" fillId="0" borderId="0" xfId="0" applyNumberFormat="1" applyFont="1" applyFill="1" applyBorder="1" applyAlignment="1">
      <alignment horizontal="center" vertical="center"/>
    </xf>
    <xf numFmtId="0" fontId="6" fillId="0" borderId="3" xfId="0" applyFont="1" applyBorder="1"/>
    <xf numFmtId="4" fontId="12" fillId="0" borderId="0" xfId="0" applyNumberFormat="1" applyFont="1" applyFill="1" applyBorder="1" applyAlignment="1">
      <alignment vertical="center"/>
    </xf>
    <xf numFmtId="3" fontId="0" fillId="0" borderId="2" xfId="0" applyNumberFormat="1" applyFill="1" applyBorder="1"/>
    <xf numFmtId="0" fontId="17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0" fillId="0" borderId="2" xfId="0" applyNumberFormat="1" applyFont="1" applyBorder="1"/>
    <xf numFmtId="0" fontId="19" fillId="0" borderId="3" xfId="0" applyFont="1" applyBorder="1" applyAlignment="1">
      <alignment horizontal="left" vertical="center"/>
    </xf>
    <xf numFmtId="3" fontId="16" fillId="0" borderId="3" xfId="0" applyNumberFormat="1" applyFont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2" fontId="15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horizontal="center"/>
    </xf>
    <xf numFmtId="165" fontId="15" fillId="0" borderId="0" xfId="3" applyNumberFormat="1" applyFont="1" applyAlignment="1">
      <alignment horizontal="center" vertical="center"/>
    </xf>
    <xf numFmtId="9" fontId="12" fillId="0" borderId="0" xfId="0" applyNumberFormat="1" applyFont="1" applyAlignment="1">
      <alignment vertic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wrapText="1"/>
    </xf>
    <xf numFmtId="165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165" fontId="12" fillId="0" borderId="0" xfId="3" applyNumberFormat="1" applyFont="1" applyAlignment="1">
      <alignment horizontal="center" vertical="center"/>
    </xf>
    <xf numFmtId="165" fontId="0" fillId="0" borderId="0" xfId="0" applyNumberFormat="1" applyFill="1" applyBorder="1" applyAlignment="1">
      <alignment horizontal="center"/>
    </xf>
    <xf numFmtId="3" fontId="6" fillId="0" borderId="0" xfId="0" applyNumberFormat="1" applyFont="1" applyFill="1"/>
    <xf numFmtId="0" fontId="10" fillId="0" borderId="3" xfId="0" applyFont="1" applyBorder="1"/>
    <xf numFmtId="3" fontId="1" fillId="0" borderId="0" xfId="0" applyNumberFormat="1" applyFont="1" applyBorder="1"/>
    <xf numFmtId="165" fontId="0" fillId="0" borderId="0" xfId="0" applyNumberFormat="1"/>
    <xf numFmtId="2" fontId="12" fillId="0" borderId="0" xfId="0" applyNumberFormat="1" applyFont="1" applyAlignment="1">
      <alignment horizontal="center" vertical="center"/>
    </xf>
    <xf numFmtId="0" fontId="0" fillId="5" borderId="0" xfId="0" applyFill="1"/>
    <xf numFmtId="0" fontId="0" fillId="4" borderId="4" xfId="0" applyFill="1" applyBorder="1" applyAlignment="1">
      <alignment vertical="center"/>
    </xf>
    <xf numFmtId="0" fontId="7" fillId="4" borderId="4" xfId="0" applyFont="1" applyFill="1" applyBorder="1" applyAlignment="1">
      <alignment vertical="center"/>
    </xf>
    <xf numFmtId="0" fontId="23" fillId="2" borderId="0" xfId="0" applyFont="1" applyFill="1" applyAlignment="1">
      <alignment vertical="center"/>
    </xf>
    <xf numFmtId="0" fontId="23" fillId="0" borderId="0" xfId="0" applyFont="1" applyFill="1" applyBorder="1"/>
    <xf numFmtId="0" fontId="24" fillId="0" borderId="0" xfId="0" applyFont="1" applyFill="1"/>
    <xf numFmtId="0" fontId="24" fillId="0" borderId="0" xfId="0" applyFont="1" applyFill="1" applyBorder="1"/>
    <xf numFmtId="0" fontId="24" fillId="0" borderId="0" xfId="0" applyFont="1" applyFill="1" applyAlignment="1">
      <alignment horizontal="center"/>
    </xf>
    <xf numFmtId="0" fontId="0" fillId="0" borderId="2" xfId="0" applyFill="1" applyBorder="1"/>
    <xf numFmtId="0" fontId="0" fillId="0" borderId="0" xfId="0" applyBorder="1" applyAlignment="1">
      <alignment vertical="center"/>
    </xf>
    <xf numFmtId="14" fontId="0" fillId="6" borderId="0" xfId="0" applyNumberFormat="1" applyFill="1" applyAlignment="1">
      <alignment horizontal="center"/>
    </xf>
    <xf numFmtId="0" fontId="0" fillId="6" borderId="6" xfId="0" applyFill="1" applyBorder="1"/>
    <xf numFmtId="0" fontId="0" fillId="6" borderId="0" xfId="0" applyFill="1" applyAlignment="1">
      <alignment horizontal="left"/>
    </xf>
    <xf numFmtId="0" fontId="0" fillId="4" borderId="4" xfId="0" applyFill="1" applyBorder="1" applyAlignment="1">
      <alignment horizontal="center" vertical="center"/>
    </xf>
    <xf numFmtId="0" fontId="23" fillId="0" borderId="0" xfId="0" applyFont="1"/>
    <xf numFmtId="0" fontId="0" fillId="0" borderId="0" xfId="0" applyFont="1"/>
    <xf numFmtId="0" fontId="24" fillId="0" borderId="0" xfId="0" applyFont="1"/>
    <xf numFmtId="0" fontId="0" fillId="2" borderId="0" xfId="0" applyFont="1" applyFill="1" applyBorder="1" applyAlignment="1">
      <alignment horizontal="center" vertical="center"/>
    </xf>
    <xf numFmtId="0" fontId="23" fillId="6" borderId="0" xfId="0" applyFont="1" applyFill="1"/>
    <xf numFmtId="0" fontId="0" fillId="6" borderId="0" xfId="0" applyFill="1"/>
    <xf numFmtId="14" fontId="0" fillId="6" borderId="0" xfId="0" applyNumberFormat="1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Border="1" applyAlignment="1">
      <alignment horizontal="center"/>
    </xf>
    <xf numFmtId="0" fontId="24" fillId="6" borderId="0" xfId="0" applyFont="1" applyFill="1"/>
    <xf numFmtId="0" fontId="0" fillId="6" borderId="2" xfId="0" applyFill="1" applyBorder="1"/>
    <xf numFmtId="0" fontId="0" fillId="2" borderId="6" xfId="0" applyFill="1" applyBorder="1" applyAlignment="1">
      <alignment vertical="center"/>
    </xf>
    <xf numFmtId="0" fontId="0" fillId="6" borderId="6" xfId="0" applyFill="1" applyBorder="1" applyAlignment="1">
      <alignment horizontal="center"/>
    </xf>
    <xf numFmtId="0" fontId="0" fillId="6" borderId="6" xfId="0" applyFont="1" applyFill="1" applyBorder="1" applyAlignment="1">
      <alignment horizontal="center"/>
    </xf>
    <xf numFmtId="0" fontId="0" fillId="6" borderId="7" xfId="0" applyFill="1" applyBorder="1"/>
    <xf numFmtId="0" fontId="7" fillId="4" borderId="4" xfId="0" applyFont="1" applyFill="1" applyBorder="1" applyAlignment="1">
      <alignment horizontal="center" vertical="center"/>
    </xf>
    <xf numFmtId="3" fontId="7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0" fontId="7" fillId="0" borderId="0" xfId="0" applyFont="1" applyBorder="1" applyAlignment="1">
      <alignment horizontal="center"/>
    </xf>
    <xf numFmtId="0" fontId="24" fillId="4" borderId="4" xfId="0" applyFont="1" applyFill="1" applyBorder="1" applyAlignment="1">
      <alignment vertical="center"/>
    </xf>
    <xf numFmtId="0" fontId="10" fillId="0" borderId="0" xfId="0" applyFont="1" applyFill="1" applyBorder="1"/>
    <xf numFmtId="0" fontId="24" fillId="0" borderId="0" xfId="0" applyFont="1" applyAlignment="1">
      <alignment vertical="center"/>
    </xf>
    <xf numFmtId="3" fontId="24" fillId="0" borderId="0" xfId="0" applyNumberFormat="1" applyFont="1"/>
    <xf numFmtId="0" fontId="24" fillId="0" borderId="3" xfId="0" applyFont="1" applyBorder="1"/>
    <xf numFmtId="0" fontId="12" fillId="0" borderId="0" xfId="0" applyFont="1"/>
    <xf numFmtId="0" fontId="24" fillId="0" borderId="0" xfId="0" applyFont="1" applyBorder="1"/>
    <xf numFmtId="3" fontId="23" fillId="0" borderId="0" xfId="0" applyNumberFormat="1" applyFont="1"/>
    <xf numFmtId="0" fontId="25" fillId="0" borderId="0" xfId="0" applyFont="1"/>
    <xf numFmtId="0" fontId="24" fillId="0" borderId="0" xfId="0" applyFont="1" applyAlignment="1">
      <alignment horizontal="center"/>
    </xf>
    <xf numFmtId="3" fontId="1" fillId="0" borderId="0" xfId="0" applyNumberFormat="1" applyFont="1" applyFill="1"/>
    <xf numFmtId="165" fontId="0" fillId="0" borderId="0" xfId="0" applyNumberFormat="1" applyFill="1"/>
    <xf numFmtId="165" fontId="7" fillId="0" borderId="0" xfId="0" applyNumberFormat="1" applyFont="1" applyAlignment="1">
      <alignment horizontal="left"/>
    </xf>
    <xf numFmtId="2" fontId="12" fillId="0" borderId="2" xfId="0" applyNumberFormat="1" applyFont="1" applyBorder="1" applyAlignment="1">
      <alignment horizontal="center" vertical="center"/>
    </xf>
    <xf numFmtId="2" fontId="7" fillId="0" borderId="0" xfId="0" applyNumberFormat="1" applyFont="1" applyFill="1"/>
    <xf numFmtId="0" fontId="12" fillId="0" borderId="3" xfId="0" applyFont="1" applyBorder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26" fillId="0" borderId="0" xfId="0" applyFont="1"/>
    <xf numFmtId="0" fontId="26" fillId="0" borderId="0" xfId="0" applyFont="1" applyFill="1"/>
    <xf numFmtId="0" fontId="12" fillId="0" borderId="0" xfId="0" applyFont="1" applyAlignment="1">
      <alignment horizontal="left" wrapText="1"/>
    </xf>
    <xf numFmtId="0" fontId="12" fillId="0" borderId="0" xfId="0" applyFont="1" applyFill="1" applyBorder="1" applyAlignment="1">
      <alignment horizontal="left" wrapText="1"/>
    </xf>
    <xf numFmtId="0" fontId="16" fillId="0" borderId="0" xfId="0" applyFont="1"/>
    <xf numFmtId="0" fontId="1" fillId="0" borderId="0" xfId="0" applyFont="1" applyFill="1" applyAlignment="1">
      <alignment horizontal="left"/>
    </xf>
    <xf numFmtId="165" fontId="15" fillId="0" borderId="0" xfId="3" applyNumberFormat="1" applyFont="1" applyFill="1" applyAlignment="1">
      <alignment horizontal="center" vertical="center"/>
    </xf>
    <xf numFmtId="0" fontId="28" fillId="0" borderId="0" xfId="0" applyFont="1"/>
    <xf numFmtId="0" fontId="1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0" fillId="0" borderId="0" xfId="0" applyAlignment="1">
      <alignment horizontal="right"/>
    </xf>
    <xf numFmtId="0" fontId="0" fillId="7" borderId="0" xfId="0" applyFill="1" applyAlignment="1">
      <alignment horizontal="center"/>
    </xf>
    <xf numFmtId="9" fontId="29" fillId="0" borderId="0" xfId="0" applyNumberFormat="1" applyFont="1" applyAlignment="1">
      <alignment horizontal="center"/>
    </xf>
    <xf numFmtId="0" fontId="30" fillId="0" borderId="0" xfId="0" applyFont="1" applyBorder="1" applyAlignment="1">
      <alignment horizontal="right"/>
    </xf>
    <xf numFmtId="0" fontId="0" fillId="7" borderId="0" xfId="0" applyFill="1" applyBorder="1"/>
    <xf numFmtId="0" fontId="30" fillId="7" borderId="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30" fillId="0" borderId="0" xfId="0" applyFont="1" applyBorder="1" applyAlignment="1">
      <alignment horizontal="left"/>
    </xf>
    <xf numFmtId="0" fontId="0" fillId="0" borderId="0" xfId="0" applyFill="1" applyAlignment="1">
      <alignment horizontal="right"/>
    </xf>
    <xf numFmtId="0" fontId="31" fillId="0" borderId="0" xfId="0" applyFont="1" applyBorder="1" applyAlignment="1">
      <alignment horizontal="left"/>
    </xf>
    <xf numFmtId="3" fontId="29" fillId="0" borderId="0" xfId="0" applyNumberFormat="1" applyFont="1"/>
    <xf numFmtId="0" fontId="31" fillId="0" borderId="2" xfId="0" applyFont="1" applyBorder="1"/>
    <xf numFmtId="0" fontId="31" fillId="0" borderId="2" xfId="0" applyFont="1" applyBorder="1" applyAlignment="1">
      <alignment horizontal="center"/>
    </xf>
    <xf numFmtId="9" fontId="29" fillId="0" borderId="2" xfId="0" applyNumberFormat="1" applyFont="1" applyBorder="1" applyAlignment="1">
      <alignment horizontal="center"/>
    </xf>
    <xf numFmtId="3" fontId="29" fillId="0" borderId="2" xfId="0" applyNumberFormat="1" applyFont="1" applyBorder="1"/>
    <xf numFmtId="3" fontId="27" fillId="0" borderId="0" xfId="0" applyNumberFormat="1" applyFont="1" applyAlignment="1">
      <alignment vertical="center"/>
    </xf>
    <xf numFmtId="0" fontId="32" fillId="0" borderId="0" xfId="0" applyFont="1"/>
    <xf numFmtId="3" fontId="33" fillId="0" borderId="0" xfId="0" applyNumberFormat="1" applyFont="1"/>
    <xf numFmtId="3" fontId="32" fillId="0" borderId="0" xfId="0" applyNumberFormat="1" applyFont="1"/>
    <xf numFmtId="3" fontId="17" fillId="0" borderId="0" xfId="0" applyNumberFormat="1" applyFont="1"/>
    <xf numFmtId="3" fontId="17" fillId="0" borderId="0" xfId="0" applyNumberFormat="1" applyFont="1" applyFill="1"/>
    <xf numFmtId="3" fontId="25" fillId="0" borderId="0" xfId="0" applyNumberFormat="1" applyFont="1"/>
    <xf numFmtId="3" fontId="25" fillId="0" borderId="0" xfId="0" applyNumberFormat="1" applyFont="1" applyFill="1"/>
    <xf numFmtId="9" fontId="0" fillId="0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10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0" fillId="8" borderId="0" xfId="0" applyFill="1" applyAlignment="1" applyProtection="1">
      <alignment horizontal="center"/>
      <protection locked="0"/>
    </xf>
    <xf numFmtId="3" fontId="0" fillId="8" borderId="0" xfId="0" applyNumberFormat="1" applyFill="1" applyAlignment="1" applyProtection="1">
      <alignment horizontal="center"/>
      <protection locked="0"/>
    </xf>
    <xf numFmtId="165" fontId="0" fillId="8" borderId="0" xfId="0" applyNumberFormat="1" applyFill="1" applyProtection="1">
      <protection locked="0"/>
    </xf>
    <xf numFmtId="166" fontId="0" fillId="8" borderId="0" xfId="0" applyNumberFormat="1" applyFill="1" applyProtection="1"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165" fontId="12" fillId="8" borderId="0" xfId="0" applyNumberFormat="1" applyFont="1" applyFill="1" applyAlignment="1" applyProtection="1">
      <alignment horizontal="center" vertic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3" fontId="12" fillId="8" borderId="0" xfId="0" applyNumberFormat="1" applyFont="1" applyFill="1" applyAlignment="1" applyProtection="1">
      <alignment horizontal="center" vertical="center"/>
      <protection locked="0"/>
    </xf>
    <xf numFmtId="0" fontId="7" fillId="8" borderId="0" xfId="0" applyFont="1" applyFill="1" applyBorder="1" applyProtection="1">
      <protection locked="0"/>
    </xf>
    <xf numFmtId="3" fontId="0" fillId="8" borderId="0" xfId="0" applyNumberFormat="1" applyFill="1" applyBorder="1" applyProtection="1">
      <protection locked="0"/>
    </xf>
    <xf numFmtId="3" fontId="0" fillId="8" borderId="0" xfId="0" applyNumberFormat="1" applyFill="1" applyBorder="1" applyAlignment="1" applyProtection="1">
      <alignment horizontal="center"/>
      <protection locked="0"/>
    </xf>
    <xf numFmtId="2" fontId="0" fillId="8" borderId="0" xfId="0" applyNumberFormat="1" applyFill="1" applyBorder="1" applyAlignment="1" applyProtection="1">
      <alignment horizontal="center"/>
      <protection locked="0"/>
    </xf>
    <xf numFmtId="2" fontId="0" fillId="8" borderId="0" xfId="0" applyNumberFormat="1" applyFill="1" applyBorder="1" applyProtection="1">
      <protection locked="0"/>
    </xf>
    <xf numFmtId="9" fontId="0" fillId="8" borderId="0" xfId="0" applyNumberFormat="1" applyFill="1" applyBorder="1" applyAlignment="1" applyProtection="1">
      <alignment horizontal="center"/>
      <protection locked="0"/>
    </xf>
    <xf numFmtId="165" fontId="12" fillId="8" borderId="0" xfId="3" applyNumberFormat="1" applyFont="1" applyFill="1" applyAlignment="1" applyProtection="1">
      <alignment vertical="center"/>
      <protection locked="0"/>
    </xf>
    <xf numFmtId="3" fontId="12" fillId="8" borderId="0" xfId="0" applyNumberFormat="1" applyFont="1" applyFill="1" applyAlignment="1" applyProtection="1">
      <alignment vertical="center"/>
      <protection locked="0"/>
    </xf>
    <xf numFmtId="3" fontId="12" fillId="8" borderId="0" xfId="0" applyNumberFormat="1" applyFont="1" applyFill="1" applyBorder="1" applyAlignment="1" applyProtection="1">
      <alignment horizontal="center" vertical="center"/>
      <protection locked="0"/>
    </xf>
    <xf numFmtId="3" fontId="0" fillId="8" borderId="0" xfId="0" applyNumberFormat="1" applyFill="1" applyProtection="1">
      <protection locked="0"/>
    </xf>
    <xf numFmtId="9" fontId="0" fillId="8" borderId="0" xfId="0" applyNumberFormat="1" applyFill="1" applyAlignment="1" applyProtection="1">
      <alignment horizontal="center"/>
      <protection locked="0"/>
    </xf>
    <xf numFmtId="0" fontId="7" fillId="8" borderId="0" xfId="0" applyFont="1" applyFill="1" applyProtection="1">
      <protection locked="0"/>
    </xf>
    <xf numFmtId="3" fontId="1" fillId="8" borderId="0" xfId="0" applyNumberFormat="1" applyFont="1" applyFill="1" applyAlignment="1" applyProtection="1">
      <alignment horizontal="center"/>
      <protection locked="0"/>
    </xf>
    <xf numFmtId="3" fontId="1" fillId="8" borderId="0" xfId="0" applyNumberFormat="1" applyFont="1" applyFill="1" applyProtection="1">
      <protection locked="0"/>
    </xf>
    <xf numFmtId="165" fontId="0" fillId="8" borderId="0" xfId="0" applyNumberFormat="1" applyFill="1" applyBorder="1" applyAlignment="1" applyProtection="1">
      <alignment horizontal="center"/>
      <protection locked="0"/>
    </xf>
    <xf numFmtId="3" fontId="6" fillId="8" borderId="0" xfId="0" applyNumberFormat="1" applyFont="1" applyFill="1" applyAlignment="1" applyProtection="1">
      <alignment horizontal="center"/>
      <protection locked="0"/>
    </xf>
    <xf numFmtId="165" fontId="0" fillId="8" borderId="0" xfId="0" applyNumberFormat="1" applyFill="1" applyAlignment="1" applyProtection="1">
      <alignment horizontal="center"/>
      <protection locked="0"/>
    </xf>
    <xf numFmtId="9" fontId="0" fillId="8" borderId="0" xfId="0" applyNumberFormat="1" applyFill="1" applyProtection="1">
      <protection locked="0"/>
    </xf>
    <xf numFmtId="3" fontId="12" fillId="8" borderId="0" xfId="0" applyNumberFormat="1" applyFont="1" applyFill="1" applyBorder="1" applyAlignment="1" applyProtection="1">
      <alignment vertical="center"/>
      <protection locked="0"/>
    </xf>
    <xf numFmtId="9" fontId="16" fillId="8" borderId="0" xfId="3" applyFont="1" applyFill="1" applyBorder="1" applyAlignment="1" applyProtection="1">
      <alignment horizontal="center" vertical="center"/>
      <protection locked="0"/>
    </xf>
    <xf numFmtId="9" fontId="12" fillId="8" borderId="0" xfId="3" applyFont="1" applyFill="1" applyAlignment="1" applyProtection="1">
      <alignment horizontal="center" vertical="center"/>
      <protection locked="0"/>
    </xf>
    <xf numFmtId="4" fontId="16" fillId="8" borderId="0" xfId="3" applyNumberFormat="1" applyFont="1" applyFill="1" applyBorder="1" applyAlignment="1" applyProtection="1">
      <alignment horizontal="center" vertical="center"/>
      <protection locked="0"/>
    </xf>
    <xf numFmtId="4" fontId="12" fillId="8" borderId="0" xfId="0" applyNumberFormat="1" applyFont="1" applyFill="1" applyBorder="1" applyAlignment="1" applyProtection="1">
      <alignment vertical="center"/>
      <protection locked="0"/>
    </xf>
    <xf numFmtId="9" fontId="12" fillId="8" borderId="0" xfId="0" applyNumberFormat="1" applyFont="1" applyFill="1" applyAlignment="1" applyProtection="1">
      <alignment horizontal="center" vertical="center"/>
      <protection locked="0"/>
    </xf>
    <xf numFmtId="4" fontId="6" fillId="8" borderId="0" xfId="0" applyNumberFormat="1" applyFont="1" applyFill="1" applyAlignment="1" applyProtection="1">
      <alignment horizontal="center"/>
      <protection locked="0"/>
    </xf>
    <xf numFmtId="4" fontId="12" fillId="8" borderId="0" xfId="0" applyNumberFormat="1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Border="1" applyAlignment="1" applyProtection="1">
      <alignment horizontal="center" vertical="center"/>
      <protection locked="0"/>
    </xf>
    <xf numFmtId="0" fontId="12" fillId="8" borderId="2" xfId="0" applyFont="1" applyFill="1" applyBorder="1" applyAlignment="1" applyProtection="1">
      <alignment horizontal="center" vertical="center"/>
      <protection locked="0"/>
    </xf>
    <xf numFmtId="165" fontId="12" fillId="8" borderId="0" xfId="3" applyNumberFormat="1" applyFont="1" applyFill="1" applyAlignment="1" applyProtection="1">
      <alignment horizontal="center" vertical="center"/>
      <protection locked="0"/>
    </xf>
    <xf numFmtId="0" fontId="7" fillId="0" borderId="0" xfId="0" applyFont="1" applyAlignment="1">
      <alignment horizontal="left" indent="1"/>
    </xf>
    <xf numFmtId="0" fontId="0" fillId="0" borderId="0" xfId="0" applyFont="1" applyAlignment="1">
      <alignment horizontal="center"/>
    </xf>
    <xf numFmtId="0" fontId="34" fillId="0" borderId="0" xfId="0" applyFont="1"/>
    <xf numFmtId="0" fontId="35" fillId="0" borderId="0" xfId="0" applyFont="1"/>
    <xf numFmtId="49" fontId="0" fillId="0" borderId="0" xfId="0" applyNumberFormat="1" applyAlignment="1">
      <alignment horizontal="center"/>
    </xf>
    <xf numFmtId="3" fontId="0" fillId="0" borderId="0" xfId="0" applyNumberFormat="1" applyFont="1"/>
    <xf numFmtId="0" fontId="1" fillId="0" borderId="0" xfId="0" applyFont="1" applyAlignment="1">
      <alignment wrapText="1"/>
    </xf>
    <xf numFmtId="3" fontId="0" fillId="0" borderId="0" xfId="0" applyNumberFormat="1" applyFill="1" applyAlignment="1" applyProtection="1">
      <alignment horizontal="center"/>
      <protection locked="0"/>
    </xf>
    <xf numFmtId="0" fontId="12" fillId="0" borderId="0" xfId="0" applyFont="1" applyFill="1"/>
    <xf numFmtId="0" fontId="7" fillId="0" borderId="0" xfId="0" applyFont="1" applyFill="1" applyBorder="1" applyAlignment="1">
      <alignment horizontal="center"/>
    </xf>
    <xf numFmtId="0" fontId="1" fillId="0" borderId="0" xfId="2" applyFont="1"/>
    <xf numFmtId="0" fontId="17" fillId="0" borderId="0" xfId="0" applyFont="1" applyFill="1"/>
    <xf numFmtId="0" fontId="32" fillId="0" borderId="3" xfId="0" applyFont="1" applyBorder="1"/>
    <xf numFmtId="0" fontId="32" fillId="0" borderId="0" xfId="0" applyFont="1" applyBorder="1"/>
    <xf numFmtId="0" fontId="16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0" fontId="39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9" fontId="12" fillId="0" borderId="0" xfId="3" applyNumberFormat="1" applyFont="1" applyAlignment="1">
      <alignment horizontal="center" vertical="center"/>
    </xf>
    <xf numFmtId="3" fontId="0" fillId="9" borderId="0" xfId="0" applyNumberFormat="1" applyFill="1"/>
    <xf numFmtId="3" fontId="15" fillId="0" borderId="0" xfId="0" applyNumberFormat="1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0" fillId="0" borderId="0" xfId="0" applyFill="1" applyAlignment="1">
      <alignment wrapText="1"/>
    </xf>
    <xf numFmtId="0" fontId="43" fillId="0" borderId="8" xfId="1" applyBorder="1"/>
    <xf numFmtId="0" fontId="0" fillId="0" borderId="8" xfId="0" applyBorder="1"/>
    <xf numFmtId="9" fontId="0" fillId="0" borderId="8" xfId="0" applyNumberFormat="1" applyBorder="1"/>
    <xf numFmtId="0" fontId="44" fillId="0" borderId="8" xfId="0" applyFont="1" applyBorder="1"/>
    <xf numFmtId="0" fontId="0" fillId="0" borderId="0" xfId="0" applyAlignment="1">
      <alignment wrapText="1"/>
    </xf>
    <xf numFmtId="9" fontId="44" fillId="0" borderId="8" xfId="0" applyNumberFormat="1" applyFont="1" applyBorder="1"/>
    <xf numFmtId="0" fontId="43" fillId="0" borderId="8" xfId="1" applyBorder="1" applyAlignment="1">
      <alignment wrapText="1"/>
    </xf>
    <xf numFmtId="0" fontId="0" fillId="0" borderId="8" xfId="0" applyBorder="1" applyAlignment="1">
      <alignment wrapText="1"/>
    </xf>
    <xf numFmtId="0" fontId="43" fillId="0" borderId="8" xfId="1" applyFill="1" applyBorder="1" applyAlignment="1">
      <alignment wrapText="1"/>
    </xf>
    <xf numFmtId="168" fontId="42" fillId="0" borderId="8" xfId="4" applyNumberFormat="1" applyFont="1" applyBorder="1" applyAlignment="1">
      <alignment wrapText="1"/>
    </xf>
    <xf numFmtId="169" fontId="42" fillId="0" borderId="8" xfId="4" applyNumberFormat="1" applyFont="1" applyBorder="1" applyAlignment="1">
      <alignment wrapText="1"/>
    </xf>
    <xf numFmtId="0" fontId="10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14" fontId="0" fillId="0" borderId="0" xfId="0" applyNumberFormat="1" applyFill="1" applyAlignment="1">
      <alignment horizontal="center"/>
    </xf>
    <xf numFmtId="0" fontId="0" fillId="0" borderId="6" xfId="0" applyFill="1" applyBorder="1"/>
    <xf numFmtId="0" fontId="0" fillId="0" borderId="0" xfId="0" applyFill="1" applyAlignment="1">
      <alignment horizontal="left"/>
    </xf>
    <xf numFmtId="0" fontId="0" fillId="0" borderId="7" xfId="0" applyFill="1" applyBorder="1"/>
    <xf numFmtId="14" fontId="12" fillId="0" borderId="0" xfId="0" applyNumberFormat="1" applyFont="1" applyFill="1" applyAlignment="1">
      <alignment horizontal="center" vertical="center"/>
    </xf>
    <xf numFmtId="0" fontId="7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3" fontId="1" fillId="0" borderId="0" xfId="0" applyNumberFormat="1" applyFont="1" applyFill="1" applyProtection="1">
      <protection locked="0"/>
    </xf>
    <xf numFmtId="3" fontId="1" fillId="0" borderId="0" xfId="0" applyNumberFormat="1" applyFont="1" applyFill="1" applyAlignment="1" applyProtection="1">
      <alignment horizontal="center"/>
      <protection locked="0"/>
    </xf>
    <xf numFmtId="3" fontId="12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/>
    <xf numFmtId="0" fontId="1" fillId="0" borderId="3" xfId="0" applyFont="1" applyFill="1" applyBorder="1"/>
    <xf numFmtId="0" fontId="1" fillId="0" borderId="3" xfId="0" applyFont="1" applyFill="1" applyBorder="1" applyAlignment="1">
      <alignment horizontal="center"/>
    </xf>
    <xf numFmtId="3" fontId="0" fillId="0" borderId="0" xfId="0" applyNumberFormat="1" applyFill="1" applyProtection="1">
      <protection locked="0"/>
    </xf>
    <xf numFmtId="0" fontId="1" fillId="0" borderId="0" xfId="0" applyFont="1" applyFill="1" applyBorder="1" applyAlignment="1">
      <alignment horizontal="center"/>
    </xf>
    <xf numFmtId="16" fontId="1" fillId="0" borderId="0" xfId="0" applyNumberFormat="1" applyFont="1" applyFill="1"/>
    <xf numFmtId="9" fontId="0" fillId="0" borderId="0" xfId="0" applyNumberFormat="1" applyFill="1" applyAlignment="1" applyProtection="1">
      <alignment horizontal="center"/>
      <protection locked="0"/>
    </xf>
    <xf numFmtId="3" fontId="12" fillId="0" borderId="0" xfId="0" applyNumberFormat="1" applyFont="1" applyFill="1" applyAlignment="1" applyProtection="1">
      <alignment horizontal="center" vertical="center"/>
      <protection locked="0"/>
    </xf>
    <xf numFmtId="0" fontId="16" fillId="0" borderId="0" xfId="0" applyFont="1" applyFill="1" applyAlignment="1">
      <alignment horizontal="center" vertical="center"/>
    </xf>
    <xf numFmtId="3" fontId="16" fillId="0" borderId="0" xfId="0" applyNumberFormat="1" applyFont="1" applyFill="1" applyBorder="1" applyAlignment="1">
      <alignment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7" fontId="12" fillId="0" borderId="0" xfId="0" applyNumberFormat="1" applyFont="1" applyFill="1" applyBorder="1" applyAlignment="1" applyProtection="1">
      <alignment horizontal="center" vertical="center"/>
      <protection locked="0"/>
    </xf>
    <xf numFmtId="9" fontId="0" fillId="0" borderId="0" xfId="0" applyNumberFormat="1" applyFill="1" applyProtection="1">
      <protection locked="0"/>
    </xf>
    <xf numFmtId="3" fontId="12" fillId="0" borderId="0" xfId="0" applyNumberFormat="1" applyFont="1" applyFill="1" applyBorder="1" applyAlignment="1" applyProtection="1">
      <alignment vertical="center"/>
      <protection locked="0"/>
    </xf>
    <xf numFmtId="0" fontId="18" fillId="0" borderId="0" xfId="0" applyFont="1" applyFill="1"/>
    <xf numFmtId="167" fontId="10" fillId="0" borderId="0" xfId="0" applyNumberFormat="1" applyFont="1" applyFill="1"/>
    <xf numFmtId="167" fontId="0" fillId="0" borderId="0" xfId="0" applyNumberFormat="1" applyFill="1" applyAlignment="1" applyProtection="1">
      <alignment horizontal="center"/>
      <protection locked="0"/>
    </xf>
    <xf numFmtId="170" fontId="0" fillId="0" borderId="0" xfId="0" applyNumberFormat="1" applyFill="1" applyAlignment="1" applyProtection="1">
      <alignment horizontal="center"/>
      <protection locked="0"/>
    </xf>
    <xf numFmtId="165" fontId="12" fillId="0" borderId="0" xfId="3" applyNumberFormat="1" applyFont="1" applyFill="1" applyAlignment="1" applyProtection="1">
      <alignment vertical="center"/>
      <protection locked="0"/>
    </xf>
    <xf numFmtId="9" fontId="12" fillId="0" borderId="0" xfId="3" applyFont="1" applyFill="1" applyAlignment="1" applyProtection="1">
      <alignment horizontal="center" vertical="center"/>
      <protection locked="0"/>
    </xf>
    <xf numFmtId="0" fontId="7" fillId="0" borderId="3" xfId="0" applyFont="1" applyFill="1" applyBorder="1"/>
    <xf numFmtId="3" fontId="15" fillId="0" borderId="0" xfId="0" applyNumberFormat="1" applyFont="1" applyFill="1" applyBorder="1" applyAlignment="1">
      <alignment vertical="center"/>
    </xf>
    <xf numFmtId="3" fontId="15" fillId="0" borderId="0" xfId="0" applyNumberFormat="1" applyFont="1" applyFill="1" applyAlignment="1">
      <alignment vertical="center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>
      <alignment vertical="center"/>
    </xf>
    <xf numFmtId="3" fontId="0" fillId="0" borderId="3" xfId="0" applyNumberFormat="1" applyFill="1" applyBorder="1"/>
    <xf numFmtId="0" fontId="0" fillId="0" borderId="2" xfId="0" applyFill="1" applyBorder="1" applyAlignment="1">
      <alignment horizontal="center"/>
    </xf>
    <xf numFmtId="0" fontId="7" fillId="0" borderId="2" xfId="0" applyFont="1" applyFill="1" applyBorder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3" fontId="12" fillId="0" borderId="0" xfId="0" applyNumberFormat="1" applyFont="1" applyFill="1" applyAlignment="1" applyProtection="1">
      <alignment vertical="center"/>
      <protection locked="0"/>
    </xf>
    <xf numFmtId="0" fontId="16" fillId="0" borderId="0" xfId="0" applyFont="1" applyFill="1" applyAlignment="1">
      <alignment vertical="center"/>
    </xf>
    <xf numFmtId="3" fontId="27" fillId="0" borderId="0" xfId="0" applyNumberFormat="1" applyFont="1" applyFill="1" applyAlignment="1">
      <alignment vertical="center"/>
    </xf>
    <xf numFmtId="0" fontId="32" fillId="0" borderId="0" xfId="0" applyFont="1" applyFill="1"/>
    <xf numFmtId="0" fontId="32" fillId="0" borderId="3" xfId="0" applyFont="1" applyFill="1" applyBorder="1"/>
    <xf numFmtId="0" fontId="32" fillId="0" borderId="0" xfId="0" applyFont="1" applyFill="1" applyBorder="1"/>
    <xf numFmtId="0" fontId="7" fillId="0" borderId="0" xfId="0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>
      <alignment horizontal="left" vertical="center"/>
    </xf>
    <xf numFmtId="3" fontId="33" fillId="0" borderId="0" xfId="0" applyNumberFormat="1" applyFont="1" applyFill="1"/>
    <xf numFmtId="3" fontId="32" fillId="0" borderId="0" xfId="0" applyNumberFormat="1" applyFont="1" applyFill="1"/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0" fillId="0" borderId="0" xfId="0" applyFont="1" applyFill="1"/>
    <xf numFmtId="0" fontId="34" fillId="0" borderId="0" xfId="0" applyFont="1" applyFill="1"/>
    <xf numFmtId="0" fontId="19" fillId="0" borderId="3" xfId="0" applyFont="1" applyFill="1" applyBorder="1" applyAlignment="1">
      <alignment horizontal="left" vertical="center"/>
    </xf>
    <xf numFmtId="3" fontId="16" fillId="0" borderId="3" xfId="0" applyNumberFormat="1" applyFont="1" applyFill="1" applyBorder="1" applyAlignment="1">
      <alignment vertical="center"/>
    </xf>
    <xf numFmtId="0" fontId="12" fillId="0" borderId="5" xfId="0" applyFont="1" applyFill="1" applyBorder="1" applyAlignment="1">
      <alignment horizontal="left" vertical="center" wrapText="1"/>
    </xf>
    <xf numFmtId="165" fontId="12" fillId="0" borderId="0" xfId="3" applyNumberFormat="1" applyFont="1" applyFill="1" applyAlignment="1" applyProtection="1">
      <alignment horizontal="center" vertical="center"/>
      <protection locked="0"/>
    </xf>
    <xf numFmtId="2" fontId="12" fillId="0" borderId="0" xfId="0" applyNumberFormat="1" applyFont="1" applyFill="1" applyAlignment="1">
      <alignment horizontal="center" vertical="center"/>
    </xf>
    <xf numFmtId="2" fontId="12" fillId="0" borderId="2" xfId="0" applyNumberFormat="1" applyFon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0" fillId="0" borderId="3" xfId="0" applyFill="1" applyBorder="1" applyAlignment="1">
      <alignment horizontal="center"/>
    </xf>
    <xf numFmtId="0" fontId="6" fillId="0" borderId="3" xfId="0" applyFont="1" applyFill="1" applyBorder="1"/>
    <xf numFmtId="0" fontId="10" fillId="0" borderId="3" xfId="0" applyFont="1" applyFill="1" applyBorder="1"/>
    <xf numFmtId="3" fontId="1" fillId="0" borderId="0" xfId="0" applyNumberFormat="1" applyFont="1" applyFill="1" applyBorder="1"/>
    <xf numFmtId="2" fontId="15" fillId="0" borderId="0" xfId="0" applyNumberFormat="1" applyFont="1" applyFill="1" applyAlignment="1">
      <alignment horizontal="center" vertical="center"/>
    </xf>
    <xf numFmtId="4" fontId="1" fillId="0" borderId="0" xfId="0" applyNumberFormat="1" applyFont="1" applyFill="1" applyAlignment="1">
      <alignment horizontal="center"/>
    </xf>
    <xf numFmtId="9" fontId="12" fillId="0" borderId="0" xfId="3" applyNumberFormat="1" applyFont="1" applyFill="1" applyAlignment="1">
      <alignment horizontal="center" vertical="center"/>
    </xf>
    <xf numFmtId="9" fontId="12" fillId="0" borderId="0" xfId="0" applyNumberFormat="1" applyFont="1" applyFill="1" applyAlignment="1">
      <alignment vertical="center"/>
    </xf>
    <xf numFmtId="2" fontId="0" fillId="0" borderId="0" xfId="0" applyNumberFormat="1" applyFill="1" applyAlignment="1">
      <alignment horizontal="right"/>
    </xf>
    <xf numFmtId="3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0" fontId="0" fillId="8" borderId="0" xfId="0" applyNumberFormat="1" applyFill="1" applyProtection="1">
      <protection locked="0"/>
    </xf>
    <xf numFmtId="171" fontId="12" fillId="0" borderId="0" xfId="0" applyNumberFormat="1" applyFont="1" applyFill="1" applyBorder="1" applyAlignment="1">
      <alignment vertical="center"/>
    </xf>
    <xf numFmtId="167" fontId="0" fillId="0" borderId="3" xfId="0" applyNumberFormat="1" applyBorder="1"/>
    <xf numFmtId="3" fontId="49" fillId="0" borderId="0" xfId="0" applyNumberFormat="1" applyFont="1"/>
    <xf numFmtId="167" fontId="12" fillId="8" borderId="0" xfId="0" applyNumberFormat="1" applyFont="1" applyFill="1" applyBorder="1" applyAlignment="1" applyProtection="1">
      <alignment horizontal="center" vertical="center"/>
      <protection locked="0"/>
    </xf>
    <xf numFmtId="167" fontId="12" fillId="8" borderId="0" xfId="0" applyNumberFormat="1" applyFont="1" applyFill="1" applyBorder="1" applyAlignment="1" applyProtection="1">
      <alignment vertical="center"/>
      <protection locked="0"/>
    </xf>
    <xf numFmtId="10" fontId="0" fillId="0" borderId="0" xfId="0" applyNumberFormat="1"/>
    <xf numFmtId="0" fontId="23" fillId="2" borderId="0" xfId="0" applyFont="1" applyFill="1" applyAlignment="1">
      <alignment horizontal="center" vertical="center"/>
    </xf>
    <xf numFmtId="22" fontId="24" fillId="0" borderId="0" xfId="0" quotePrefix="1" applyNumberFormat="1" applyFont="1" applyFill="1" applyAlignment="1">
      <alignment horizontal="left"/>
    </xf>
    <xf numFmtId="0" fontId="0" fillId="0" borderId="0" xfId="0" applyAlignment="1"/>
  </cellXfs>
  <cellStyles count="5">
    <cellStyle name="Заголовок 1" xfId="1" builtinId="16"/>
    <cellStyle name="Обычный" xfId="0" builtinId="0"/>
    <cellStyle name="Обычный_Лист1" xfId="2" xr:uid="{00000000-0005-0000-0000-000002000000}"/>
    <cellStyle name="Процентный" xfId="3" builtinId="5"/>
    <cellStyle name="Финансовый" xfId="4" builtinId="3"/>
  </cellStyles>
  <dxfs count="26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lor theme="1" tint="0.499984740745262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CC"/>
      <rgbColor rgb="000000FF"/>
      <rgbColor rgb="00FFFF99"/>
      <rgbColor rgb="00FFCCFF"/>
      <rgbColor rgb="00D7AE85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CCCCFF"/>
      <rgbColor rgb="00800080"/>
      <rgbColor rgb="00800000"/>
      <rgbColor rgb="00008080"/>
      <rgbColor rgb="000000FF"/>
      <rgbColor rgb="00B9F2FF"/>
      <rgbColor rgb="00CED9FE"/>
      <rgbColor rgb="00CED9FE"/>
      <rgbColor rgb="00C6D79F"/>
      <rgbColor rgb="0099CCFF"/>
      <rgbColor rgb="00D8D8D8"/>
      <rgbColor rgb="00CC99FF"/>
      <rgbColor rgb="00EAEAEA"/>
      <rgbColor rgb="00AA7138"/>
      <rgbColor rgb="0033CCCC"/>
      <rgbColor rgb="00E6FF9F"/>
      <rgbColor rgb="00FFCC99"/>
      <rgbColor rgb="00FF9900"/>
      <rgbColor rgb="00FF6600"/>
      <rgbColor rgb="00666699"/>
      <rgbColor rgb="00969696"/>
      <rgbColor rgb="00003366"/>
      <rgbColor rgb="00A0E0C0"/>
      <rgbColor rgb="00003300"/>
      <rgbColor rgb="00333300"/>
      <rgbColor rgb="00993300"/>
      <rgbColor rgb="00DD97BA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Проект!$A$1129</c:f>
              <c:strCache>
                <c:ptCount val="1"/>
                <c:pt idx="0">
                  <c:v>Выручка (нетто)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Проект!$F$1127:$K$1127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Проект!$F$1129:$K$1129</c:f>
              <c:numCache>
                <c:formatCode>#,##0</c:formatCode>
                <c:ptCount val="6"/>
                <c:pt idx="0">
                  <c:v>36000000</c:v>
                </c:pt>
                <c:pt idx="1">
                  <c:v>84000000</c:v>
                </c:pt>
                <c:pt idx="2">
                  <c:v>120000000</c:v>
                </c:pt>
                <c:pt idx="3">
                  <c:v>120000000</c:v>
                </c:pt>
                <c:pt idx="4">
                  <c:v>120000000</c:v>
                </c:pt>
                <c:pt idx="5">
                  <c:v>120000000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6-4D63-9408-8070A443E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305984"/>
        <c:axId val="327307552"/>
      </c:lineChart>
      <c:catAx>
        <c:axId val="32730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730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30755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730598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Проект!$A$1152</c:f>
              <c:strCache>
                <c:ptCount val="1"/>
                <c:pt idx="0">
                  <c:v>Чистая прибыль (убыток)</c:v>
                </c:pt>
              </c:strCache>
            </c:strRef>
          </c:tx>
          <c:spPr>
            <a:ln w="28575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</c:marker>
          <c:cat>
            <c:strRef>
              <c:f>Проект!$F$1127:$K$1127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Проект!$F$1152:$K$1152</c:f>
              <c:numCache>
                <c:formatCode>#,##0</c:formatCode>
                <c:ptCount val="6"/>
                <c:pt idx="0">
                  <c:v>13127500</c:v>
                </c:pt>
                <c:pt idx="1">
                  <c:v>58087900</c:v>
                </c:pt>
                <c:pt idx="2">
                  <c:v>91768300</c:v>
                </c:pt>
                <c:pt idx="3">
                  <c:v>91668500</c:v>
                </c:pt>
                <c:pt idx="4">
                  <c:v>91668500</c:v>
                </c:pt>
                <c:pt idx="5">
                  <c:v>91667333.333333328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3E-4172-A250-189AF5B61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309120"/>
        <c:axId val="326942144"/>
      </c:lineChart>
      <c:catAx>
        <c:axId val="32730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42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4214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730912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635658914728682E-2"/>
          <c:w val="0.72132382961933683"/>
          <c:h val="0.91472868217054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Проект!$A$1261</c:f>
              <c:strCache>
                <c:ptCount val="1"/>
                <c:pt idx="0">
                  <c:v>Денежные потоки от операционной деятельности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Проект!$F$1261:$K$1261</c:f>
              <c:numCache>
                <c:formatCode>#,##0</c:formatCode>
                <c:ptCount val="6"/>
                <c:pt idx="0">
                  <c:v>13127500</c:v>
                </c:pt>
                <c:pt idx="1">
                  <c:v>58087900</c:v>
                </c:pt>
                <c:pt idx="2">
                  <c:v>91768300</c:v>
                </c:pt>
                <c:pt idx="3">
                  <c:v>91688500</c:v>
                </c:pt>
                <c:pt idx="4">
                  <c:v>91688500</c:v>
                </c:pt>
                <c:pt idx="5">
                  <c:v>91688500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2-4D51-8DAA-8236F3D314D1}"/>
            </c:ext>
          </c:extLst>
        </c:ser>
        <c:ser>
          <c:idx val="1"/>
          <c:order val="1"/>
          <c:tx>
            <c:strRef>
              <c:f>Проект!$A$1272</c:f>
              <c:strCache>
                <c:ptCount val="1"/>
                <c:pt idx="0">
                  <c:v>Денежные потоки от инвестиционной деятельности</c:v>
                </c:pt>
              </c:strCache>
            </c:strRef>
          </c:tx>
          <c:spPr>
            <a:gradFill>
              <a:gsLst>
                <a:gs pos="0">
                  <a:srgbClr val="B8CCE4">
                    <a:shade val="30000"/>
                    <a:satMod val="115000"/>
                  </a:srgbClr>
                </a:gs>
                <a:gs pos="50000">
                  <a:srgbClr val="B8CCE4">
                    <a:shade val="67500"/>
                    <a:satMod val="115000"/>
                  </a:srgbClr>
                </a:gs>
                <a:gs pos="100000">
                  <a:srgbClr val="B8CCE4">
                    <a:shade val="100000"/>
                    <a:satMod val="115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Проект!$F$1272:$K$1272</c:f>
              <c:numCache>
                <c:formatCode>#,##0</c:formatCode>
                <c:ptCount val="6"/>
                <c:pt idx="0">
                  <c:v>1994583.333333333</c:v>
                </c:pt>
                <c:pt idx="1">
                  <c:v>8761560</c:v>
                </c:pt>
                <c:pt idx="2">
                  <c:v>6591560</c:v>
                </c:pt>
                <c:pt idx="3">
                  <c:v>-669220</c:v>
                </c:pt>
                <c:pt idx="4">
                  <c:v>-50000</c:v>
                </c:pt>
                <c:pt idx="5">
                  <c:v>-50000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2-4D51-8DAA-8236F3D314D1}"/>
            </c:ext>
          </c:extLst>
        </c:ser>
        <c:ser>
          <c:idx val="2"/>
          <c:order val="2"/>
          <c:tx>
            <c:strRef>
              <c:f>Проект!$A$1282</c:f>
              <c:strCache>
                <c:ptCount val="1"/>
                <c:pt idx="0">
                  <c:v>Денежные потоки от финансовой деятельности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rgbClr val="F79646">
                    <a:lumMod val="40000"/>
                    <a:lumOff val="60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Проект!$F$1282:$K$1282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2-4D51-8DAA-8236F3D31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40"/>
        <c:axId val="326940968"/>
        <c:axId val="326937832"/>
      </c:barChart>
      <c:catAx>
        <c:axId val="32694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3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783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40968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178323297823063"/>
          <c:y val="4.8307086614173232E-2"/>
          <c:w val="0.17514487159693271"/>
          <c:h val="0.90338582677165358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69557236717964E-2"/>
          <c:y val="4.2512077294685993E-2"/>
          <c:w val="0.75096769766524285"/>
          <c:h val="0.84264110464452813"/>
        </c:manualLayout>
      </c:layout>
      <c:lineChart>
        <c:grouping val="standard"/>
        <c:varyColors val="0"/>
        <c:ser>
          <c:idx val="1"/>
          <c:order val="0"/>
          <c:tx>
            <c:strRef>
              <c:f>Проект!$A$1286</c:f>
              <c:strCache>
                <c:ptCount val="1"/>
                <c:pt idx="0">
                  <c:v>Денежные средства на конец периода</c:v>
                </c:pt>
              </c:strCache>
            </c:strRef>
          </c:tx>
          <c:spPr>
            <a:ln w="3175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Проект!$F$1286:$K$1286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81971543.333333328</c:v>
                </c:pt>
                <c:pt idx="2">
                  <c:v>180331403.33333331</c:v>
                </c:pt>
                <c:pt idx="3">
                  <c:v>271350683.33333331</c:v>
                </c:pt>
                <c:pt idx="4">
                  <c:v>362989183.33333331</c:v>
                </c:pt>
                <c:pt idx="5">
                  <c:v>454627683.33333331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7E-42BA-9828-A4B15CFA2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38224"/>
        <c:axId val="326942536"/>
      </c:lineChart>
      <c:catAx>
        <c:axId val="32693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42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4253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2693822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320407575894256E-2"/>
          <c:y val="4.2759961127308066E-2"/>
          <c:w val="0.86578106541919575"/>
          <c:h val="0.86659793216455683"/>
        </c:manualLayout>
      </c:layout>
      <c:lineChart>
        <c:grouping val="standard"/>
        <c:varyColors val="0"/>
        <c:ser>
          <c:idx val="0"/>
          <c:order val="0"/>
          <c:tx>
            <c:strRef>
              <c:f>Проект!$A$1611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6">
                  <a:lumMod val="50000"/>
                </a:schemeClr>
              </a:solidFill>
            </a:ln>
          </c:spPr>
          <c:marker>
            <c:symbol val="circle"/>
            <c:size val="6"/>
            <c:spPr>
              <a:ln>
                <a:solidFill>
                  <a:schemeClr val="accent6">
                    <a:lumMod val="50000"/>
                  </a:schemeClr>
                </a:solidFill>
              </a:ln>
            </c:spPr>
          </c:marker>
          <c:cat>
            <c:strRef>
              <c:f>Проект!$F$1587:$K$1587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Проект!$F$1611:$K$1611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81106154.341517583</c:v>
                </c:pt>
                <c:pt idx="2">
                  <c:v>176935893.99694204</c:v>
                </c:pt>
                <c:pt idx="3">
                  <c:v>264465909.47967941</c:v>
                </c:pt>
                <c:pt idx="4">
                  <c:v>351450592.35776407</c:v>
                </c:pt>
                <c:pt idx="5">
                  <c:v>417103761.39956957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4E-4E5F-A644-2BA16B7A6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41752"/>
        <c:axId val="326935088"/>
      </c:lineChart>
      <c:catAx>
        <c:axId val="32694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5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50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4175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layout>
        <c:manualLayout>
          <c:xMode val="edge"/>
          <c:yMode val="edge"/>
          <c:x val="9.3944353518821591E-2"/>
          <c:y val="0.94300285668711303"/>
          <c:w val="0.86895799236224769"/>
          <c:h val="5.38646481344527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Проект!$A$1684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Проект!$F$1660:$K$1660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Проект!$F$1684:$K$1684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81106154.341517583</c:v>
                </c:pt>
                <c:pt idx="2">
                  <c:v>176935893.99694204</c:v>
                </c:pt>
                <c:pt idx="3">
                  <c:v>264465909.47967941</c:v>
                </c:pt>
                <c:pt idx="4">
                  <c:v>351450592.35776407</c:v>
                </c:pt>
                <c:pt idx="5">
                  <c:v>417103761.39956957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9C-4B8F-938C-EB84FC66F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39400"/>
        <c:axId val="326939792"/>
      </c:lineChart>
      <c:catAx>
        <c:axId val="32693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9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97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940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Проект!$A$1755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Проект!$F$1733:$K$1733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Проект!$F$1755:$K$1755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81106154.341517583</c:v>
                </c:pt>
                <c:pt idx="2">
                  <c:v>176935893.99694204</c:v>
                </c:pt>
                <c:pt idx="3">
                  <c:v>264465909.47967941</c:v>
                </c:pt>
                <c:pt idx="4">
                  <c:v>351450592.35776407</c:v>
                </c:pt>
                <c:pt idx="5">
                  <c:v>437309228.93690664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5-4A44-84DD-ABBE68A81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40576"/>
        <c:axId val="357244088"/>
      </c:lineChart>
      <c:catAx>
        <c:axId val="32694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40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4057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Проект!$A$1933</c:f>
              <c:strCache>
                <c:ptCount val="1"/>
                <c:pt idx="0">
                  <c:v>NPV для полных инвестиционных затрат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numRef>
              <c:f>Проект!$B$1936:$B$1942</c:f>
              <c:numCache>
                <c:formatCode>0%</c:formatCode>
                <c:ptCount val="7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0.79999999999999993</c:v>
                </c:pt>
                <c:pt idx="6">
                  <c:v>0.89999999999999991</c:v>
                </c:pt>
              </c:numCache>
            </c:numRef>
          </c:cat>
          <c:val>
            <c:numRef>
              <c:f>Проект!$C$1936:$C$1942</c:f>
              <c:numCache>
                <c:formatCode>#,##0</c:formatCode>
                <c:ptCount val="7"/>
                <c:pt idx="0">
                  <c:v>157158251.96425334</c:v>
                </c:pt>
                <c:pt idx="1">
                  <c:v>211557531.87288395</c:v>
                </c:pt>
                <c:pt idx="2">
                  <c:v>265956811.78151456</c:v>
                </c:pt>
                <c:pt idx="3">
                  <c:v>320356091.69014513</c:v>
                </c:pt>
                <c:pt idx="4">
                  <c:v>374755371.5987758</c:v>
                </c:pt>
                <c:pt idx="5">
                  <c:v>429154651.50740635</c:v>
                </c:pt>
                <c:pt idx="6">
                  <c:v>483553931.41603696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0-4550-A67B-1622400D5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44872"/>
        <c:axId val="357237424"/>
      </c:lineChart>
      <c:catAx>
        <c:axId val="35724487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37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37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4487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512077294685993E-2"/>
          <c:w val="0.74974422314857703"/>
          <c:h val="0.914975845410628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Проект!$A$1277</c:f>
              <c:strCache>
                <c:ptCount val="1"/>
                <c:pt idx="0">
                  <c:v>Поступления кредитов</c:v>
                </c:pt>
              </c:strCache>
            </c:strRef>
          </c:tx>
          <c:spPr>
            <a:gradFill flip="none" rotWithShape="1">
              <a:gsLst>
                <a:gs pos="0">
                  <a:srgbClr val="D7E3BC">
                    <a:lumMod val="25000"/>
                    <a:alpha val="80000"/>
                  </a:srgbClr>
                </a:gs>
                <a:gs pos="50000">
                  <a:srgbClr val="D7E3BC">
                    <a:lumMod val="50000"/>
                    <a:alpha val="80000"/>
                  </a:srgbClr>
                </a:gs>
                <a:gs pos="100000">
                  <a:srgbClr val="D7E3BC">
                    <a:lumMod val="75000"/>
                    <a:alpha val="80000"/>
                  </a:srgbClr>
                </a:gs>
              </a:gsLst>
              <a:lin ang="16200000" scaled="1"/>
              <a:tileRect/>
            </a:gra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0"/>
              <c:layout>
                <c:manualLayout>
                  <c:x val="2.3964937896873206E-2"/>
                  <c:y val="-0.2514920487880191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EB-407E-86D3-5C634CF15B2C}"/>
                </c:ext>
              </c:extLst>
            </c:dLbl>
            <c:dLbl>
              <c:idx val="1"/>
              <c:layout>
                <c:manualLayout>
                  <c:x val="6.5359477124183208E-3"/>
                  <c:y val="-4.6376811594202899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EB-407E-86D3-5C634CF15B2C}"/>
                </c:ext>
              </c:extLst>
            </c:dLbl>
            <c:dLbl>
              <c:idx val="2"/>
              <c:layout>
                <c:manualLayout>
                  <c:x val="0"/>
                  <c:y val="-6.183574879227053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EB-407E-86D3-5C634CF15B2C}"/>
                </c:ext>
              </c:extLst>
            </c:dLbl>
            <c:dLbl>
              <c:idx val="3"/>
              <c:layout>
                <c:manualLayout>
                  <c:x val="2.1786492374727671E-3"/>
                  <c:y val="-3.864734299516908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ru-RU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EB-407E-86D3-5C634CF15B2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Проект!$F$1277:$K$1277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EB-407E-86D3-5C634CF15B2C}"/>
            </c:ext>
          </c:extLst>
        </c:ser>
        <c:ser>
          <c:idx val="2"/>
          <c:order val="1"/>
          <c:tx>
            <c:strRef>
              <c:f>Проект!$A$1257</c:f>
              <c:strCache>
                <c:ptCount val="1"/>
                <c:pt idx="0">
                  <c:v>Выплата процентов по кредитам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  <a:ln>
              <a:solidFill>
                <a:schemeClr val="bg1">
                  <a:alpha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Проект!$F$1257:$K$1257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EB-407E-86D3-5C634CF15B2C}"/>
            </c:ext>
          </c:extLst>
        </c:ser>
        <c:ser>
          <c:idx val="1"/>
          <c:order val="2"/>
          <c:tx>
            <c:strRef>
              <c:f>Проект!$A$1278</c:f>
              <c:strCache>
                <c:ptCount val="1"/>
                <c:pt idx="0">
                  <c:v>Возврат кредитов</c:v>
                </c:pt>
              </c:strCache>
            </c:strRef>
          </c:tx>
          <c:spPr>
            <a:solidFill>
              <a:srgbClr val="D75353">
                <a:alpha val="80000"/>
              </a:srgbClr>
            </a:soli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Проект!$F$1278:$K$1278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EB-407E-86D3-5C634CF1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7241736"/>
        <c:axId val="357243304"/>
      </c:barChart>
      <c:catAx>
        <c:axId val="35724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43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330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7241736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89182234573619"/>
          <c:y val="7.3841987142911486E-2"/>
          <c:w val="0.13800988111780144"/>
          <c:h val="0.51221940735668914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74568129964149E-2"/>
          <c:y val="4.2512077294685993E-2"/>
          <c:w val="0.75811040776765648"/>
          <c:h val="0.842641104644528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Проект!$A$1251</c:f>
              <c:strCache>
                <c:ptCount val="1"/>
                <c:pt idx="0">
                  <c:v>Поступления от продаж</c:v>
                </c:pt>
              </c:strCache>
            </c:strRef>
          </c:tx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Проект!$F$1251:$K$1251</c:f>
              <c:numCache>
                <c:formatCode>#,##0</c:formatCode>
                <c:ptCount val="6"/>
                <c:pt idx="0">
                  <c:v>36000000</c:v>
                </c:pt>
                <c:pt idx="1">
                  <c:v>84000000</c:v>
                </c:pt>
                <c:pt idx="2">
                  <c:v>120000000</c:v>
                </c:pt>
                <c:pt idx="3">
                  <c:v>120000000</c:v>
                </c:pt>
                <c:pt idx="4">
                  <c:v>120000000</c:v>
                </c:pt>
                <c:pt idx="5">
                  <c:v>120000000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26-4103-A02F-D1B0D09A4F37}"/>
            </c:ext>
          </c:extLst>
        </c:ser>
        <c:ser>
          <c:idx val="1"/>
          <c:order val="1"/>
          <c:tx>
            <c:strRef>
              <c:f>Проект!$A$1276</c:f>
              <c:strCache>
                <c:ptCount val="1"/>
                <c:pt idx="0">
                  <c:v>Средства от инвесторов строительства</c:v>
                </c:pt>
              </c:strCache>
            </c:strRef>
          </c:tx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Проект!$F$1276:$K$1276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26-4103-A02F-D1B0D09A4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7238600"/>
        <c:axId val="357238992"/>
      </c:barChart>
      <c:catAx>
        <c:axId val="357238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38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389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3860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019281903487554"/>
          <c:y val="4.5154703488150941E-2"/>
          <c:w val="0.1267352855402879"/>
          <c:h val="0.54640526455932137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Проект!$A$1409</c:f>
              <c:strCache>
                <c:ptCount val="1"/>
                <c:pt idx="0">
                  <c:v>Суммарные внеоборотные активы</c:v>
                </c:pt>
              </c:strCache>
            </c:strRef>
          </c:tx>
          <c:invertIfNegative val="0"/>
          <c:cat>
            <c:strRef>
              <c:f>Проект!$F$1389:$K$1389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Проект!$F$1409:$K$1409</c:f>
              <c:numCache>
                <c:formatCode>#,##0</c:formatCode>
                <c:ptCount val="6"/>
                <c:pt idx="0">
                  <c:v>540000</c:v>
                </c:pt>
                <c:pt idx="1">
                  <c:v>580000</c:v>
                </c:pt>
                <c:pt idx="2">
                  <c:v>630000</c:v>
                </c:pt>
                <c:pt idx="3">
                  <c:v>1360000</c:v>
                </c:pt>
                <c:pt idx="4">
                  <c:v>1390000</c:v>
                </c:pt>
                <c:pt idx="5">
                  <c:v>1418833.3333333333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B-4E00-A637-A1A0B2E0CAD5}"/>
            </c:ext>
          </c:extLst>
        </c:ser>
        <c:ser>
          <c:idx val="1"/>
          <c:order val="1"/>
          <c:tx>
            <c:strRef>
              <c:f>Проект!$A$1400</c:f>
              <c:strCache>
                <c:ptCount val="1"/>
                <c:pt idx="0">
                  <c:v>Суммарные оборотные активы</c:v>
                </c:pt>
              </c:strCache>
            </c:strRef>
          </c:tx>
          <c:invertIfNegative val="0"/>
          <c:cat>
            <c:strRef>
              <c:f>Проект!$F$1389:$K$1389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Проект!$F$1400:$K$1400</c:f>
              <c:numCache>
                <c:formatCode>#,##0</c:formatCode>
                <c:ptCount val="6"/>
                <c:pt idx="0">
                  <c:v>19955000</c:v>
                </c:pt>
                <c:pt idx="1">
                  <c:v>86841700</c:v>
                </c:pt>
                <c:pt idx="2">
                  <c:v>185238799.99999997</c:v>
                </c:pt>
                <c:pt idx="3">
                  <c:v>276276700</c:v>
                </c:pt>
                <c:pt idx="4">
                  <c:v>367915200</c:v>
                </c:pt>
                <c:pt idx="5">
                  <c:v>459553700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B-4E00-A637-A1A0B2E0C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7239384"/>
        <c:axId val="357242912"/>
      </c:barChart>
      <c:catAx>
        <c:axId val="357239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291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3938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Проект!$A$1428</c:f>
              <c:strCache>
                <c:ptCount val="1"/>
                <c:pt idx="0">
                  <c:v>Суммарный собственный капитал</c:v>
                </c:pt>
              </c:strCache>
            </c:strRef>
          </c:tx>
          <c:invertIfNegative val="0"/>
          <c:cat>
            <c:strRef>
              <c:f>Проект!$F$1389:$K$1389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Проект!$F$1428:$K$1428</c:f>
              <c:numCache>
                <c:formatCode>#,##0</c:formatCode>
                <c:ptCount val="6"/>
                <c:pt idx="0">
                  <c:v>13127500</c:v>
                </c:pt>
                <c:pt idx="1">
                  <c:v>71215400</c:v>
                </c:pt>
                <c:pt idx="2">
                  <c:v>162983700</c:v>
                </c:pt>
                <c:pt idx="3">
                  <c:v>254652200</c:v>
                </c:pt>
                <c:pt idx="4">
                  <c:v>346320700</c:v>
                </c:pt>
                <c:pt idx="5">
                  <c:v>437988033.33333331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3-4AF8-9DDC-8676CE0F694F}"/>
            </c:ext>
          </c:extLst>
        </c:ser>
        <c:ser>
          <c:idx val="1"/>
          <c:order val="1"/>
          <c:tx>
            <c:strRef>
              <c:f>Проект!$A$1423</c:f>
              <c:strCache>
                <c:ptCount val="1"/>
                <c:pt idx="0">
                  <c:v>Долгосрочные обязательства</c:v>
                </c:pt>
              </c:strCache>
            </c:strRef>
          </c:tx>
          <c:invertIfNegative val="0"/>
          <c:cat>
            <c:strRef>
              <c:f>Проект!$F$1389:$K$1389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Проект!$F$1423:$K$1423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B3-4AF8-9DDC-8676CE0F694F}"/>
            </c:ext>
          </c:extLst>
        </c:ser>
        <c:ser>
          <c:idx val="2"/>
          <c:order val="2"/>
          <c:tx>
            <c:strRef>
              <c:f>Проект!$A$1421</c:f>
              <c:strCache>
                <c:ptCount val="1"/>
                <c:pt idx="0">
                  <c:v>Суммарные краткосрочные обязательства</c:v>
                </c:pt>
              </c:strCache>
            </c:strRef>
          </c:tx>
          <c:invertIfNegative val="0"/>
          <c:cat>
            <c:strRef>
              <c:f>Проект!$F$1389:$K$1389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Проект!$F$1421:$K$1421</c:f>
              <c:numCache>
                <c:formatCode>#,##0</c:formatCode>
                <c:ptCount val="6"/>
                <c:pt idx="0">
                  <c:v>7367500</c:v>
                </c:pt>
                <c:pt idx="1">
                  <c:v>16206300</c:v>
                </c:pt>
                <c:pt idx="2">
                  <c:v>22885100</c:v>
                </c:pt>
                <c:pt idx="3">
                  <c:v>22984500</c:v>
                </c:pt>
                <c:pt idx="4">
                  <c:v>22984500</c:v>
                </c:pt>
                <c:pt idx="5">
                  <c:v>22984500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B3-4AF8-9DDC-8676CE0F6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7240952"/>
        <c:axId val="357240168"/>
      </c:barChart>
      <c:catAx>
        <c:axId val="3572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0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0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095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Проект!$A$1486</c:f>
              <c:strCache>
                <c:ptCount val="1"/>
                <c:pt idx="0">
                  <c:v>Рентабельность активов</c:v>
                </c:pt>
              </c:strCache>
            </c:strRef>
          </c:tx>
          <c:invertIfNegative val="0"/>
          <c:cat>
            <c:strRef>
              <c:f>Проект!$F$1484:$K$1484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Проект!$F$1486:$K$1486</c:f>
              <c:numCache>
                <c:formatCode>0.0%</c:formatCode>
                <c:ptCount val="6"/>
                <c:pt idx="0">
                  <c:v>15.372529885337887</c:v>
                </c:pt>
                <c:pt idx="1">
                  <c:v>12.918386125595019</c:v>
                </c:pt>
                <c:pt idx="2">
                  <c:v>8.0589672893862012</c:v>
                </c:pt>
                <c:pt idx="3">
                  <c:v>4.7465326732908242</c:v>
                </c:pt>
                <c:pt idx="4">
                  <c:v>3.4006825033283516</c:v>
                </c:pt>
                <c:pt idx="5">
                  <c:v>2.3862766660862511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E-4386-9052-3D8E86065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241344"/>
        <c:axId val="357243696"/>
      </c:barChart>
      <c:catAx>
        <c:axId val="35724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24369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72413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Проект!$A$1490</c:f>
              <c:strCache>
                <c:ptCount val="1"/>
                <c:pt idx="0">
                  <c:v>Прибыльность продаж</c:v>
                </c:pt>
              </c:strCache>
            </c:strRef>
          </c:tx>
          <c:invertIfNegative val="0"/>
          <c:cat>
            <c:strRef>
              <c:f>Проект!$F$1484:$K$1484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Проект!$F$1490:$K$1490</c:f>
              <c:numCache>
                <c:formatCode>0.0%</c:formatCode>
                <c:ptCount val="6"/>
                <c:pt idx="0">
                  <c:v>0.36465277777777777</c:v>
                </c:pt>
                <c:pt idx="1">
                  <c:v>0.69152261904761902</c:v>
                </c:pt>
                <c:pt idx="2">
                  <c:v>0.76473583333333328</c:v>
                </c:pt>
                <c:pt idx="3">
                  <c:v>0.76390416666666672</c:v>
                </c:pt>
                <c:pt idx="4">
                  <c:v>0.76390416666666672</c:v>
                </c:pt>
                <c:pt idx="5">
                  <c:v>0.76389444444444443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8-4FB9-B3BF-4CF1D0A3F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936656"/>
        <c:axId val="326937048"/>
      </c:barChart>
      <c:catAx>
        <c:axId val="32693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7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665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Проект!$A$1496</c:f>
              <c:strCache>
                <c:ptCount val="1"/>
                <c:pt idx="0">
                  <c:v>Рентабельность по EBITDA</c:v>
                </c:pt>
              </c:strCache>
            </c:strRef>
          </c:tx>
          <c:spPr>
            <a:solidFill>
              <a:srgbClr val="B8CCE4">
                <a:lumMod val="75000"/>
              </a:srgb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Проект!$F$1484:$K$1484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Проект!$F$1496:$K$1496</c:f>
              <c:numCache>
                <c:formatCode>0%</c:formatCode>
                <c:ptCount val="6"/>
                <c:pt idx="0">
                  <c:v>0.73808086904043457</c:v>
                </c:pt>
                <c:pt idx="1">
                  <c:v>3.0245111895784325</c:v>
                </c:pt>
                <c:pt idx="2">
                  <c:v>4.7056728652462709</c:v>
                </c:pt>
                <c:pt idx="3">
                  <c:v>4.6796725267964883</c:v>
                </c:pt>
                <c:pt idx="4">
                  <c:v>4.6796725267964883</c:v>
                </c:pt>
                <c:pt idx="5">
                  <c:v>4.6794141771033786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F-436F-A52D-DDE67DDF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938616"/>
        <c:axId val="326939008"/>
      </c:barChart>
      <c:catAx>
        <c:axId val="326938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939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2693861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Проект!$A$1060</c:f>
              <c:strCache>
                <c:ptCount val="1"/>
                <c:pt idx="0">
                  <c:v> = Итого: Задолженность по кредитам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accent1">
                  <a:lumMod val="25000"/>
                </a:schemeClr>
              </a:solidFill>
            </a:ln>
            <a:effectLst/>
          </c:spPr>
          <c:cat>
            <c:strRef>
              <c:f>Проект!$F$1028:$K$1028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Проект!$F$1060:$K$1060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08-4D5E-80B0-3C7DE4ED6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974352"/>
        <c:axId val="356969256"/>
      </c:areaChart>
      <c:catAx>
        <c:axId val="3569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6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6925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4352"/>
        <c:crosses val="autoZero"/>
        <c:crossBetween val="midCat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Проект!$A$1215</c:f>
              <c:strCache>
                <c:ptCount val="1"/>
                <c:pt idx="0">
                  <c:v>Прибыль до налога, процентов и амортизации (EBITDA)</c:v>
                </c:pt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Проект!$F$1205:$K$1205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Проект!$F$1215:$K$1215</c:f>
              <c:numCache>
                <c:formatCode>#,##0</c:formatCode>
                <c:ptCount val="6"/>
                <c:pt idx="0">
                  <c:v>15287500</c:v>
                </c:pt>
                <c:pt idx="1">
                  <c:v>63127900</c:v>
                </c:pt>
                <c:pt idx="2">
                  <c:v>98968300</c:v>
                </c:pt>
                <c:pt idx="3">
                  <c:v>98888500</c:v>
                </c:pt>
                <c:pt idx="4">
                  <c:v>98888500</c:v>
                </c:pt>
                <c:pt idx="5">
                  <c:v>98888500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8-4ACC-A45C-0F930AAE9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2000"/>
        <c:axId val="356970040"/>
      </c:lineChart>
      <c:catAx>
        <c:axId val="35697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0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0040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200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Портфель!$A$693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6">
                  <a:lumMod val="50000"/>
                </a:schemeClr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accent6">
                    <a:lumMod val="50000"/>
                  </a:schemeClr>
                </a:solidFill>
                <a:prstDash val="solid"/>
              </a:ln>
              <a:effectLst>
                <a:outerShdw blurRad="25400" dist="127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Портфель!$F$667:$K$667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Портфель!$F$693:$K$693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81106154.341517583</c:v>
                </c:pt>
                <c:pt idx="2">
                  <c:v>176935893.99694204</c:v>
                </c:pt>
                <c:pt idx="3">
                  <c:v>264465909.47967941</c:v>
                </c:pt>
                <c:pt idx="4">
                  <c:v>351450592.35776407</c:v>
                </c:pt>
                <c:pt idx="5">
                  <c:v>417103761.39956957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1-4700-BBFC-BFC78B7F0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3176"/>
        <c:axId val="356971608"/>
      </c:lineChart>
      <c:catAx>
        <c:axId val="35697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1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1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317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Портфель!$A$768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  <a:prstDash val="solid"/>
              </a:ln>
              <a:effectLst>
                <a:outerShdw blurRad="25400" dist="127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Портфель!$F$742:$K$742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Портфель!$F$768:$K$768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81106154.341517583</c:v>
                </c:pt>
                <c:pt idx="2">
                  <c:v>176935893.99694204</c:v>
                </c:pt>
                <c:pt idx="3">
                  <c:v>264465909.47967941</c:v>
                </c:pt>
                <c:pt idx="4">
                  <c:v>351450592.35776407</c:v>
                </c:pt>
                <c:pt idx="5">
                  <c:v>417103761.39956957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D-47BC-AFB7-536C4E26E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3568"/>
        <c:axId val="356975920"/>
      </c:lineChart>
      <c:catAx>
        <c:axId val="35697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5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3568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Портфель!$A$841</c:f>
              <c:strCache>
                <c:ptCount val="1"/>
                <c:pt idx="0">
                  <c:v>Дисконтированный поток нарастающим итогом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  <a:prstDash val="solid"/>
              </a:ln>
              <a:effectLst>
                <a:outerShdw blurRad="25400" dist="127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Портфель!$F$817:$K$817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Портфель!$F$841:$K$841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81106154.341517583</c:v>
                </c:pt>
                <c:pt idx="2">
                  <c:v>176935893.99694204</c:v>
                </c:pt>
                <c:pt idx="3">
                  <c:v>264465909.47967941</c:v>
                </c:pt>
                <c:pt idx="4">
                  <c:v>351450592.35776407</c:v>
                </c:pt>
                <c:pt idx="5">
                  <c:v>437309228.93690664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6-4F6E-AAF6-9E120F385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4744"/>
        <c:axId val="356975136"/>
      </c:lineChart>
      <c:catAx>
        <c:axId val="356974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5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513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69747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Портфель!$A$124</c:f>
              <c:strCache>
                <c:ptCount val="1"/>
                <c:pt idx="0">
                  <c:v>Выручка (нетто)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Портфель!$F$122:$K$122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Портфель!$F$124:$K$124</c:f>
              <c:numCache>
                <c:formatCode>#,##0</c:formatCode>
                <c:ptCount val="6"/>
                <c:pt idx="0">
                  <c:v>36000000</c:v>
                </c:pt>
                <c:pt idx="1">
                  <c:v>84000000</c:v>
                </c:pt>
                <c:pt idx="2">
                  <c:v>120000000</c:v>
                </c:pt>
                <c:pt idx="3">
                  <c:v>120000000</c:v>
                </c:pt>
                <c:pt idx="4">
                  <c:v>120000000</c:v>
                </c:pt>
                <c:pt idx="5">
                  <c:v>120000000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0-4421-9995-BE13CB29A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68864"/>
        <c:axId val="356975528"/>
      </c:lineChart>
      <c:catAx>
        <c:axId val="35696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5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97552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6886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Портфель!$A$169</c:f>
              <c:strCache>
                <c:ptCount val="1"/>
                <c:pt idx="0">
                  <c:v>Чистая прибыль (убыток)</c:v>
                </c:pt>
              </c:strCache>
            </c:strRef>
          </c:tx>
          <c:spPr>
            <a:ln w="28575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</c:marker>
          <c:cat>
            <c:strRef>
              <c:f>Портфель!$F$122:$K$122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Портфель!$F$169:$K$169</c:f>
              <c:numCache>
                <c:formatCode>#,##0</c:formatCode>
                <c:ptCount val="6"/>
                <c:pt idx="0">
                  <c:v>13127500</c:v>
                </c:pt>
                <c:pt idx="1">
                  <c:v>58087900</c:v>
                </c:pt>
                <c:pt idx="2">
                  <c:v>91768300</c:v>
                </c:pt>
                <c:pt idx="3">
                  <c:v>91668500</c:v>
                </c:pt>
                <c:pt idx="4">
                  <c:v>91668500</c:v>
                </c:pt>
                <c:pt idx="5">
                  <c:v>91667333.333333328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2-442D-A09D-5FE8AFA8F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7880"/>
        <c:axId val="359622192"/>
      </c:lineChart>
      <c:catAx>
        <c:axId val="359617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2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219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788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Портфель!$A$173</c:f>
              <c:strCache>
                <c:ptCount val="1"/>
                <c:pt idx="0">
                  <c:v>Прибыль до налога, процентов и амортизации (EBITDA)</c:v>
                </c:pt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Портфель!$F$122:$K$122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Портфель!$F$173:$K$173</c:f>
              <c:numCache>
                <c:formatCode>#,##0</c:formatCode>
                <c:ptCount val="6"/>
                <c:pt idx="0">
                  <c:v>15287500</c:v>
                </c:pt>
                <c:pt idx="1">
                  <c:v>63127900</c:v>
                </c:pt>
                <c:pt idx="2">
                  <c:v>98968300</c:v>
                </c:pt>
                <c:pt idx="3">
                  <c:v>98888500</c:v>
                </c:pt>
                <c:pt idx="4">
                  <c:v>98888500</c:v>
                </c:pt>
                <c:pt idx="5">
                  <c:v>98888500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0F-4CDC-8617-B752CD4C9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9448"/>
        <c:axId val="359618272"/>
      </c:lineChart>
      <c:catAx>
        <c:axId val="35961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8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1827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9448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Портфель!$A$286</c:f>
              <c:strCache>
                <c:ptCount val="1"/>
                <c:pt idx="0">
                  <c:v>Денежные потоки от операционной деятельности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Портфель!$F$286:$K$286</c:f>
              <c:numCache>
                <c:formatCode>#,##0</c:formatCode>
                <c:ptCount val="6"/>
                <c:pt idx="0">
                  <c:v>13127500</c:v>
                </c:pt>
                <c:pt idx="1">
                  <c:v>58087900</c:v>
                </c:pt>
                <c:pt idx="2">
                  <c:v>91768300</c:v>
                </c:pt>
                <c:pt idx="3">
                  <c:v>91688500</c:v>
                </c:pt>
                <c:pt idx="4">
                  <c:v>91688500</c:v>
                </c:pt>
                <c:pt idx="5">
                  <c:v>91688500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CC-4776-92CD-A9F72215B0AD}"/>
            </c:ext>
          </c:extLst>
        </c:ser>
        <c:ser>
          <c:idx val="1"/>
          <c:order val="1"/>
          <c:tx>
            <c:strRef>
              <c:f>Портфель!$A$306</c:f>
              <c:strCache>
                <c:ptCount val="1"/>
                <c:pt idx="0">
                  <c:v>Денежные потоки от инвестиционной деятельности</c:v>
                </c:pt>
              </c:strCache>
            </c:strRef>
          </c:tx>
          <c:spPr>
            <a:gradFill>
              <a:gsLst>
                <a:gs pos="0">
                  <a:srgbClr val="B8CCE4">
                    <a:shade val="30000"/>
                    <a:satMod val="115000"/>
                  </a:srgbClr>
                </a:gs>
                <a:gs pos="50000">
                  <a:srgbClr val="B8CCE4">
                    <a:shade val="67500"/>
                    <a:satMod val="115000"/>
                  </a:srgbClr>
                </a:gs>
                <a:gs pos="100000">
                  <a:srgbClr val="B8CCE4">
                    <a:shade val="100000"/>
                    <a:satMod val="115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Портфель!$F$306:$K$306</c:f>
              <c:numCache>
                <c:formatCode>#,##0</c:formatCode>
                <c:ptCount val="6"/>
                <c:pt idx="0">
                  <c:v>1994583.333333333</c:v>
                </c:pt>
                <c:pt idx="1">
                  <c:v>8761560</c:v>
                </c:pt>
                <c:pt idx="2">
                  <c:v>6591560</c:v>
                </c:pt>
                <c:pt idx="3">
                  <c:v>-669220</c:v>
                </c:pt>
                <c:pt idx="4">
                  <c:v>-50000</c:v>
                </c:pt>
                <c:pt idx="5">
                  <c:v>-50000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CC-4776-92CD-A9F72215B0AD}"/>
            </c:ext>
          </c:extLst>
        </c:ser>
        <c:ser>
          <c:idx val="2"/>
          <c:order val="2"/>
          <c:tx>
            <c:strRef>
              <c:f>Портфель!$A$324</c:f>
              <c:strCache>
                <c:ptCount val="1"/>
                <c:pt idx="0">
                  <c:v>Денежные потоки от финансовой деятельности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rgbClr val="F79646">
                    <a:lumMod val="40000"/>
                    <a:lumOff val="60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Портфель!$F$324:$K$324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CC-4776-92CD-A9F72215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40"/>
        <c:axId val="359617488"/>
        <c:axId val="359621016"/>
      </c:barChart>
      <c:catAx>
        <c:axId val="35961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1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1016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17488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Портфель!$A$331</c:f>
              <c:strCache>
                <c:ptCount val="1"/>
                <c:pt idx="0">
                  <c:v>Денежные средства на конец периода</c:v>
                </c:pt>
              </c:strCache>
            </c:strRef>
          </c:tx>
          <c:spPr>
            <a:ln w="3175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Портфель!$F$331:$K$331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81971543.333333328</c:v>
                </c:pt>
                <c:pt idx="2">
                  <c:v>180331403.33333331</c:v>
                </c:pt>
                <c:pt idx="3">
                  <c:v>271350683.33333331</c:v>
                </c:pt>
                <c:pt idx="4">
                  <c:v>362989183.33333331</c:v>
                </c:pt>
                <c:pt idx="5">
                  <c:v>454627683.33333331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D10-885B-CC68A045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23368"/>
        <c:axId val="359623760"/>
      </c:lineChart>
      <c:catAx>
        <c:axId val="35962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3760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3368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Портфель!$A$315</c:f>
              <c:strCache>
                <c:ptCount val="1"/>
                <c:pt idx="0">
                  <c:v>Поступления кредитов</c:v>
                </c:pt>
              </c:strCache>
            </c:strRef>
          </c:tx>
          <c:spPr>
            <a:gradFill flip="none" rotWithShape="1">
              <a:gsLst>
                <a:gs pos="0">
                  <a:srgbClr val="D7E3BC">
                    <a:lumMod val="25000"/>
                    <a:alpha val="80000"/>
                  </a:srgbClr>
                </a:gs>
                <a:gs pos="50000">
                  <a:srgbClr val="D7E3BC">
                    <a:lumMod val="50000"/>
                    <a:alpha val="80000"/>
                  </a:srgbClr>
                </a:gs>
                <a:gs pos="100000">
                  <a:srgbClr val="D7E3BC">
                    <a:lumMod val="75000"/>
                    <a:alpha val="80000"/>
                  </a:srgbClr>
                </a:gs>
              </a:gsLst>
              <a:lin ang="16200000" scaled="1"/>
              <a:tileRect/>
            </a:gra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Портфель!$F$315:$K$315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7-43E7-8C7F-A821F9E7C13B}"/>
            </c:ext>
          </c:extLst>
        </c:ser>
        <c:ser>
          <c:idx val="2"/>
          <c:order val="1"/>
          <c:tx>
            <c:strRef>
              <c:f>Портфель!$A$279</c:f>
              <c:strCache>
                <c:ptCount val="1"/>
                <c:pt idx="0">
                  <c:v>Выплата процентов по кредитам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  <a:ln>
              <a:solidFill>
                <a:schemeClr val="bg1">
                  <a:alpha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Портфель!$F$279:$K$279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7-43E7-8C7F-A821F9E7C13B}"/>
            </c:ext>
          </c:extLst>
        </c:ser>
        <c:ser>
          <c:idx val="1"/>
          <c:order val="2"/>
          <c:tx>
            <c:strRef>
              <c:f>Портфель!$A$317</c:f>
              <c:strCache>
                <c:ptCount val="1"/>
                <c:pt idx="0">
                  <c:v>Возврат кредитов</c:v>
                </c:pt>
              </c:strCache>
            </c:strRef>
          </c:tx>
          <c:spPr>
            <a:solidFill>
              <a:srgbClr val="D75353">
                <a:alpha val="80000"/>
              </a:srgbClr>
            </a:soli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Портфель!$F$317:$K$317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97-43E7-8C7F-A821F9E7C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9616312"/>
        <c:axId val="359622584"/>
      </c:barChart>
      <c:catAx>
        <c:axId val="35961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22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2258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59616312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Портфель!$A$267</c:f>
              <c:strCache>
                <c:ptCount val="1"/>
                <c:pt idx="0">
                  <c:v>Поступления от продаж</c:v>
                </c:pt>
              </c:strCache>
            </c:strRef>
          </c:tx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Портфель!$F$267:$K$267</c:f>
              <c:numCache>
                <c:formatCode>#,##0</c:formatCode>
                <c:ptCount val="6"/>
                <c:pt idx="0">
                  <c:v>36000000</c:v>
                </c:pt>
                <c:pt idx="1">
                  <c:v>84000000</c:v>
                </c:pt>
                <c:pt idx="2">
                  <c:v>120000000</c:v>
                </c:pt>
                <c:pt idx="3">
                  <c:v>120000000</c:v>
                </c:pt>
                <c:pt idx="4">
                  <c:v>120000000</c:v>
                </c:pt>
                <c:pt idx="5">
                  <c:v>120000000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13-4AEF-9129-2F5928C07890}"/>
            </c:ext>
          </c:extLst>
        </c:ser>
        <c:ser>
          <c:idx val="1"/>
          <c:order val="1"/>
          <c:tx>
            <c:strRef>
              <c:f>Портфель!$A$313</c:f>
              <c:strCache>
                <c:ptCount val="1"/>
                <c:pt idx="0">
                  <c:v>Средства от инвесторов строительства</c:v>
                </c:pt>
              </c:strCache>
            </c:strRef>
          </c:tx>
          <c:invertIfNegative val="0"/>
          <c:cat>
            <c:strRef>
              <c:f>Портфель!$F$265:$K$265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Портфель!$F$313:$K$313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13-4AEF-9129-2F5928C07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9620232"/>
        <c:axId val="359617096"/>
      </c:barChart>
      <c:catAx>
        <c:axId val="35962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1709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2023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Портфель!$A$472</c:f>
              <c:strCache>
                <c:ptCount val="1"/>
                <c:pt idx="0">
                  <c:v>Суммарные внеоборотные активы</c:v>
                </c:pt>
              </c:strCache>
            </c:strRef>
          </c:tx>
          <c:invertIfNegative val="0"/>
          <c:cat>
            <c:strRef>
              <c:f>Портфель!$F$435:$K$435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Портфель!$F$472:$K$472</c:f>
              <c:numCache>
                <c:formatCode>#,##0</c:formatCode>
                <c:ptCount val="6"/>
                <c:pt idx="0">
                  <c:v>540000</c:v>
                </c:pt>
                <c:pt idx="1">
                  <c:v>580000</c:v>
                </c:pt>
                <c:pt idx="2">
                  <c:v>630000</c:v>
                </c:pt>
                <c:pt idx="3">
                  <c:v>1360000</c:v>
                </c:pt>
                <c:pt idx="4">
                  <c:v>1390000</c:v>
                </c:pt>
                <c:pt idx="5">
                  <c:v>1418833.3333333333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B-436B-9F75-EA3DC1F35677}"/>
            </c:ext>
          </c:extLst>
        </c:ser>
        <c:ser>
          <c:idx val="1"/>
          <c:order val="1"/>
          <c:tx>
            <c:strRef>
              <c:f>Портфель!$A$455</c:f>
              <c:strCache>
                <c:ptCount val="1"/>
                <c:pt idx="0">
                  <c:v>Суммарные оборотные активы</c:v>
                </c:pt>
              </c:strCache>
            </c:strRef>
          </c:tx>
          <c:invertIfNegative val="0"/>
          <c:cat>
            <c:strRef>
              <c:f>Портфель!$F$435:$K$435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Портфель!$F$455:$K$455</c:f>
              <c:numCache>
                <c:formatCode>#,##0</c:formatCode>
                <c:ptCount val="6"/>
                <c:pt idx="0">
                  <c:v>19955000</c:v>
                </c:pt>
                <c:pt idx="1">
                  <c:v>86841700</c:v>
                </c:pt>
                <c:pt idx="2">
                  <c:v>185238799.99999997</c:v>
                </c:pt>
                <c:pt idx="3">
                  <c:v>276276700</c:v>
                </c:pt>
                <c:pt idx="4">
                  <c:v>367915200</c:v>
                </c:pt>
                <c:pt idx="5">
                  <c:v>459553700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BB-436B-9F75-EA3DC1F3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9619056"/>
        <c:axId val="359616704"/>
      </c:barChart>
      <c:catAx>
        <c:axId val="35961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6167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61905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Портфель!$A$506</c:f>
              <c:strCache>
                <c:ptCount val="1"/>
                <c:pt idx="0">
                  <c:v>Суммарный собственный капитал</c:v>
                </c:pt>
              </c:strCache>
            </c:strRef>
          </c:tx>
          <c:invertIfNegative val="0"/>
          <c:cat>
            <c:strRef>
              <c:f>Портфель!$F$435:$K$435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Портфель!$F$506:$K$506</c:f>
              <c:numCache>
                <c:formatCode>#,##0</c:formatCode>
                <c:ptCount val="6"/>
                <c:pt idx="0">
                  <c:v>13127500</c:v>
                </c:pt>
                <c:pt idx="1">
                  <c:v>71215400</c:v>
                </c:pt>
                <c:pt idx="2">
                  <c:v>162983700</c:v>
                </c:pt>
                <c:pt idx="3">
                  <c:v>254652200</c:v>
                </c:pt>
                <c:pt idx="4">
                  <c:v>346320700</c:v>
                </c:pt>
                <c:pt idx="5">
                  <c:v>437988033.33333331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51-4038-BE7B-BC5CAD8FFE9E}"/>
            </c:ext>
          </c:extLst>
        </c:ser>
        <c:ser>
          <c:idx val="1"/>
          <c:order val="1"/>
          <c:tx>
            <c:strRef>
              <c:f>Портфель!$A$497</c:f>
              <c:strCache>
                <c:ptCount val="1"/>
                <c:pt idx="0">
                  <c:v>Долгосрочные обязательства</c:v>
                </c:pt>
              </c:strCache>
            </c:strRef>
          </c:tx>
          <c:invertIfNegative val="0"/>
          <c:cat>
            <c:strRef>
              <c:f>Портфель!$F$435:$K$435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Портфель!$F$497:$K$497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51-4038-BE7B-BC5CAD8FFE9E}"/>
            </c:ext>
          </c:extLst>
        </c:ser>
        <c:ser>
          <c:idx val="2"/>
          <c:order val="2"/>
          <c:tx>
            <c:strRef>
              <c:f>Портфель!$A$494</c:f>
              <c:strCache>
                <c:ptCount val="1"/>
                <c:pt idx="0">
                  <c:v>Суммарные краткосрочные обязательства</c:v>
                </c:pt>
              </c:strCache>
            </c:strRef>
          </c:tx>
          <c:invertIfNegative val="0"/>
          <c:cat>
            <c:strRef>
              <c:f>Портфель!$F$435:$K$435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Портфель!$F$494:$K$494</c:f>
              <c:numCache>
                <c:formatCode>#,##0</c:formatCode>
                <c:ptCount val="6"/>
                <c:pt idx="0">
                  <c:v>7367500</c:v>
                </c:pt>
                <c:pt idx="1">
                  <c:v>16206300</c:v>
                </c:pt>
                <c:pt idx="2">
                  <c:v>22885100</c:v>
                </c:pt>
                <c:pt idx="3">
                  <c:v>22984500</c:v>
                </c:pt>
                <c:pt idx="4">
                  <c:v>22984500</c:v>
                </c:pt>
                <c:pt idx="5">
                  <c:v>22984500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51-4038-BE7B-BC5CAD8FF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59593144"/>
        <c:axId val="359594320"/>
      </c:barChart>
      <c:catAx>
        <c:axId val="359593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4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4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31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Портфель!$A$566</c:f>
              <c:strCache>
                <c:ptCount val="1"/>
                <c:pt idx="0">
                  <c:v>Рентабельность активов</c:v>
                </c:pt>
              </c:strCache>
            </c:strRef>
          </c:tx>
          <c:invertIfNegative val="0"/>
          <c:cat>
            <c:strRef>
              <c:f>Портфель!$F$564:$K$564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Портфель!$F$566:$K$566</c:f>
              <c:numCache>
                <c:formatCode>0.0%</c:formatCode>
                <c:ptCount val="6"/>
                <c:pt idx="0">
                  <c:v>2.9194740017068721</c:v>
                </c:pt>
                <c:pt idx="1">
                  <c:v>5.1012003710337535</c:v>
                </c:pt>
                <c:pt idx="2">
                  <c:v>4.7517002495116021</c:v>
                </c:pt>
                <c:pt idx="3">
                  <c:v>3.4006825033283516</c:v>
                </c:pt>
                <c:pt idx="4">
                  <c:v>2.6497687601080639</c:v>
                </c:pt>
                <c:pt idx="5">
                  <c:v>2.3862766660862511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2-4473-A085-C5A2AFE08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591184"/>
        <c:axId val="359595888"/>
      </c:barChart>
      <c:catAx>
        <c:axId val="35959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5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588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118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Портфель!$A$570</c:f>
              <c:strCache>
                <c:ptCount val="1"/>
                <c:pt idx="0">
                  <c:v>Прибыльность продаж</c:v>
                </c:pt>
              </c:strCache>
            </c:strRef>
          </c:tx>
          <c:invertIfNegative val="0"/>
          <c:cat>
            <c:strRef>
              <c:f>Портфель!$F$564:$K$564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Портфель!$F$570:$K$570</c:f>
              <c:numCache>
                <c:formatCode>0.0%</c:formatCode>
                <c:ptCount val="6"/>
                <c:pt idx="0">
                  <c:v>0.36465277777777777</c:v>
                </c:pt>
                <c:pt idx="1">
                  <c:v>0.69152261904761902</c:v>
                </c:pt>
                <c:pt idx="2">
                  <c:v>0.76473583333333328</c:v>
                </c:pt>
                <c:pt idx="3">
                  <c:v>0.76390416666666672</c:v>
                </c:pt>
                <c:pt idx="4">
                  <c:v>0.76390416666666672</c:v>
                </c:pt>
                <c:pt idx="5">
                  <c:v>0.76389444444444443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9-4E14-8926-7B389AD74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595104"/>
        <c:axId val="359593928"/>
      </c:barChart>
      <c:catAx>
        <c:axId val="35959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3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3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510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Портфель!$A$576</c:f>
              <c:strCache>
                <c:ptCount val="1"/>
                <c:pt idx="0">
                  <c:v>Рентабельность по EBITDA</c:v>
                </c:pt>
              </c:strCache>
            </c:strRef>
          </c:tx>
          <c:spPr>
            <a:solidFill>
              <a:srgbClr val="B8CCE4">
                <a:lumMod val="75000"/>
              </a:srgbClr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Портфель!$F$564:$K$564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Портфель!$F$576:$K$576</c:f>
              <c:numCache>
                <c:formatCode>0%</c:formatCode>
                <c:ptCount val="6"/>
                <c:pt idx="0">
                  <c:v>0.73808086904043457</c:v>
                </c:pt>
                <c:pt idx="1">
                  <c:v>3.0245111895784325</c:v>
                </c:pt>
                <c:pt idx="2">
                  <c:v>4.7056728652462709</c:v>
                </c:pt>
                <c:pt idx="3">
                  <c:v>4.6796725267964883</c:v>
                </c:pt>
                <c:pt idx="4">
                  <c:v>4.6796725267964883</c:v>
                </c:pt>
                <c:pt idx="5">
                  <c:v>4.6794141771033786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E-4DAB-A30F-D55F68DA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596280"/>
        <c:axId val="359592752"/>
      </c:barChart>
      <c:catAx>
        <c:axId val="359596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2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2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6280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77" r="0.75000000000000977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Проект!$A$1060</c:f>
              <c:strCache>
                <c:ptCount val="1"/>
                <c:pt idx="0">
                  <c:v> = Итого: Задолженность по кредитам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accent1">
                  <a:lumMod val="25000"/>
                </a:schemeClr>
              </a:solidFill>
            </a:ln>
            <a:effectLst/>
          </c:spPr>
          <c:cat>
            <c:strRef>
              <c:f>Проект!$F$1028:$K$1028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Проект!$F$1060:$K$1060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BD-41BE-BB33-AF7A45A03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597848"/>
        <c:axId val="359598240"/>
      </c:areaChart>
      <c:catAx>
        <c:axId val="35959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8240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7848"/>
        <c:crosses val="autoZero"/>
        <c:crossBetween val="midCat"/>
      </c:valAx>
      <c:spPr>
        <a:solidFill>
          <a:sysClr val="window" lastClr="FFFFFF">
            <a:lumMod val="85000"/>
            <a:alpha val="70000"/>
          </a:sysClr>
        </a:solidFill>
      </c:spPr>
    </c:plotArea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Проект!$A$1129</c:f>
              <c:strCache>
                <c:ptCount val="1"/>
                <c:pt idx="0">
                  <c:v>Выручка (нетто)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cat>
            <c:strRef>
              <c:f>Проект!$F$1127:$K$1127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Проект!$F$1129:$K$1129</c:f>
              <c:numCache>
                <c:formatCode>#,##0</c:formatCode>
                <c:ptCount val="6"/>
                <c:pt idx="0">
                  <c:v>36000000</c:v>
                </c:pt>
                <c:pt idx="1">
                  <c:v>84000000</c:v>
                </c:pt>
                <c:pt idx="2">
                  <c:v>120000000</c:v>
                </c:pt>
                <c:pt idx="3">
                  <c:v>120000000</c:v>
                </c:pt>
                <c:pt idx="4">
                  <c:v>120000000</c:v>
                </c:pt>
                <c:pt idx="5">
                  <c:v>120000000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B5-4BB3-9778-E6EAA9D70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591576"/>
        <c:axId val="359591968"/>
      </c:lineChart>
      <c:catAx>
        <c:axId val="359591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1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59196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959157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Проект!$A$1152</c:f>
              <c:strCache>
                <c:ptCount val="1"/>
                <c:pt idx="0">
                  <c:v>Чистая прибыль (убыток)</c:v>
                </c:pt>
              </c:strCache>
            </c:strRef>
          </c:tx>
          <c:spPr>
            <a:ln w="28575">
              <a:solidFill>
                <a:schemeClr val="bg2">
                  <a:lumMod val="50000"/>
                </a:schemeClr>
              </a:solidFill>
              <a:prstDash val="solid"/>
            </a:ln>
          </c:spPr>
          <c:marker>
            <c:symbol val="square"/>
            <c:size val="5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bg2">
                    <a:lumMod val="50000"/>
                  </a:schemeClr>
                </a:solidFill>
              </a:ln>
            </c:spPr>
          </c:marker>
          <c:cat>
            <c:strRef>
              <c:f>Проект!$F$1127:$K$1127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Проект!$F$1152:$K$1152</c:f>
              <c:numCache>
                <c:formatCode>#,##0</c:formatCode>
                <c:ptCount val="6"/>
                <c:pt idx="0">
                  <c:v>13127500</c:v>
                </c:pt>
                <c:pt idx="1">
                  <c:v>58087900</c:v>
                </c:pt>
                <c:pt idx="2">
                  <c:v>91768300</c:v>
                </c:pt>
                <c:pt idx="3">
                  <c:v>91668500</c:v>
                </c:pt>
                <c:pt idx="4">
                  <c:v>91668500</c:v>
                </c:pt>
                <c:pt idx="5">
                  <c:v>91667333.333333328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E8-4F95-8EA7-F9F95153A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970432"/>
        <c:axId val="361197088"/>
      </c:lineChart>
      <c:catAx>
        <c:axId val="35697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708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56970432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Проект!$A$1215</c:f>
              <c:strCache>
                <c:ptCount val="1"/>
                <c:pt idx="0">
                  <c:v>Прибыль до налога, процентов и амортизации (EBITDA)</c:v>
                </c:pt>
              </c:strCache>
            </c:strRef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cat>
            <c:strRef>
              <c:f>Проект!$F$1205:$K$1205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Проект!$F$1215:$K$1215</c:f>
              <c:numCache>
                <c:formatCode>#,##0</c:formatCode>
                <c:ptCount val="6"/>
                <c:pt idx="0">
                  <c:v>15287500</c:v>
                </c:pt>
                <c:pt idx="1">
                  <c:v>63127900</c:v>
                </c:pt>
                <c:pt idx="2">
                  <c:v>98968300</c:v>
                </c:pt>
                <c:pt idx="3">
                  <c:v>98888500</c:v>
                </c:pt>
                <c:pt idx="4">
                  <c:v>98888500</c:v>
                </c:pt>
                <c:pt idx="5">
                  <c:v>98888500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8-42D4-A38E-44354877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00616"/>
        <c:axId val="361199440"/>
      </c:lineChart>
      <c:catAx>
        <c:axId val="36120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9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9440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200616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635658914728682E-2"/>
          <c:w val="0.72132382961933683"/>
          <c:h val="0.91472868217054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Проект!$A$1261</c:f>
              <c:strCache>
                <c:ptCount val="1"/>
                <c:pt idx="0">
                  <c:v>Денежные потоки от операционной деятельности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Проект!$F$1261:$K$1261</c:f>
              <c:numCache>
                <c:formatCode>#,##0</c:formatCode>
                <c:ptCount val="6"/>
                <c:pt idx="0">
                  <c:v>13127500</c:v>
                </c:pt>
                <c:pt idx="1">
                  <c:v>58087900</c:v>
                </c:pt>
                <c:pt idx="2">
                  <c:v>91768300</c:v>
                </c:pt>
                <c:pt idx="3">
                  <c:v>91688500</c:v>
                </c:pt>
                <c:pt idx="4">
                  <c:v>91688500</c:v>
                </c:pt>
                <c:pt idx="5">
                  <c:v>91688500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2-42A7-AAA7-581443FE202E}"/>
            </c:ext>
          </c:extLst>
        </c:ser>
        <c:ser>
          <c:idx val="1"/>
          <c:order val="1"/>
          <c:tx>
            <c:strRef>
              <c:f>Проект!$A$1272</c:f>
              <c:strCache>
                <c:ptCount val="1"/>
                <c:pt idx="0">
                  <c:v>Денежные потоки от инвестиционной деятельности</c:v>
                </c:pt>
              </c:strCache>
            </c:strRef>
          </c:tx>
          <c:spPr>
            <a:gradFill>
              <a:gsLst>
                <a:gs pos="0">
                  <a:srgbClr val="B8CCE4">
                    <a:shade val="30000"/>
                    <a:satMod val="115000"/>
                  </a:srgbClr>
                </a:gs>
                <a:gs pos="50000">
                  <a:srgbClr val="B8CCE4">
                    <a:shade val="67500"/>
                    <a:satMod val="115000"/>
                  </a:srgbClr>
                </a:gs>
                <a:gs pos="100000">
                  <a:srgbClr val="B8CCE4">
                    <a:shade val="100000"/>
                    <a:satMod val="115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Проект!$F$1272:$K$1272</c:f>
              <c:numCache>
                <c:formatCode>#,##0</c:formatCode>
                <c:ptCount val="6"/>
                <c:pt idx="0">
                  <c:v>1994583.333333333</c:v>
                </c:pt>
                <c:pt idx="1">
                  <c:v>8761560</c:v>
                </c:pt>
                <c:pt idx="2">
                  <c:v>6591560</c:v>
                </c:pt>
                <c:pt idx="3">
                  <c:v>-669220</c:v>
                </c:pt>
                <c:pt idx="4">
                  <c:v>-50000</c:v>
                </c:pt>
                <c:pt idx="5">
                  <c:v>-50000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2-42A7-AAA7-581443FE202E}"/>
            </c:ext>
          </c:extLst>
        </c:ser>
        <c:ser>
          <c:idx val="2"/>
          <c:order val="2"/>
          <c:tx>
            <c:strRef>
              <c:f>Проект!$A$1282</c:f>
              <c:strCache>
                <c:ptCount val="1"/>
                <c:pt idx="0">
                  <c:v>Денежные потоки от финансовой деятельности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rgbClr val="F79646">
                    <a:lumMod val="40000"/>
                    <a:lumOff val="60000"/>
                  </a:srgbClr>
                </a:gs>
              </a:gsLst>
              <a:lin ang="108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Проект!$F$1282:$K$1282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82-42A7-AAA7-581443FE2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40"/>
        <c:axId val="361198264"/>
        <c:axId val="361199832"/>
      </c:barChart>
      <c:catAx>
        <c:axId val="36119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983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8264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178323297823063"/>
          <c:y val="4.8307086614173232E-2"/>
          <c:w val="0.98692810457516333"/>
          <c:h val="0.95169291338582684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69557236717964E-2"/>
          <c:y val="4.2512077294685993E-2"/>
          <c:w val="0.75096769766524285"/>
          <c:h val="0.84264110464452813"/>
        </c:manualLayout>
      </c:layout>
      <c:lineChart>
        <c:grouping val="standard"/>
        <c:varyColors val="0"/>
        <c:ser>
          <c:idx val="1"/>
          <c:order val="0"/>
          <c:tx>
            <c:strRef>
              <c:f>Проект!$A$1286</c:f>
              <c:strCache>
                <c:ptCount val="1"/>
                <c:pt idx="0">
                  <c:v>Денежные средства на конец периода</c:v>
                </c:pt>
              </c:strCache>
            </c:strRef>
          </c:tx>
          <c:spPr>
            <a:ln w="3175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Проект!$F$1286:$K$1286</c:f>
              <c:numCache>
                <c:formatCode>#,##0</c:formatCode>
                <c:ptCount val="6"/>
                <c:pt idx="0">
                  <c:v>15122083.333333332</c:v>
                </c:pt>
                <c:pt idx="1">
                  <c:v>81971543.333333328</c:v>
                </c:pt>
                <c:pt idx="2">
                  <c:v>180331403.33333331</c:v>
                </c:pt>
                <c:pt idx="3">
                  <c:v>271350683.33333331</c:v>
                </c:pt>
                <c:pt idx="4">
                  <c:v>362989183.33333331</c:v>
                </c:pt>
                <c:pt idx="5">
                  <c:v>454627683.33333331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16-4F75-B082-4B86D68B9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00224"/>
        <c:axId val="361201008"/>
      </c:lineChart>
      <c:catAx>
        <c:axId val="36120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20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201008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20022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1" r="0.7500000000000091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280754121421098E-2"/>
          <c:y val="4.2512077294685993E-2"/>
          <c:w val="0.74974422314857703"/>
          <c:h val="0.914975845410628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Проект!$A$1277</c:f>
              <c:strCache>
                <c:ptCount val="1"/>
                <c:pt idx="0">
                  <c:v>Поступления кредитов</c:v>
                </c:pt>
              </c:strCache>
            </c:strRef>
          </c:tx>
          <c:spPr>
            <a:gradFill flip="none" rotWithShape="1">
              <a:gsLst>
                <a:gs pos="0">
                  <a:srgbClr val="D7E3BC">
                    <a:lumMod val="25000"/>
                    <a:alpha val="80000"/>
                  </a:srgbClr>
                </a:gs>
                <a:gs pos="50000">
                  <a:srgbClr val="D7E3BC">
                    <a:lumMod val="50000"/>
                    <a:alpha val="80000"/>
                  </a:srgbClr>
                </a:gs>
                <a:gs pos="100000">
                  <a:srgbClr val="D7E3BC">
                    <a:lumMod val="75000"/>
                    <a:alpha val="80000"/>
                  </a:srgbClr>
                </a:gs>
              </a:gsLst>
              <a:lin ang="16200000" scaled="1"/>
              <a:tileRect/>
            </a:gra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Проект!$F$1277:$K$1277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9-420C-A4EE-CBA873C6B7D9}"/>
            </c:ext>
          </c:extLst>
        </c:ser>
        <c:ser>
          <c:idx val="2"/>
          <c:order val="1"/>
          <c:tx>
            <c:strRef>
              <c:f>Проект!$A$1257</c:f>
              <c:strCache>
                <c:ptCount val="1"/>
                <c:pt idx="0">
                  <c:v>Выплата процентов по кредитам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  <a:ln>
              <a:solidFill>
                <a:schemeClr val="bg1">
                  <a:alpha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Проект!$F$1257:$K$1257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9-420C-A4EE-CBA873C6B7D9}"/>
            </c:ext>
          </c:extLst>
        </c:ser>
        <c:ser>
          <c:idx val="1"/>
          <c:order val="2"/>
          <c:tx>
            <c:strRef>
              <c:f>Проект!$A$1278</c:f>
              <c:strCache>
                <c:ptCount val="1"/>
                <c:pt idx="0">
                  <c:v>Возврат кредитов</c:v>
                </c:pt>
              </c:strCache>
            </c:strRef>
          </c:tx>
          <c:spPr>
            <a:solidFill>
              <a:srgbClr val="D75353">
                <a:alpha val="80000"/>
              </a:srgbClr>
            </a:solidFill>
            <a:ln>
              <a:solidFill>
                <a:schemeClr val="bg1"/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Проект!$F$1278:$K$1278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9-420C-A4EE-CBA873C6B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1193560"/>
        <c:axId val="361193952"/>
      </c:barChart>
      <c:catAx>
        <c:axId val="361193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3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3952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61193560"/>
        <c:crosses val="autoZero"/>
        <c:crossBetween val="between"/>
      </c:valAx>
      <c:spPr>
        <a:solidFill>
          <a:srgbClr val="D8D8D8">
            <a:alpha val="70000"/>
          </a:srgbClr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89182234573619"/>
          <c:y val="7.3841987142911486E-2"/>
          <c:w val="0.98692810457516333"/>
          <c:h val="0.5860613944996006"/>
        </c:manualLayout>
      </c:layout>
      <c:overlay val="0"/>
      <c:spPr>
        <a:solidFill>
          <a:srgbClr val="FFFFFF"/>
        </a:solidFill>
        <a:ln w="0">
          <a:noFill/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74568129964149E-2"/>
          <c:y val="4.2512077294685993E-2"/>
          <c:w val="0.75811040776765648"/>
          <c:h val="0.8426411046445281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Проект!$A$1251</c:f>
              <c:strCache>
                <c:ptCount val="1"/>
                <c:pt idx="0">
                  <c:v>Поступления от продаж</c:v>
                </c:pt>
              </c:strCache>
            </c:strRef>
          </c:tx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Проект!$F$1251:$K$1251</c:f>
              <c:numCache>
                <c:formatCode>#,##0</c:formatCode>
                <c:ptCount val="6"/>
                <c:pt idx="0">
                  <c:v>36000000</c:v>
                </c:pt>
                <c:pt idx="1">
                  <c:v>84000000</c:v>
                </c:pt>
                <c:pt idx="2">
                  <c:v>120000000</c:v>
                </c:pt>
                <c:pt idx="3">
                  <c:v>120000000</c:v>
                </c:pt>
                <c:pt idx="4">
                  <c:v>120000000</c:v>
                </c:pt>
                <c:pt idx="5">
                  <c:v>120000000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E-4DB0-A28E-7FE1063852A5}"/>
            </c:ext>
          </c:extLst>
        </c:ser>
        <c:ser>
          <c:idx val="1"/>
          <c:order val="1"/>
          <c:tx>
            <c:strRef>
              <c:f>Проект!$A$1276</c:f>
              <c:strCache>
                <c:ptCount val="1"/>
                <c:pt idx="0">
                  <c:v>Средства от инвесторов строительства</c:v>
                </c:pt>
              </c:strCache>
            </c:strRef>
          </c:tx>
          <c:invertIfNegative val="0"/>
          <c:cat>
            <c:strRef>
              <c:f>Проект!$F$1249:$K$1249</c:f>
              <c:strCache>
                <c:ptCount val="6"/>
                <c:pt idx="0">
                  <c:v>4/ 2020</c:v>
                </c:pt>
                <c:pt idx="1">
                  <c:v>5/ 2020</c:v>
                </c:pt>
                <c:pt idx="2">
                  <c:v>6/ 2020</c:v>
                </c:pt>
                <c:pt idx="3">
                  <c:v>7/ 2020</c:v>
                </c:pt>
                <c:pt idx="4">
                  <c:v>8/ 2020</c:v>
                </c:pt>
                <c:pt idx="5">
                  <c:v>9/ 2020</c:v>
                </c:pt>
              </c:strCache>
            </c:strRef>
          </c:cat>
          <c:val>
            <c:numRef>
              <c:f>Проект!$F$1276:$K$1276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0E-4DB0-A28E-7FE10638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361194344"/>
        <c:axId val="361194736"/>
      </c:barChart>
      <c:catAx>
        <c:axId val="36119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119473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</c:majorGridlines>
        <c:numFmt formatCode="#,##0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61194344"/>
        <c:crosses val="autoZero"/>
        <c:crossBetween val="between"/>
      </c:valAx>
      <c:spPr>
        <a:solidFill>
          <a:sysClr val="window" lastClr="FFFFFF">
            <a:lumMod val="85000"/>
            <a:alpha val="70000"/>
          </a:sysClr>
        </a:solidFill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wMode val="edge"/>
          <c:hMode val="edge"/>
          <c:x val="0.86019281903487554"/>
          <c:y val="4.5154703488150941E-2"/>
          <c:w val="0.98692810457516345"/>
          <c:h val="0.59155996804747235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 alignWithMargins="0"/>
    <c:pageMargins b="1" l="0.75000000000000933" r="0.75000000000000933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1154</xdr:row>
      <xdr:rowOff>0</xdr:rowOff>
    </xdr:from>
    <xdr:to>
      <xdr:col>7</xdr:col>
      <xdr:colOff>0</xdr:colOff>
      <xdr:row>1177</xdr:row>
      <xdr:rowOff>0</xdr:rowOff>
    </xdr:to>
    <xdr:graphicFrame macro="">
      <xdr:nvGraphicFramePr>
        <xdr:cNvPr id="19494187" name="Chart 176">
          <a:extLst>
            <a:ext uri="{FF2B5EF4-FFF2-40B4-BE49-F238E27FC236}">
              <a16:creationId xmlns:a16="http://schemas.microsoft.com/office/drawing/2014/main" id="{00000000-0008-0000-0100-00002B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1179</xdr:row>
      <xdr:rowOff>0</xdr:rowOff>
    </xdr:from>
    <xdr:to>
      <xdr:col>7</xdr:col>
      <xdr:colOff>0</xdr:colOff>
      <xdr:row>1202</xdr:row>
      <xdr:rowOff>0</xdr:rowOff>
    </xdr:to>
    <xdr:graphicFrame macro="">
      <xdr:nvGraphicFramePr>
        <xdr:cNvPr id="19494188" name="Chart 177">
          <a:extLst>
            <a:ext uri="{FF2B5EF4-FFF2-40B4-BE49-F238E27FC236}">
              <a16:creationId xmlns:a16="http://schemas.microsoft.com/office/drawing/2014/main" id="{00000000-0008-0000-0100-00002C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1288</xdr:row>
      <xdr:rowOff>0</xdr:rowOff>
    </xdr:from>
    <xdr:to>
      <xdr:col>7</xdr:col>
      <xdr:colOff>0</xdr:colOff>
      <xdr:row>1310</xdr:row>
      <xdr:rowOff>133350</xdr:rowOff>
    </xdr:to>
    <xdr:graphicFrame macro="">
      <xdr:nvGraphicFramePr>
        <xdr:cNvPr id="19494189" name="Chart 178">
          <a:extLst>
            <a:ext uri="{FF2B5EF4-FFF2-40B4-BE49-F238E27FC236}">
              <a16:creationId xmlns:a16="http://schemas.microsoft.com/office/drawing/2014/main" id="{00000000-0008-0000-0100-00002D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1313</xdr:row>
      <xdr:rowOff>0</xdr:rowOff>
    </xdr:from>
    <xdr:to>
      <xdr:col>7</xdr:col>
      <xdr:colOff>0</xdr:colOff>
      <xdr:row>1336</xdr:row>
      <xdr:rowOff>0</xdr:rowOff>
    </xdr:to>
    <xdr:graphicFrame macro="">
      <xdr:nvGraphicFramePr>
        <xdr:cNvPr id="19494190" name="Chart 179">
          <a:extLst>
            <a:ext uri="{FF2B5EF4-FFF2-40B4-BE49-F238E27FC236}">
              <a16:creationId xmlns:a16="http://schemas.microsoft.com/office/drawing/2014/main" id="{00000000-0008-0000-0100-00002E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1634</xdr:row>
      <xdr:rowOff>0</xdr:rowOff>
    </xdr:from>
    <xdr:to>
      <xdr:col>7</xdr:col>
      <xdr:colOff>0</xdr:colOff>
      <xdr:row>1658</xdr:row>
      <xdr:rowOff>28575</xdr:rowOff>
    </xdr:to>
    <xdr:graphicFrame macro="">
      <xdr:nvGraphicFramePr>
        <xdr:cNvPr id="19494191" name="Chart 184">
          <a:extLst>
            <a:ext uri="{FF2B5EF4-FFF2-40B4-BE49-F238E27FC236}">
              <a16:creationId xmlns:a16="http://schemas.microsoft.com/office/drawing/2014/main" id="{00000000-0008-0000-0100-00002F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1707</xdr:row>
      <xdr:rowOff>9525</xdr:rowOff>
    </xdr:from>
    <xdr:to>
      <xdr:col>7</xdr:col>
      <xdr:colOff>0</xdr:colOff>
      <xdr:row>1730</xdr:row>
      <xdr:rowOff>0</xdr:rowOff>
    </xdr:to>
    <xdr:graphicFrame macro="">
      <xdr:nvGraphicFramePr>
        <xdr:cNvPr id="19494192" name="Chart 185">
          <a:extLst>
            <a:ext uri="{FF2B5EF4-FFF2-40B4-BE49-F238E27FC236}">
              <a16:creationId xmlns:a16="http://schemas.microsoft.com/office/drawing/2014/main" id="{00000000-0008-0000-0100-000030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1778</xdr:row>
      <xdr:rowOff>0</xdr:rowOff>
    </xdr:from>
    <xdr:to>
      <xdr:col>7</xdr:col>
      <xdr:colOff>0</xdr:colOff>
      <xdr:row>1801</xdr:row>
      <xdr:rowOff>0</xdr:rowOff>
    </xdr:to>
    <xdr:graphicFrame macro="">
      <xdr:nvGraphicFramePr>
        <xdr:cNvPr id="19494193" name="Chart 186">
          <a:extLst>
            <a:ext uri="{FF2B5EF4-FFF2-40B4-BE49-F238E27FC236}">
              <a16:creationId xmlns:a16="http://schemas.microsoft.com/office/drawing/2014/main" id="{00000000-0008-0000-0100-000031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</xdr:colOff>
      <xdr:row>1944</xdr:row>
      <xdr:rowOff>0</xdr:rowOff>
    </xdr:from>
    <xdr:to>
      <xdr:col>7</xdr:col>
      <xdr:colOff>0</xdr:colOff>
      <xdr:row>1967</xdr:row>
      <xdr:rowOff>0</xdr:rowOff>
    </xdr:to>
    <xdr:graphicFrame macro="">
      <xdr:nvGraphicFramePr>
        <xdr:cNvPr id="19494194" name="Chart 186">
          <a:extLst>
            <a:ext uri="{FF2B5EF4-FFF2-40B4-BE49-F238E27FC236}">
              <a16:creationId xmlns:a16="http://schemas.microsoft.com/office/drawing/2014/main" id="{00000000-0008-0000-0100-000032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1338</xdr:row>
      <xdr:rowOff>0</xdr:rowOff>
    </xdr:from>
    <xdr:to>
      <xdr:col>7</xdr:col>
      <xdr:colOff>0</xdr:colOff>
      <xdr:row>1361</xdr:row>
      <xdr:rowOff>0</xdr:rowOff>
    </xdr:to>
    <xdr:graphicFrame macro="">
      <xdr:nvGraphicFramePr>
        <xdr:cNvPr id="19494195" name="Chart 178">
          <a:extLst>
            <a:ext uri="{FF2B5EF4-FFF2-40B4-BE49-F238E27FC236}">
              <a16:creationId xmlns:a16="http://schemas.microsoft.com/office/drawing/2014/main" id="{00000000-0008-0000-0100-000033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1363</xdr:row>
      <xdr:rowOff>0</xdr:rowOff>
    </xdr:from>
    <xdr:to>
      <xdr:col>7</xdr:col>
      <xdr:colOff>0</xdr:colOff>
      <xdr:row>1386</xdr:row>
      <xdr:rowOff>0</xdr:rowOff>
    </xdr:to>
    <xdr:graphicFrame macro="">
      <xdr:nvGraphicFramePr>
        <xdr:cNvPr id="19494196" name="Chart 179">
          <a:extLst>
            <a:ext uri="{FF2B5EF4-FFF2-40B4-BE49-F238E27FC236}">
              <a16:creationId xmlns:a16="http://schemas.microsoft.com/office/drawing/2014/main" id="{00000000-0008-0000-0100-000034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1433</xdr:row>
      <xdr:rowOff>0</xdr:rowOff>
    </xdr:from>
    <xdr:to>
      <xdr:col>7</xdr:col>
      <xdr:colOff>0</xdr:colOff>
      <xdr:row>1456</xdr:row>
      <xdr:rowOff>0</xdr:rowOff>
    </xdr:to>
    <xdr:graphicFrame macro="">
      <xdr:nvGraphicFramePr>
        <xdr:cNvPr id="19494197" name="Chart 179">
          <a:extLst>
            <a:ext uri="{FF2B5EF4-FFF2-40B4-BE49-F238E27FC236}">
              <a16:creationId xmlns:a16="http://schemas.microsoft.com/office/drawing/2014/main" id="{00000000-0008-0000-0100-000035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1458</xdr:row>
      <xdr:rowOff>0</xdr:rowOff>
    </xdr:from>
    <xdr:to>
      <xdr:col>7</xdr:col>
      <xdr:colOff>0</xdr:colOff>
      <xdr:row>1481</xdr:row>
      <xdr:rowOff>0</xdr:rowOff>
    </xdr:to>
    <xdr:graphicFrame macro="">
      <xdr:nvGraphicFramePr>
        <xdr:cNvPr id="19494198" name="Chart 179">
          <a:extLst>
            <a:ext uri="{FF2B5EF4-FFF2-40B4-BE49-F238E27FC236}">
              <a16:creationId xmlns:a16="http://schemas.microsoft.com/office/drawing/2014/main" id="{00000000-0008-0000-0100-000036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1511</xdr:row>
      <xdr:rowOff>0</xdr:rowOff>
    </xdr:from>
    <xdr:to>
      <xdr:col>7</xdr:col>
      <xdr:colOff>0</xdr:colOff>
      <xdr:row>1534</xdr:row>
      <xdr:rowOff>0</xdr:rowOff>
    </xdr:to>
    <xdr:graphicFrame macro="">
      <xdr:nvGraphicFramePr>
        <xdr:cNvPr id="19494199" name="Chart 179">
          <a:extLst>
            <a:ext uri="{FF2B5EF4-FFF2-40B4-BE49-F238E27FC236}">
              <a16:creationId xmlns:a16="http://schemas.microsoft.com/office/drawing/2014/main" id="{00000000-0008-0000-0100-000037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1536</xdr:row>
      <xdr:rowOff>0</xdr:rowOff>
    </xdr:from>
    <xdr:to>
      <xdr:col>7</xdr:col>
      <xdr:colOff>0</xdr:colOff>
      <xdr:row>1559</xdr:row>
      <xdr:rowOff>0</xdr:rowOff>
    </xdr:to>
    <xdr:graphicFrame macro="">
      <xdr:nvGraphicFramePr>
        <xdr:cNvPr id="19494200" name="Chart 179">
          <a:extLst>
            <a:ext uri="{FF2B5EF4-FFF2-40B4-BE49-F238E27FC236}">
              <a16:creationId xmlns:a16="http://schemas.microsoft.com/office/drawing/2014/main" id="{00000000-0008-0000-0100-000038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7</xdr:col>
      <xdr:colOff>0</xdr:colOff>
      <xdr:row>1584</xdr:row>
      <xdr:rowOff>0</xdr:rowOff>
    </xdr:to>
    <xdr:graphicFrame macro="">
      <xdr:nvGraphicFramePr>
        <xdr:cNvPr id="19494201" name="Chart 179">
          <a:extLst>
            <a:ext uri="{FF2B5EF4-FFF2-40B4-BE49-F238E27FC236}">
              <a16:creationId xmlns:a16="http://schemas.microsoft.com/office/drawing/2014/main" id="{00000000-0008-0000-0100-000039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7</xdr:col>
      <xdr:colOff>0</xdr:colOff>
      <xdr:row>1092</xdr:row>
      <xdr:rowOff>0</xdr:rowOff>
    </xdr:to>
    <xdr:graphicFrame macro="">
      <xdr:nvGraphicFramePr>
        <xdr:cNvPr id="19494202" name="Chart 179">
          <a:extLst>
            <a:ext uri="{FF2B5EF4-FFF2-40B4-BE49-F238E27FC236}">
              <a16:creationId xmlns:a16="http://schemas.microsoft.com/office/drawing/2014/main" id="{00000000-0008-0000-0100-00003A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1223</xdr:row>
      <xdr:rowOff>0</xdr:rowOff>
    </xdr:from>
    <xdr:to>
      <xdr:col>7</xdr:col>
      <xdr:colOff>0</xdr:colOff>
      <xdr:row>1246</xdr:row>
      <xdr:rowOff>0</xdr:rowOff>
    </xdr:to>
    <xdr:graphicFrame macro="">
      <xdr:nvGraphicFramePr>
        <xdr:cNvPr id="19494203" name="Chart 177">
          <a:extLst>
            <a:ext uri="{FF2B5EF4-FFF2-40B4-BE49-F238E27FC236}">
              <a16:creationId xmlns:a16="http://schemas.microsoft.com/office/drawing/2014/main" id="{00000000-0008-0000-0100-00003B752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15</xdr:row>
          <xdr:rowOff>137160</xdr:rowOff>
        </xdr:from>
        <xdr:to>
          <xdr:col>1</xdr:col>
          <xdr:colOff>7620</xdr:colOff>
          <xdr:row>17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Изменить параметры проекта...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23</xdr:row>
          <xdr:rowOff>0</xdr:rowOff>
        </xdr:from>
        <xdr:to>
          <xdr:col>1</xdr:col>
          <xdr:colOff>7620</xdr:colOff>
          <xdr:row>24</xdr:row>
          <xdr:rowOff>45720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Изменить отображение...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542</xdr:row>
          <xdr:rowOff>7620</xdr:rowOff>
        </xdr:from>
        <xdr:to>
          <xdr:col>2</xdr:col>
          <xdr:colOff>617220</xdr:colOff>
          <xdr:row>543</xdr:row>
          <xdr:rowOff>7620</xdr:rowOff>
        </xdr:to>
        <xdr:sp macro="" textlink="">
          <xdr:nvSpPr>
            <xdr:cNvPr id="1051" name="PRJ_BTN_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582</xdr:row>
          <xdr:rowOff>7620</xdr:rowOff>
        </xdr:from>
        <xdr:to>
          <xdr:col>2</xdr:col>
          <xdr:colOff>617220</xdr:colOff>
          <xdr:row>583</xdr:row>
          <xdr:rowOff>7620</xdr:rowOff>
        </xdr:to>
        <xdr:sp macro="" textlink="">
          <xdr:nvSpPr>
            <xdr:cNvPr id="1062" name="PRJ_BTN_3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658</xdr:row>
          <xdr:rowOff>0</xdr:rowOff>
        </xdr:from>
        <xdr:to>
          <xdr:col>2</xdr:col>
          <xdr:colOff>617220</xdr:colOff>
          <xdr:row>659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737</xdr:row>
          <xdr:rowOff>0</xdr:rowOff>
        </xdr:from>
        <xdr:to>
          <xdr:col>2</xdr:col>
          <xdr:colOff>617220</xdr:colOff>
          <xdr:row>738</xdr:row>
          <xdr:rowOff>1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782</xdr:row>
          <xdr:rowOff>0</xdr:rowOff>
        </xdr:from>
        <xdr:to>
          <xdr:col>2</xdr:col>
          <xdr:colOff>617220</xdr:colOff>
          <xdr:row>783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857</xdr:row>
          <xdr:rowOff>0</xdr:rowOff>
        </xdr:from>
        <xdr:to>
          <xdr:col>2</xdr:col>
          <xdr:colOff>617220</xdr:colOff>
          <xdr:row>858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737</xdr:row>
          <xdr:rowOff>0</xdr:rowOff>
        </xdr:from>
        <xdr:to>
          <xdr:col>2</xdr:col>
          <xdr:colOff>617220</xdr:colOff>
          <xdr:row>738</xdr:row>
          <xdr:rowOff>1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101</xdr:row>
          <xdr:rowOff>7620</xdr:rowOff>
        </xdr:from>
        <xdr:to>
          <xdr:col>2</xdr:col>
          <xdr:colOff>617220</xdr:colOff>
          <xdr:row>102</xdr:row>
          <xdr:rowOff>7620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1027</xdr:row>
          <xdr:rowOff>0</xdr:rowOff>
        </xdr:from>
        <xdr:to>
          <xdr:col>2</xdr:col>
          <xdr:colOff>632460</xdr:colOff>
          <xdr:row>1027</xdr:row>
          <xdr:rowOff>200890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1043</xdr:row>
          <xdr:rowOff>0</xdr:rowOff>
        </xdr:from>
        <xdr:to>
          <xdr:col>0</xdr:col>
          <xdr:colOff>2956560</xdr:colOff>
          <xdr:row>1044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7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автоматический подбор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280</xdr:row>
          <xdr:rowOff>0</xdr:rowOff>
        </xdr:from>
        <xdr:to>
          <xdr:col>2</xdr:col>
          <xdr:colOff>617220</xdr:colOff>
          <xdr:row>281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/ удалить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</xdr:row>
          <xdr:rowOff>7620</xdr:rowOff>
        </xdr:from>
        <xdr:to>
          <xdr:col>0</xdr:col>
          <xdr:colOff>220980</xdr:colOff>
          <xdr:row>3</xdr:row>
          <xdr:rowOff>190500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34</xdr:row>
          <xdr:rowOff>7620</xdr:rowOff>
        </xdr:from>
        <xdr:to>
          <xdr:col>0</xdr:col>
          <xdr:colOff>220980</xdr:colOff>
          <xdr:row>34</xdr:row>
          <xdr:rowOff>190500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74</xdr:row>
          <xdr:rowOff>7620</xdr:rowOff>
        </xdr:from>
        <xdr:to>
          <xdr:col>0</xdr:col>
          <xdr:colOff>220980</xdr:colOff>
          <xdr:row>74</xdr:row>
          <xdr:rowOff>190500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101</xdr:row>
          <xdr:rowOff>7620</xdr:rowOff>
        </xdr:from>
        <xdr:to>
          <xdr:col>0</xdr:col>
          <xdr:colOff>220980</xdr:colOff>
          <xdr:row>101</xdr:row>
          <xdr:rowOff>190500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230</xdr:row>
          <xdr:rowOff>7620</xdr:rowOff>
        </xdr:from>
        <xdr:to>
          <xdr:col>0</xdr:col>
          <xdr:colOff>220980</xdr:colOff>
          <xdr:row>230</xdr:row>
          <xdr:rowOff>190500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280</xdr:row>
          <xdr:rowOff>7620</xdr:rowOff>
        </xdr:from>
        <xdr:to>
          <xdr:col>0</xdr:col>
          <xdr:colOff>220980</xdr:colOff>
          <xdr:row>280</xdr:row>
          <xdr:rowOff>190500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542</xdr:row>
          <xdr:rowOff>7620</xdr:rowOff>
        </xdr:from>
        <xdr:to>
          <xdr:col>0</xdr:col>
          <xdr:colOff>220980</xdr:colOff>
          <xdr:row>542</xdr:row>
          <xdr:rowOff>190500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582</xdr:row>
          <xdr:rowOff>7620</xdr:rowOff>
        </xdr:from>
        <xdr:to>
          <xdr:col>0</xdr:col>
          <xdr:colOff>220980</xdr:colOff>
          <xdr:row>582</xdr:row>
          <xdr:rowOff>190500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590</xdr:row>
          <xdr:rowOff>7620</xdr:rowOff>
        </xdr:from>
        <xdr:to>
          <xdr:col>0</xdr:col>
          <xdr:colOff>220980</xdr:colOff>
          <xdr:row>590</xdr:row>
          <xdr:rowOff>190500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597</xdr:row>
          <xdr:rowOff>7620</xdr:rowOff>
        </xdr:from>
        <xdr:to>
          <xdr:col>0</xdr:col>
          <xdr:colOff>220980</xdr:colOff>
          <xdr:row>597</xdr:row>
          <xdr:rowOff>190500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616</xdr:row>
          <xdr:rowOff>7620</xdr:rowOff>
        </xdr:from>
        <xdr:to>
          <xdr:col>0</xdr:col>
          <xdr:colOff>220980</xdr:colOff>
          <xdr:row>616</xdr:row>
          <xdr:rowOff>190500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645</xdr:row>
          <xdr:rowOff>7620</xdr:rowOff>
        </xdr:from>
        <xdr:to>
          <xdr:col>0</xdr:col>
          <xdr:colOff>220980</xdr:colOff>
          <xdr:row>645</xdr:row>
          <xdr:rowOff>190500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658</xdr:row>
          <xdr:rowOff>0</xdr:rowOff>
        </xdr:from>
        <xdr:to>
          <xdr:col>0</xdr:col>
          <xdr:colOff>220980</xdr:colOff>
          <xdr:row>658</xdr:row>
          <xdr:rowOff>182880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667</xdr:row>
          <xdr:rowOff>7620</xdr:rowOff>
        </xdr:from>
        <xdr:to>
          <xdr:col>0</xdr:col>
          <xdr:colOff>220980</xdr:colOff>
          <xdr:row>667</xdr:row>
          <xdr:rowOff>190500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686</xdr:row>
          <xdr:rowOff>7620</xdr:rowOff>
        </xdr:from>
        <xdr:to>
          <xdr:col>0</xdr:col>
          <xdr:colOff>220980</xdr:colOff>
          <xdr:row>686</xdr:row>
          <xdr:rowOff>190500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737</xdr:row>
          <xdr:rowOff>7620</xdr:rowOff>
        </xdr:from>
        <xdr:to>
          <xdr:col>0</xdr:col>
          <xdr:colOff>220980</xdr:colOff>
          <xdr:row>737</xdr:row>
          <xdr:rowOff>190500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782</xdr:row>
          <xdr:rowOff>7620</xdr:rowOff>
        </xdr:from>
        <xdr:to>
          <xdr:col>0</xdr:col>
          <xdr:colOff>220980</xdr:colOff>
          <xdr:row>782</xdr:row>
          <xdr:rowOff>190500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857</xdr:row>
          <xdr:rowOff>7620</xdr:rowOff>
        </xdr:from>
        <xdr:to>
          <xdr:col>0</xdr:col>
          <xdr:colOff>220980</xdr:colOff>
          <xdr:row>857</xdr:row>
          <xdr:rowOff>190500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939</xdr:row>
          <xdr:rowOff>7620</xdr:rowOff>
        </xdr:from>
        <xdr:to>
          <xdr:col>0</xdr:col>
          <xdr:colOff>220980</xdr:colOff>
          <xdr:row>939</xdr:row>
          <xdr:rowOff>190500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1004</xdr:row>
          <xdr:rowOff>7620</xdr:rowOff>
        </xdr:from>
        <xdr:to>
          <xdr:col>0</xdr:col>
          <xdr:colOff>220980</xdr:colOff>
          <xdr:row>1004</xdr:row>
          <xdr:rowOff>190500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1027</xdr:row>
          <xdr:rowOff>7620</xdr:rowOff>
        </xdr:from>
        <xdr:to>
          <xdr:col>0</xdr:col>
          <xdr:colOff>220980</xdr:colOff>
          <xdr:row>1027</xdr:row>
          <xdr:rowOff>190500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1094</xdr:row>
          <xdr:rowOff>7620</xdr:rowOff>
        </xdr:from>
        <xdr:to>
          <xdr:col>0</xdr:col>
          <xdr:colOff>220980</xdr:colOff>
          <xdr:row>1094</xdr:row>
          <xdr:rowOff>190500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1126</xdr:row>
          <xdr:rowOff>7620</xdr:rowOff>
        </xdr:from>
        <xdr:to>
          <xdr:col>0</xdr:col>
          <xdr:colOff>220980</xdr:colOff>
          <xdr:row>1126</xdr:row>
          <xdr:rowOff>190500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1248</xdr:row>
          <xdr:rowOff>7620</xdr:rowOff>
        </xdr:from>
        <xdr:to>
          <xdr:col>0</xdr:col>
          <xdr:colOff>220980</xdr:colOff>
          <xdr:row>1248</xdr:row>
          <xdr:rowOff>190500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1388</xdr:row>
          <xdr:rowOff>7620</xdr:rowOff>
        </xdr:from>
        <xdr:to>
          <xdr:col>0</xdr:col>
          <xdr:colOff>220980</xdr:colOff>
          <xdr:row>1388</xdr:row>
          <xdr:rowOff>190500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1483</xdr:row>
          <xdr:rowOff>7620</xdr:rowOff>
        </xdr:from>
        <xdr:to>
          <xdr:col>0</xdr:col>
          <xdr:colOff>220980</xdr:colOff>
          <xdr:row>1483</xdr:row>
          <xdr:rowOff>190500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1586</xdr:row>
          <xdr:rowOff>7620</xdr:rowOff>
        </xdr:from>
        <xdr:to>
          <xdr:col>0</xdr:col>
          <xdr:colOff>220980</xdr:colOff>
          <xdr:row>1586</xdr:row>
          <xdr:rowOff>190500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1659</xdr:row>
          <xdr:rowOff>7620</xdr:rowOff>
        </xdr:from>
        <xdr:to>
          <xdr:col>0</xdr:col>
          <xdr:colOff>220980</xdr:colOff>
          <xdr:row>1659</xdr:row>
          <xdr:rowOff>190500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1732</xdr:row>
          <xdr:rowOff>7620</xdr:rowOff>
        </xdr:from>
        <xdr:to>
          <xdr:col>0</xdr:col>
          <xdr:colOff>220980</xdr:colOff>
          <xdr:row>1732</xdr:row>
          <xdr:rowOff>190500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1803</xdr:row>
          <xdr:rowOff>7620</xdr:rowOff>
        </xdr:from>
        <xdr:to>
          <xdr:col>0</xdr:col>
          <xdr:colOff>220980</xdr:colOff>
          <xdr:row>1803</xdr:row>
          <xdr:rowOff>190500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1829</xdr:row>
          <xdr:rowOff>7620</xdr:rowOff>
        </xdr:from>
        <xdr:to>
          <xdr:col>0</xdr:col>
          <xdr:colOff>220980</xdr:colOff>
          <xdr:row>1829</xdr:row>
          <xdr:rowOff>190500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1880</xdr:row>
          <xdr:rowOff>7620</xdr:rowOff>
        </xdr:from>
        <xdr:to>
          <xdr:col>0</xdr:col>
          <xdr:colOff>220980</xdr:colOff>
          <xdr:row>1880</xdr:row>
          <xdr:rowOff>190500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1920</xdr:row>
          <xdr:rowOff>7620</xdr:rowOff>
        </xdr:from>
        <xdr:to>
          <xdr:col>0</xdr:col>
          <xdr:colOff>220980</xdr:colOff>
          <xdr:row>1920</xdr:row>
          <xdr:rowOff>190500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1204</xdr:row>
          <xdr:rowOff>7620</xdr:rowOff>
        </xdr:from>
        <xdr:to>
          <xdr:col>0</xdr:col>
          <xdr:colOff>220980</xdr:colOff>
          <xdr:row>1204</xdr:row>
          <xdr:rowOff>190500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1920</xdr:row>
          <xdr:rowOff>0</xdr:rowOff>
        </xdr:from>
        <xdr:to>
          <xdr:col>2</xdr:col>
          <xdr:colOff>617220</xdr:colOff>
          <xdr:row>1921</xdr:row>
          <xdr:rowOff>0</xdr:rowOff>
        </xdr:to>
        <xdr:sp macro="" textlink="">
          <xdr:nvSpPr>
            <xdr:cNvPr id="3424338" name="Button 2130" hidden="1">
              <a:extLst>
                <a:ext uri="{63B3BB69-23CF-44E3-9099-C40C66FF867C}">
                  <a14:compatExt spid="_x0000_s3424338"/>
                </a:ext>
                <a:ext uri="{FF2B5EF4-FFF2-40B4-BE49-F238E27FC236}">
                  <a16:creationId xmlns:a16="http://schemas.microsoft.com/office/drawing/2014/main" id="{00000000-0008-0000-0100-000052403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Настроить...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1935</xdr:row>
          <xdr:rowOff>22860</xdr:rowOff>
        </xdr:from>
        <xdr:to>
          <xdr:col>0</xdr:col>
          <xdr:colOff>2956560</xdr:colOff>
          <xdr:row>1936</xdr:row>
          <xdr:rowOff>137160</xdr:rowOff>
        </xdr:to>
        <xdr:sp macro="" textlink="">
          <xdr:nvSpPr>
            <xdr:cNvPr id="3424469" name="Button 2261" hidden="1">
              <a:extLst>
                <a:ext uri="{63B3BB69-23CF-44E3-9099-C40C66FF867C}">
                  <a14:compatExt spid="_x0000_s3424469"/>
                </a:ext>
                <a:ext uri="{FF2B5EF4-FFF2-40B4-BE49-F238E27FC236}">
                  <a16:creationId xmlns:a16="http://schemas.microsoft.com/office/drawing/2014/main" id="{00000000-0008-0000-0100-0000D5403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716</xdr:row>
      <xdr:rowOff>0</xdr:rowOff>
    </xdr:from>
    <xdr:to>
      <xdr:col>7</xdr:col>
      <xdr:colOff>0</xdr:colOff>
      <xdr:row>739</xdr:row>
      <xdr:rowOff>0</xdr:rowOff>
    </xdr:to>
    <xdr:graphicFrame macro="">
      <xdr:nvGraphicFramePr>
        <xdr:cNvPr id="17747848" name="Chart 34">
          <a:extLst>
            <a:ext uri="{FF2B5EF4-FFF2-40B4-BE49-F238E27FC236}">
              <a16:creationId xmlns:a16="http://schemas.microsoft.com/office/drawing/2014/main" id="{00000000-0008-0000-0200-000088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791</xdr:row>
      <xdr:rowOff>0</xdr:rowOff>
    </xdr:from>
    <xdr:to>
      <xdr:col>7</xdr:col>
      <xdr:colOff>0</xdr:colOff>
      <xdr:row>814</xdr:row>
      <xdr:rowOff>0</xdr:rowOff>
    </xdr:to>
    <xdr:graphicFrame macro="">
      <xdr:nvGraphicFramePr>
        <xdr:cNvPr id="17747849" name="Chart 185">
          <a:extLst>
            <a:ext uri="{FF2B5EF4-FFF2-40B4-BE49-F238E27FC236}">
              <a16:creationId xmlns:a16="http://schemas.microsoft.com/office/drawing/2014/main" id="{00000000-0008-0000-0200-000089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864</xdr:row>
      <xdr:rowOff>0</xdr:rowOff>
    </xdr:from>
    <xdr:to>
      <xdr:col>7</xdr:col>
      <xdr:colOff>0</xdr:colOff>
      <xdr:row>886</xdr:row>
      <xdr:rowOff>133350</xdr:rowOff>
    </xdr:to>
    <xdr:graphicFrame macro="">
      <xdr:nvGraphicFramePr>
        <xdr:cNvPr id="17747850" name="Chart 186">
          <a:extLst>
            <a:ext uri="{FF2B5EF4-FFF2-40B4-BE49-F238E27FC236}">
              <a16:creationId xmlns:a16="http://schemas.microsoft.com/office/drawing/2014/main" id="{00000000-0008-0000-0200-00008A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189</xdr:row>
      <xdr:rowOff>0</xdr:rowOff>
    </xdr:from>
    <xdr:to>
      <xdr:col>7</xdr:col>
      <xdr:colOff>0</xdr:colOff>
      <xdr:row>212</xdr:row>
      <xdr:rowOff>0</xdr:rowOff>
    </xdr:to>
    <xdr:graphicFrame macro="">
      <xdr:nvGraphicFramePr>
        <xdr:cNvPr id="17747851" name="Chart 176">
          <a:extLst>
            <a:ext uri="{FF2B5EF4-FFF2-40B4-BE49-F238E27FC236}">
              <a16:creationId xmlns:a16="http://schemas.microsoft.com/office/drawing/2014/main" id="{00000000-0008-0000-0200-00008B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214</xdr:row>
      <xdr:rowOff>0</xdr:rowOff>
    </xdr:from>
    <xdr:to>
      <xdr:col>7</xdr:col>
      <xdr:colOff>0</xdr:colOff>
      <xdr:row>237</xdr:row>
      <xdr:rowOff>0</xdr:rowOff>
    </xdr:to>
    <xdr:graphicFrame macro="">
      <xdr:nvGraphicFramePr>
        <xdr:cNvPr id="17747852" name="Chart 177">
          <a:extLst>
            <a:ext uri="{FF2B5EF4-FFF2-40B4-BE49-F238E27FC236}">
              <a16:creationId xmlns:a16="http://schemas.microsoft.com/office/drawing/2014/main" id="{00000000-0008-0000-0200-00008C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239</xdr:row>
      <xdr:rowOff>0</xdr:rowOff>
    </xdr:from>
    <xdr:to>
      <xdr:col>7</xdr:col>
      <xdr:colOff>0</xdr:colOff>
      <xdr:row>262</xdr:row>
      <xdr:rowOff>0</xdr:rowOff>
    </xdr:to>
    <xdr:graphicFrame macro="">
      <xdr:nvGraphicFramePr>
        <xdr:cNvPr id="17747853" name="Chart 177">
          <a:extLst>
            <a:ext uri="{FF2B5EF4-FFF2-40B4-BE49-F238E27FC236}">
              <a16:creationId xmlns:a16="http://schemas.microsoft.com/office/drawing/2014/main" id="{00000000-0008-0000-0200-00008D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334</xdr:row>
      <xdr:rowOff>0</xdr:rowOff>
    </xdr:from>
    <xdr:to>
      <xdr:col>7</xdr:col>
      <xdr:colOff>0</xdr:colOff>
      <xdr:row>356</xdr:row>
      <xdr:rowOff>133350</xdr:rowOff>
    </xdr:to>
    <xdr:graphicFrame macro="">
      <xdr:nvGraphicFramePr>
        <xdr:cNvPr id="17747854" name="Chart 178">
          <a:extLst>
            <a:ext uri="{FF2B5EF4-FFF2-40B4-BE49-F238E27FC236}">
              <a16:creationId xmlns:a16="http://schemas.microsoft.com/office/drawing/2014/main" id="{00000000-0008-0000-0200-00008E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359</xdr:row>
      <xdr:rowOff>0</xdr:rowOff>
    </xdr:from>
    <xdr:to>
      <xdr:col>7</xdr:col>
      <xdr:colOff>0</xdr:colOff>
      <xdr:row>382</xdr:row>
      <xdr:rowOff>0</xdr:rowOff>
    </xdr:to>
    <xdr:graphicFrame macro="">
      <xdr:nvGraphicFramePr>
        <xdr:cNvPr id="17747855" name="Chart 179">
          <a:extLst>
            <a:ext uri="{FF2B5EF4-FFF2-40B4-BE49-F238E27FC236}">
              <a16:creationId xmlns:a16="http://schemas.microsoft.com/office/drawing/2014/main" id="{00000000-0008-0000-0200-00008F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384</xdr:row>
      <xdr:rowOff>0</xdr:rowOff>
    </xdr:from>
    <xdr:to>
      <xdr:col>7</xdr:col>
      <xdr:colOff>0</xdr:colOff>
      <xdr:row>407</xdr:row>
      <xdr:rowOff>0</xdr:rowOff>
    </xdr:to>
    <xdr:graphicFrame macro="">
      <xdr:nvGraphicFramePr>
        <xdr:cNvPr id="17747856" name="Chart 178">
          <a:extLst>
            <a:ext uri="{FF2B5EF4-FFF2-40B4-BE49-F238E27FC236}">
              <a16:creationId xmlns:a16="http://schemas.microsoft.com/office/drawing/2014/main" id="{00000000-0008-0000-0200-000090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7</xdr:col>
      <xdr:colOff>0</xdr:colOff>
      <xdr:row>432</xdr:row>
      <xdr:rowOff>0</xdr:rowOff>
    </xdr:to>
    <xdr:graphicFrame macro="">
      <xdr:nvGraphicFramePr>
        <xdr:cNvPr id="17747857" name="Chart 179">
          <a:extLst>
            <a:ext uri="{FF2B5EF4-FFF2-40B4-BE49-F238E27FC236}">
              <a16:creationId xmlns:a16="http://schemas.microsoft.com/office/drawing/2014/main" id="{00000000-0008-0000-0200-000091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513</xdr:row>
      <xdr:rowOff>0</xdr:rowOff>
    </xdr:from>
    <xdr:to>
      <xdr:col>7</xdr:col>
      <xdr:colOff>0</xdr:colOff>
      <xdr:row>536</xdr:row>
      <xdr:rowOff>0</xdr:rowOff>
    </xdr:to>
    <xdr:graphicFrame macro="">
      <xdr:nvGraphicFramePr>
        <xdr:cNvPr id="17747858" name="Chart 179">
          <a:extLst>
            <a:ext uri="{FF2B5EF4-FFF2-40B4-BE49-F238E27FC236}">
              <a16:creationId xmlns:a16="http://schemas.microsoft.com/office/drawing/2014/main" id="{00000000-0008-0000-0200-000092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538</xdr:row>
      <xdr:rowOff>0</xdr:rowOff>
    </xdr:from>
    <xdr:to>
      <xdr:col>7</xdr:col>
      <xdr:colOff>0</xdr:colOff>
      <xdr:row>561</xdr:row>
      <xdr:rowOff>0</xdr:rowOff>
    </xdr:to>
    <xdr:graphicFrame macro="">
      <xdr:nvGraphicFramePr>
        <xdr:cNvPr id="17747859" name="Chart 179">
          <a:extLst>
            <a:ext uri="{FF2B5EF4-FFF2-40B4-BE49-F238E27FC236}">
              <a16:creationId xmlns:a16="http://schemas.microsoft.com/office/drawing/2014/main" id="{00000000-0008-0000-0200-000093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591</xdr:row>
      <xdr:rowOff>0</xdr:rowOff>
    </xdr:from>
    <xdr:to>
      <xdr:col>7</xdr:col>
      <xdr:colOff>0</xdr:colOff>
      <xdr:row>614</xdr:row>
      <xdr:rowOff>0</xdr:rowOff>
    </xdr:to>
    <xdr:graphicFrame macro="">
      <xdr:nvGraphicFramePr>
        <xdr:cNvPr id="17747860" name="Chart 179">
          <a:extLst>
            <a:ext uri="{FF2B5EF4-FFF2-40B4-BE49-F238E27FC236}">
              <a16:creationId xmlns:a16="http://schemas.microsoft.com/office/drawing/2014/main" id="{00000000-0008-0000-0200-000094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616</xdr:row>
      <xdr:rowOff>0</xdr:rowOff>
    </xdr:from>
    <xdr:to>
      <xdr:col>7</xdr:col>
      <xdr:colOff>0</xdr:colOff>
      <xdr:row>639</xdr:row>
      <xdr:rowOff>0</xdr:rowOff>
    </xdr:to>
    <xdr:graphicFrame macro="">
      <xdr:nvGraphicFramePr>
        <xdr:cNvPr id="17747861" name="Chart 179">
          <a:extLst>
            <a:ext uri="{FF2B5EF4-FFF2-40B4-BE49-F238E27FC236}">
              <a16:creationId xmlns:a16="http://schemas.microsoft.com/office/drawing/2014/main" id="{00000000-0008-0000-0200-000095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641</xdr:row>
      <xdr:rowOff>0</xdr:rowOff>
    </xdr:from>
    <xdr:to>
      <xdr:col>7</xdr:col>
      <xdr:colOff>0</xdr:colOff>
      <xdr:row>664</xdr:row>
      <xdr:rowOff>0</xdr:rowOff>
    </xdr:to>
    <xdr:graphicFrame macro="">
      <xdr:nvGraphicFramePr>
        <xdr:cNvPr id="17747862" name="Chart 179">
          <a:extLst>
            <a:ext uri="{FF2B5EF4-FFF2-40B4-BE49-F238E27FC236}">
              <a16:creationId xmlns:a16="http://schemas.microsoft.com/office/drawing/2014/main" id="{00000000-0008-0000-0200-000096CF0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097" name="PORT_BTN_3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 данные проектов...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8</xdr:row>
          <xdr:rowOff>0</xdr:rowOff>
        </xdr:from>
        <xdr:to>
          <xdr:col>0</xdr:col>
          <xdr:colOff>1409700</xdr:colOff>
          <xdr:row>9</xdr:row>
          <xdr:rowOff>0</xdr:rowOff>
        </xdr:to>
        <xdr:sp macro="" textlink="">
          <xdr:nvSpPr>
            <xdr:cNvPr id="4098" name="PORT_BTN_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проект...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1546860</xdr:colOff>
          <xdr:row>8</xdr:row>
          <xdr:rowOff>0</xdr:rowOff>
        </xdr:from>
        <xdr:to>
          <xdr:col>0</xdr:col>
          <xdr:colOff>2895600</xdr:colOff>
          <xdr:row>9</xdr:row>
          <xdr:rowOff>0</xdr:rowOff>
        </xdr:to>
        <xdr:sp macro="" textlink="">
          <xdr:nvSpPr>
            <xdr:cNvPr id="4099" name="PORT_BTN_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Удалить проект...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</xdr:row>
          <xdr:rowOff>7620</xdr:rowOff>
        </xdr:from>
        <xdr:to>
          <xdr:col>0</xdr:col>
          <xdr:colOff>220980</xdr:colOff>
          <xdr:row>3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38</xdr:row>
          <xdr:rowOff>7620</xdr:rowOff>
        </xdr:from>
        <xdr:to>
          <xdr:col>0</xdr:col>
          <xdr:colOff>220980</xdr:colOff>
          <xdr:row>38</xdr:row>
          <xdr:rowOff>190500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121</xdr:row>
          <xdr:rowOff>7620</xdr:rowOff>
        </xdr:from>
        <xdr:to>
          <xdr:col>0</xdr:col>
          <xdr:colOff>220980</xdr:colOff>
          <xdr:row>121</xdr:row>
          <xdr:rowOff>190500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264</xdr:row>
          <xdr:rowOff>7620</xdr:rowOff>
        </xdr:from>
        <xdr:to>
          <xdr:col>0</xdr:col>
          <xdr:colOff>220980</xdr:colOff>
          <xdr:row>264</xdr:row>
          <xdr:rowOff>190500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65</xdr:row>
          <xdr:rowOff>7620</xdr:rowOff>
        </xdr:from>
        <xdr:to>
          <xdr:col>0</xdr:col>
          <xdr:colOff>220980</xdr:colOff>
          <xdr:row>65</xdr:row>
          <xdr:rowOff>190500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434</xdr:row>
          <xdr:rowOff>7620</xdr:rowOff>
        </xdr:from>
        <xdr:to>
          <xdr:col>0</xdr:col>
          <xdr:colOff>220980</xdr:colOff>
          <xdr:row>434</xdr:row>
          <xdr:rowOff>190500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563</xdr:row>
          <xdr:rowOff>7620</xdr:rowOff>
        </xdr:from>
        <xdr:to>
          <xdr:col>0</xdr:col>
          <xdr:colOff>220980</xdr:colOff>
          <xdr:row>563</xdr:row>
          <xdr:rowOff>190500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666</xdr:row>
          <xdr:rowOff>0</xdr:rowOff>
        </xdr:from>
        <xdr:to>
          <xdr:col>0</xdr:col>
          <xdr:colOff>220980</xdr:colOff>
          <xdr:row>666</xdr:row>
          <xdr:rowOff>182880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741</xdr:row>
          <xdr:rowOff>0</xdr:rowOff>
        </xdr:from>
        <xdr:to>
          <xdr:col>0</xdr:col>
          <xdr:colOff>220980</xdr:colOff>
          <xdr:row>741</xdr:row>
          <xdr:rowOff>182880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816</xdr:row>
          <xdr:rowOff>7620</xdr:rowOff>
        </xdr:from>
        <xdr:to>
          <xdr:col>0</xdr:col>
          <xdr:colOff>220980</xdr:colOff>
          <xdr:row>816</xdr:row>
          <xdr:rowOff>190500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889</xdr:row>
          <xdr:rowOff>0</xdr:rowOff>
        </xdr:from>
        <xdr:to>
          <xdr:col>0</xdr:col>
          <xdr:colOff>220980</xdr:colOff>
          <xdr:row>889</xdr:row>
          <xdr:rowOff>182880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917</xdr:row>
          <xdr:rowOff>7620</xdr:rowOff>
        </xdr:from>
        <xdr:to>
          <xdr:col>0</xdr:col>
          <xdr:colOff>220980</xdr:colOff>
          <xdr:row>917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900" b="0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«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0.28442</cdr:x>
      <cdr:y>0.44403</cdr:y>
    </cdr:from>
    <cdr:to>
      <cdr:x>0.29354</cdr:x>
      <cdr:y>0.48654</cdr:y>
    </cdr:to>
    <cdr:sp macro="" textlink="">
      <cdr:nvSpPr>
        <cdr:cNvPr id="28989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81129" y="1651750"/>
          <a:ext cx="80693" cy="160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1">
            <a:defRPr sz="1000"/>
          </a:pPr>
          <a:r>
            <a:rPr lang="ru-RU" sz="800" b="0" i="0" strike="noStrike">
              <a:solidFill>
                <a:srgbClr val="000000"/>
              </a:solidFill>
              <a:latin typeface="Arial Cyr"/>
            </a:rPr>
            <a:t>  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643</xdr:row>
      <xdr:rowOff>0</xdr:rowOff>
    </xdr:from>
    <xdr:to>
      <xdr:col>7</xdr:col>
      <xdr:colOff>0</xdr:colOff>
      <xdr:row>666</xdr:row>
      <xdr:rowOff>0</xdr:rowOff>
    </xdr:to>
    <xdr:graphicFrame macro="">
      <xdr:nvGraphicFramePr>
        <xdr:cNvPr id="11515689" name="Chart 179">
          <a:extLst>
            <a:ext uri="{FF2B5EF4-FFF2-40B4-BE49-F238E27FC236}">
              <a16:creationId xmlns:a16="http://schemas.microsoft.com/office/drawing/2014/main" id="{00000000-0008-0000-0300-000029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7</xdr:col>
      <xdr:colOff>0</xdr:colOff>
      <xdr:row>720</xdr:row>
      <xdr:rowOff>0</xdr:rowOff>
    </xdr:to>
    <xdr:graphicFrame macro="">
      <xdr:nvGraphicFramePr>
        <xdr:cNvPr id="11515690" name="Chart 176">
          <a:extLst>
            <a:ext uri="{FF2B5EF4-FFF2-40B4-BE49-F238E27FC236}">
              <a16:creationId xmlns:a16="http://schemas.microsoft.com/office/drawing/2014/main" id="{00000000-0008-0000-0300-00002A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723</xdr:row>
      <xdr:rowOff>0</xdr:rowOff>
    </xdr:from>
    <xdr:to>
      <xdr:col>7</xdr:col>
      <xdr:colOff>0</xdr:colOff>
      <xdr:row>746</xdr:row>
      <xdr:rowOff>0</xdr:rowOff>
    </xdr:to>
    <xdr:graphicFrame macro="">
      <xdr:nvGraphicFramePr>
        <xdr:cNvPr id="11515691" name="Chart 177">
          <a:extLst>
            <a:ext uri="{FF2B5EF4-FFF2-40B4-BE49-F238E27FC236}">
              <a16:creationId xmlns:a16="http://schemas.microsoft.com/office/drawing/2014/main" id="{00000000-0008-0000-0300-00002B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749</xdr:row>
      <xdr:rowOff>0</xdr:rowOff>
    </xdr:from>
    <xdr:to>
      <xdr:col>7</xdr:col>
      <xdr:colOff>0</xdr:colOff>
      <xdr:row>772</xdr:row>
      <xdr:rowOff>0</xdr:rowOff>
    </xdr:to>
    <xdr:graphicFrame macro="">
      <xdr:nvGraphicFramePr>
        <xdr:cNvPr id="11515692" name="Chart 177">
          <a:extLst>
            <a:ext uri="{FF2B5EF4-FFF2-40B4-BE49-F238E27FC236}">
              <a16:creationId xmlns:a16="http://schemas.microsoft.com/office/drawing/2014/main" id="{00000000-0008-0000-0300-00002C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815</xdr:row>
      <xdr:rowOff>0</xdr:rowOff>
    </xdr:from>
    <xdr:to>
      <xdr:col>7</xdr:col>
      <xdr:colOff>0</xdr:colOff>
      <xdr:row>837</xdr:row>
      <xdr:rowOff>133350</xdr:rowOff>
    </xdr:to>
    <xdr:graphicFrame macro="">
      <xdr:nvGraphicFramePr>
        <xdr:cNvPr id="11515693" name="Chart 178">
          <a:extLst>
            <a:ext uri="{FF2B5EF4-FFF2-40B4-BE49-F238E27FC236}">
              <a16:creationId xmlns:a16="http://schemas.microsoft.com/office/drawing/2014/main" id="{00000000-0008-0000-0300-00002D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7</xdr:col>
      <xdr:colOff>0</xdr:colOff>
      <xdr:row>864</xdr:row>
      <xdr:rowOff>0</xdr:rowOff>
    </xdr:to>
    <xdr:graphicFrame macro="">
      <xdr:nvGraphicFramePr>
        <xdr:cNvPr id="11515694" name="Chart 179">
          <a:extLst>
            <a:ext uri="{FF2B5EF4-FFF2-40B4-BE49-F238E27FC236}">
              <a16:creationId xmlns:a16="http://schemas.microsoft.com/office/drawing/2014/main" id="{00000000-0008-0000-0300-00002E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867</xdr:row>
      <xdr:rowOff>0</xdr:rowOff>
    </xdr:from>
    <xdr:to>
      <xdr:col>7</xdr:col>
      <xdr:colOff>0</xdr:colOff>
      <xdr:row>890</xdr:row>
      <xdr:rowOff>0</xdr:rowOff>
    </xdr:to>
    <xdr:graphicFrame macro="">
      <xdr:nvGraphicFramePr>
        <xdr:cNvPr id="11515695" name="Chart 178">
          <a:extLst>
            <a:ext uri="{FF2B5EF4-FFF2-40B4-BE49-F238E27FC236}">
              <a16:creationId xmlns:a16="http://schemas.microsoft.com/office/drawing/2014/main" id="{00000000-0008-0000-0300-00002F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893</xdr:row>
      <xdr:rowOff>0</xdr:rowOff>
    </xdr:from>
    <xdr:to>
      <xdr:col>7</xdr:col>
      <xdr:colOff>0</xdr:colOff>
      <xdr:row>916</xdr:row>
      <xdr:rowOff>0</xdr:rowOff>
    </xdr:to>
    <xdr:graphicFrame macro="">
      <xdr:nvGraphicFramePr>
        <xdr:cNvPr id="11515696" name="Chart 179">
          <a:extLst>
            <a:ext uri="{FF2B5EF4-FFF2-40B4-BE49-F238E27FC236}">
              <a16:creationId xmlns:a16="http://schemas.microsoft.com/office/drawing/2014/main" id="{00000000-0008-0000-0300-000030B7A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22</xdr:row>
          <xdr:rowOff>0</xdr:rowOff>
        </xdr:from>
        <xdr:to>
          <xdr:col>2</xdr:col>
          <xdr:colOff>0</xdr:colOff>
          <xdr:row>23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Собрать дистрибутив!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ALT invest">
      <a:dk1>
        <a:sysClr val="windowText" lastClr="000000"/>
      </a:dk1>
      <a:lt1>
        <a:sysClr val="window" lastClr="FFFFFF"/>
      </a:lt1>
      <a:dk2>
        <a:srgbClr val="1F497D"/>
      </a:dk2>
      <a:lt2>
        <a:srgbClr val="D7E3BC"/>
      </a:lt2>
      <a:accent1>
        <a:srgbClr val="B8CCE4"/>
      </a:accent1>
      <a:accent2>
        <a:srgbClr val="D8D8D8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19"/>
  <sheetViews>
    <sheetView topLeftCell="A6" zoomScale="130" zoomScaleNormal="130" workbookViewId="0">
      <selection activeCell="E7" sqref="E7"/>
    </sheetView>
  </sheetViews>
  <sheetFormatPr defaultRowHeight="10.199999999999999" outlineLevelRow="2" x14ac:dyDescent="0.2"/>
  <cols>
    <col min="2" max="2" width="16" bestFit="1" customWidth="1"/>
    <col min="3" max="3" width="24" customWidth="1"/>
    <col min="4" max="4" width="10.7109375" customWidth="1"/>
    <col min="5" max="5" width="11.42578125" bestFit="1" customWidth="1"/>
    <col min="6" max="6" width="20.28515625" style="319" bestFit="1" customWidth="1"/>
    <col min="7" max="7" width="10.7109375" style="319" bestFit="1" customWidth="1"/>
    <col min="8" max="8" width="20.28515625" style="319" customWidth="1"/>
  </cols>
  <sheetData>
    <row r="1" spans="2:8" x14ac:dyDescent="0.2">
      <c r="G1" s="319" t="s">
        <v>2675</v>
      </c>
    </row>
    <row r="2" spans="2:8" ht="20.399999999999999" x14ac:dyDescent="0.2">
      <c r="B2" t="s">
        <v>2664</v>
      </c>
      <c r="C2" s="319" t="s">
        <v>2654</v>
      </c>
      <c r="D2" s="108">
        <v>1</v>
      </c>
      <c r="E2">
        <v>30</v>
      </c>
      <c r="G2" s="319">
        <v>80</v>
      </c>
    </row>
    <row r="3" spans="2:8" ht="40.799999999999997" x14ac:dyDescent="0.2">
      <c r="C3" s="319" t="s">
        <v>2672</v>
      </c>
      <c r="D3" s="108"/>
      <c r="E3">
        <f>3*30*22</f>
        <v>1980</v>
      </c>
      <c r="F3" s="319" t="s">
        <v>2680</v>
      </c>
    </row>
    <row r="4" spans="2:8" x14ac:dyDescent="0.2">
      <c r="C4" s="319"/>
      <c r="D4" s="108"/>
    </row>
    <row r="6" spans="2:8" ht="39.6" x14ac:dyDescent="0.4">
      <c r="B6" s="315" t="s">
        <v>2663</v>
      </c>
      <c r="C6" s="315" t="s">
        <v>185</v>
      </c>
      <c r="D6" s="315" t="s">
        <v>2670</v>
      </c>
      <c r="E6" s="315" t="s">
        <v>2671</v>
      </c>
      <c r="F6" s="321" t="s">
        <v>2653</v>
      </c>
      <c r="G6" s="321" t="s">
        <v>2675</v>
      </c>
      <c r="H6" s="323" t="s">
        <v>2673</v>
      </c>
    </row>
    <row r="7" spans="2:8" outlineLevel="2" x14ac:dyDescent="0.2">
      <c r="B7" s="316" t="s">
        <v>2665</v>
      </c>
      <c r="C7" s="316" t="s">
        <v>2655</v>
      </c>
      <c r="D7" s="317">
        <v>0.03</v>
      </c>
      <c r="E7" s="316">
        <f>D7*$E$2</f>
        <v>0.89999999999999991</v>
      </c>
      <c r="F7" s="322"/>
      <c r="G7" s="322">
        <v>0</v>
      </c>
      <c r="H7" s="324">
        <f>E7*$E$3</f>
        <v>1781.9999999999998</v>
      </c>
    </row>
    <row r="8" spans="2:8" outlineLevel="2" x14ac:dyDescent="0.2">
      <c r="B8" s="316" t="s">
        <v>2665</v>
      </c>
      <c r="C8" s="316" t="s">
        <v>2661</v>
      </c>
      <c r="D8" s="317">
        <v>0.26</v>
      </c>
      <c r="E8" s="316">
        <f>D8*$E$2</f>
        <v>7.8000000000000007</v>
      </c>
      <c r="F8" s="322"/>
      <c r="G8" s="322">
        <v>0</v>
      </c>
      <c r="H8" s="324">
        <f t="shared" ref="H8:H18" si="0">E8*$E$3</f>
        <v>15444.000000000002</v>
      </c>
    </row>
    <row r="9" spans="2:8" outlineLevel="2" x14ac:dyDescent="0.2">
      <c r="B9" s="316" t="s">
        <v>2665</v>
      </c>
      <c r="C9" s="316" t="s">
        <v>2662</v>
      </c>
      <c r="D9" s="317">
        <v>0.02</v>
      </c>
      <c r="E9" s="316">
        <f>D9*$E$2</f>
        <v>0.6</v>
      </c>
      <c r="F9" s="322"/>
      <c r="G9" s="322">
        <v>0</v>
      </c>
      <c r="H9" s="324">
        <f t="shared" si="0"/>
        <v>1188</v>
      </c>
    </row>
    <row r="10" spans="2:8" outlineLevel="1" x14ac:dyDescent="0.2">
      <c r="B10" s="318" t="s">
        <v>2667</v>
      </c>
      <c r="C10" s="316"/>
      <c r="D10" s="320">
        <f>SUBTOTAL(9,D7:D9)</f>
        <v>0.31000000000000005</v>
      </c>
      <c r="E10" s="318">
        <f>SUBTOTAL(9,E7:E9)</f>
        <v>9.3000000000000007</v>
      </c>
      <c r="F10" s="322"/>
      <c r="G10" s="322"/>
      <c r="H10" s="324">
        <f t="shared" si="0"/>
        <v>18414</v>
      </c>
    </row>
    <row r="11" spans="2:8" outlineLevel="2" x14ac:dyDescent="0.2">
      <c r="B11" s="316" t="s">
        <v>2666</v>
      </c>
      <c r="C11" s="316" t="s">
        <v>2656</v>
      </c>
      <c r="D11" s="317">
        <v>0.03</v>
      </c>
      <c r="E11" s="316">
        <f>D11*$E$2</f>
        <v>0.89999999999999991</v>
      </c>
      <c r="F11" s="322" t="s">
        <v>2657</v>
      </c>
      <c r="G11" s="325">
        <v>6000</v>
      </c>
      <c r="H11" s="324">
        <f>E11*$E$3</f>
        <v>1781.9999999999998</v>
      </c>
    </row>
    <row r="12" spans="2:8" outlineLevel="2" x14ac:dyDescent="0.2">
      <c r="B12" s="316" t="s">
        <v>2666</v>
      </c>
      <c r="C12" s="316" t="s">
        <v>2660</v>
      </c>
      <c r="D12" s="317">
        <v>0.05</v>
      </c>
      <c r="E12" s="316">
        <f>D12*$E$2</f>
        <v>1.5</v>
      </c>
      <c r="F12" s="322" t="s">
        <v>2674</v>
      </c>
      <c r="G12" s="325">
        <v>1000</v>
      </c>
      <c r="H12" s="324">
        <f>E12*$E$3</f>
        <v>2970</v>
      </c>
    </row>
    <row r="13" spans="2:8" outlineLevel="2" x14ac:dyDescent="0.2">
      <c r="B13" s="316" t="s">
        <v>2666</v>
      </c>
      <c r="C13" s="316" t="s">
        <v>2658</v>
      </c>
      <c r="D13" s="317">
        <v>0.1</v>
      </c>
      <c r="E13" s="316">
        <f>D13*$E$2</f>
        <v>3</v>
      </c>
      <c r="F13" s="322" t="s">
        <v>2659</v>
      </c>
      <c r="G13" s="325">
        <v>6000</v>
      </c>
      <c r="H13" s="324">
        <f>E13*$E$3</f>
        <v>5940</v>
      </c>
    </row>
    <row r="14" spans="2:8" outlineLevel="2" x14ac:dyDescent="0.2">
      <c r="B14" s="316" t="s">
        <v>2666</v>
      </c>
      <c r="C14" s="316" t="s">
        <v>2681</v>
      </c>
      <c r="D14" s="317">
        <v>0.03</v>
      </c>
      <c r="E14" s="316">
        <f>D14*$E$2</f>
        <v>0.89999999999999991</v>
      </c>
      <c r="F14" s="322"/>
      <c r="G14" s="325">
        <v>1200</v>
      </c>
      <c r="H14" s="324">
        <f>E14*$E$3</f>
        <v>1781.9999999999998</v>
      </c>
    </row>
    <row r="15" spans="2:8" outlineLevel="2" x14ac:dyDescent="0.2">
      <c r="B15" s="316" t="s">
        <v>2666</v>
      </c>
      <c r="C15" s="316" t="s">
        <v>2682</v>
      </c>
      <c r="D15" s="317">
        <v>0.48</v>
      </c>
      <c r="E15" s="316">
        <f t="shared" ref="E15:E17" si="1">D15*$E$2</f>
        <v>14.399999999999999</v>
      </c>
      <c r="F15" s="322"/>
      <c r="G15" s="325">
        <v>1200</v>
      </c>
      <c r="H15" s="324">
        <f t="shared" si="0"/>
        <v>28511.999999999996</v>
      </c>
    </row>
    <row r="16" spans="2:8" outlineLevel="2" x14ac:dyDescent="0.2">
      <c r="B16" s="316" t="s">
        <v>2666</v>
      </c>
      <c r="C16" s="316"/>
      <c r="D16" s="317"/>
      <c r="E16" s="316">
        <f t="shared" si="1"/>
        <v>0</v>
      </c>
      <c r="F16" s="322"/>
      <c r="G16" s="325"/>
      <c r="H16" s="324">
        <f t="shared" si="0"/>
        <v>0</v>
      </c>
    </row>
    <row r="17" spans="2:8" outlineLevel="2" x14ac:dyDescent="0.2">
      <c r="B17" s="316" t="s">
        <v>2666</v>
      </c>
      <c r="C17" s="316"/>
      <c r="D17" s="317"/>
      <c r="E17" s="316">
        <f t="shared" si="1"/>
        <v>0</v>
      </c>
      <c r="F17" s="322"/>
      <c r="G17" s="325"/>
      <c r="H17" s="324">
        <f t="shared" si="0"/>
        <v>0</v>
      </c>
    </row>
    <row r="18" spans="2:8" outlineLevel="1" x14ac:dyDescent="0.2">
      <c r="B18" s="318" t="s">
        <v>2668</v>
      </c>
      <c r="C18" s="316"/>
      <c r="D18" s="320">
        <f>SUBTOTAL(9,D11:D17)</f>
        <v>0.69</v>
      </c>
      <c r="E18" s="318">
        <f>SUBTOTAL(9,E11:E17)</f>
        <v>20.7</v>
      </c>
      <c r="F18" s="322"/>
      <c r="G18" s="322"/>
      <c r="H18" s="324">
        <f t="shared" si="0"/>
        <v>40986</v>
      </c>
    </row>
    <row r="19" spans="2:8" x14ac:dyDescent="0.2">
      <c r="B19" s="318" t="s">
        <v>2669</v>
      </c>
      <c r="C19" s="316"/>
      <c r="D19" s="320">
        <f>SUBTOTAL(9,D7:D17)</f>
        <v>1</v>
      </c>
      <c r="E19" s="318">
        <f>SUBTOTAL(9,E7:E17)</f>
        <v>30</v>
      </c>
      <c r="F19" s="322"/>
      <c r="G19" s="322"/>
      <c r="H19" s="324">
        <f>E19*$E$3</f>
        <v>59400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R1985"/>
  <sheetViews>
    <sheetView tabSelected="1" topLeftCell="A1112" zoomScale="110" zoomScaleNormal="110" workbookViewId="0">
      <selection activeCell="F1122" sqref="F1122"/>
    </sheetView>
  </sheetViews>
  <sheetFormatPr defaultRowHeight="10.199999999999999" outlineLevelRow="2" x14ac:dyDescent="0.2"/>
  <cols>
    <col min="1" max="1" width="51.85546875" customWidth="1"/>
    <col min="2" max="2" width="14.85546875" customWidth="1"/>
    <col min="3" max="3" width="12.85546875" customWidth="1"/>
    <col min="4" max="4" width="3.7109375" hidden="1" customWidth="1"/>
    <col min="5" max="5" width="1.140625" hidden="1" customWidth="1"/>
    <col min="6" max="11" width="11.85546875" customWidth="1"/>
    <col min="12" max="12" width="1" customWidth="1"/>
    <col min="13" max="13" width="14.28515625" style="11" customWidth="1"/>
  </cols>
  <sheetData>
    <row r="1" spans="1:13" ht="13.2" x14ac:dyDescent="0.25">
      <c r="A1" s="224" t="str">
        <f ca="1">Language!A3&amp;IF(IS_SUMM,Language!A4,"")&amp;AI_Version&amp;" "&amp;IF(IS_ESTATE,Language!A5,"")&amp;IF(IS_DEMO,Language!A6,"")&amp;IF(IS_TRIAL,Language!A7,"")</f>
        <v xml:space="preserve">АЛЬТ-Инвест™ Сумм 6.04 </v>
      </c>
    </row>
    <row r="2" spans="1:13" s="2" customFormat="1" ht="15.6" x14ac:dyDescent="0.3">
      <c r="A2" s="3" t="s">
        <v>2688</v>
      </c>
      <c r="M2" s="37"/>
    </row>
    <row r="4" spans="1:13" s="4" customFormat="1" ht="15.9" customHeight="1" thickBot="1" x14ac:dyDescent="0.25">
      <c r="A4" s="166" t="str">
        <f ca="1">Language!A$14</f>
        <v xml:space="preserve">         ПАРАМЕТРЫ ПРОЕКТА</v>
      </c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7"/>
    </row>
    <row r="5" spans="1:13" ht="10.8" outlineLevel="1" thickTop="1" x14ac:dyDescent="0.2"/>
    <row r="6" spans="1:13" outlineLevel="1" x14ac:dyDescent="0.2">
      <c r="A6" t="str">
        <f ca="1">Language!A15</f>
        <v>Название проекта:</v>
      </c>
    </row>
    <row r="7" spans="1:13" outlineLevel="1" x14ac:dyDescent="0.2">
      <c r="A7" s="253" t="s">
        <v>2689</v>
      </c>
      <c r="B7" s="254"/>
      <c r="C7" s="254"/>
    </row>
    <row r="8" spans="1:13" outlineLevel="1" x14ac:dyDescent="0.2"/>
    <row r="9" spans="1:13" outlineLevel="1" x14ac:dyDescent="0.2">
      <c r="A9" s="184" t="str">
        <f ca="1">Language!A17</f>
        <v>Дата начала проекта</v>
      </c>
      <c r="B9" s="175">
        <f>DATE(PRJ_StartYear,PRJ_StartMon,1)</f>
        <v>43922</v>
      </c>
      <c r="C9" s="176"/>
    </row>
    <row r="10" spans="1:13" outlineLevel="1" x14ac:dyDescent="0.2">
      <c r="A10" s="184" t="str">
        <f ca="1">Language!A18</f>
        <v>Срок жизни проекта</v>
      </c>
      <c r="B10" s="188" t="str">
        <f ca="1">PRJ_Len &amp; " " &amp; OFFSET(Language!A30,PRJ_StepType-1,0)</f>
        <v>6 мес.</v>
      </c>
      <c r="C10" s="176"/>
      <c r="D10">
        <v>6</v>
      </c>
    </row>
    <row r="11" spans="1:13" outlineLevel="1" x14ac:dyDescent="0.2">
      <c r="A11" s="184" t="str">
        <f ca="1">Language!A19</f>
        <v>Шаг планирования</v>
      </c>
      <c r="B11" s="188" t="str">
        <f ca="1">OFFSET(Language!A34,PRJ_StepType-1,0)</f>
        <v>месяц</v>
      </c>
      <c r="C11" s="176"/>
      <c r="D11">
        <v>1</v>
      </c>
      <c r="E11" s="16" t="str">
        <f ca="1">OFFSET(Language!A30,PRJ_StepType-1,0)</f>
        <v>мес.</v>
      </c>
    </row>
    <row r="12" spans="1:13" outlineLevel="1" x14ac:dyDescent="0.2">
      <c r="A12" s="184" t="str">
        <f ca="1">Language!A20</f>
        <v>Длительность шага планирования</v>
      </c>
      <c r="B12" s="188" t="str">
        <f ca="1">TEXT(PRJ_Step,"#") &amp; " "&amp;Language!A38</f>
        <v>30 дн.</v>
      </c>
      <c r="C12" s="176"/>
      <c r="D12" s="16">
        <f>CHOOSE(PRJ_StepType,30,90,180,360)</f>
        <v>30</v>
      </c>
    </row>
    <row r="13" spans="1:13" outlineLevel="1" x14ac:dyDescent="0.2">
      <c r="A13" s="184" t="str">
        <f ca="1">Language!A21</f>
        <v>Основная валюта расчета</v>
      </c>
      <c r="B13" s="188" t="str">
        <f ca="1">OFFSET(Language!A39,CUR_I_Main,0)</f>
        <v>руб.</v>
      </c>
      <c r="C13" s="176"/>
      <c r="D13">
        <v>0</v>
      </c>
    </row>
    <row r="14" spans="1:13" outlineLevel="1" x14ac:dyDescent="0.2">
      <c r="A14" s="184" t="str">
        <f ca="1">Language!A22</f>
        <v>Иностранная валюта</v>
      </c>
      <c r="B14" s="188" t="str">
        <f ca="1">OFFSET(Language!A39,CUR_I_Foreign,0)</f>
        <v>$</v>
      </c>
      <c r="C14" s="176"/>
      <c r="D14">
        <v>1</v>
      </c>
    </row>
    <row r="15" spans="1:13" outlineLevel="1" x14ac:dyDescent="0.2">
      <c r="A15" s="184" t="str">
        <f ca="1">Language!A23</f>
        <v>Валюта для отображения результатов</v>
      </c>
      <c r="B15" s="188" t="str">
        <f ca="1">CHOOSE(CUR_I_Report,CUR_Main,CUR_Foreign)</f>
        <v>руб.</v>
      </c>
      <c r="C15" s="176"/>
      <c r="D15">
        <v>1</v>
      </c>
    </row>
    <row r="16" spans="1:13" outlineLevel="1" x14ac:dyDescent="0.2">
      <c r="A16" s="184"/>
      <c r="B16" s="177"/>
      <c r="C16" s="176"/>
    </row>
    <row r="17" spans="1:11" outlineLevel="1" x14ac:dyDescent="0.2">
      <c r="A17" s="184"/>
      <c r="B17" s="184"/>
      <c r="C17" s="176"/>
    </row>
    <row r="18" spans="1:11" outlineLevel="1" x14ac:dyDescent="0.2">
      <c r="A18" s="190"/>
      <c r="B18" s="190"/>
      <c r="C18" s="194"/>
    </row>
    <row r="19" spans="1:11" outlineLevel="1" x14ac:dyDescent="0.2"/>
    <row r="20" spans="1:11" outlineLevel="1" x14ac:dyDescent="0.2">
      <c r="A20" s="184" t="str">
        <f ca="1">Language!A27</f>
        <v>Язык интерфейса и таблиц</v>
      </c>
      <c r="B20" s="187" t="str">
        <f ca="1">Language!A57</f>
        <v>Русский</v>
      </c>
      <c r="C20" s="176"/>
    </row>
    <row r="21" spans="1:11" outlineLevel="1" x14ac:dyDescent="0.2">
      <c r="A21" s="184" t="str">
        <f ca="1">Language!A28</f>
        <v>Защита</v>
      </c>
      <c r="B21" s="187" t="str">
        <f ca="1">IF(PRJ_Protected,Language!A58,Language!A59)</f>
        <v>Выключена</v>
      </c>
      <c r="C21" s="176"/>
      <c r="D21" t="b">
        <v>0</v>
      </c>
    </row>
    <row r="22" spans="1:11" outlineLevel="1" x14ac:dyDescent="0.2">
      <c r="A22" s="184" t="str">
        <f ca="1">Language!A29</f>
        <v>Показывать реальные даты в названиях периодов?</v>
      </c>
      <c r="B22" s="187" t="str">
        <f ca="1">IF(ShowRealDates,Language!A60,Language!A61)</f>
        <v>Да</v>
      </c>
      <c r="C22" s="176"/>
      <c r="D22" t="b">
        <v>1</v>
      </c>
    </row>
    <row r="23" spans="1:11" outlineLevel="1" x14ac:dyDescent="0.2">
      <c r="A23" s="184"/>
      <c r="B23" s="184"/>
      <c r="C23" s="176"/>
    </row>
    <row r="24" spans="1:11" outlineLevel="1" x14ac:dyDescent="0.2">
      <c r="A24" s="184"/>
      <c r="B24" s="184"/>
      <c r="C24" s="176"/>
    </row>
    <row r="25" spans="1:11" outlineLevel="1" collapsed="1" x14ac:dyDescent="0.2">
      <c r="A25" s="190"/>
      <c r="B25" s="190"/>
      <c r="C25" s="194"/>
    </row>
    <row r="26" spans="1:11" hidden="1" outlineLevel="2" x14ac:dyDescent="0.2"/>
    <row r="27" spans="1:11" hidden="1" outlineLevel="2" x14ac:dyDescent="0.2">
      <c r="A27" t="str">
        <f ca="1">Language!A62</f>
        <v>Год начала проекта</v>
      </c>
      <c r="D27" s="16" t="s">
        <v>2154</v>
      </c>
      <c r="F27" s="5">
        <v>2020</v>
      </c>
      <c r="G27" s="5"/>
      <c r="H27" s="5"/>
      <c r="I27" s="5"/>
      <c r="J27" s="5"/>
      <c r="K27" s="5"/>
    </row>
    <row r="28" spans="1:11" hidden="1" outlineLevel="2" x14ac:dyDescent="0.2">
      <c r="A28" t="str">
        <f ca="1">Language!A63</f>
        <v>Месяц начала проекта</v>
      </c>
      <c r="D28" s="16" t="s">
        <v>2154</v>
      </c>
      <c r="F28" s="5">
        <v>4</v>
      </c>
      <c r="G28" s="5"/>
      <c r="H28" s="5"/>
      <c r="I28" s="5"/>
      <c r="J28" s="5"/>
      <c r="K28" s="5"/>
    </row>
    <row r="29" spans="1:11" hidden="1" outlineLevel="2" x14ac:dyDescent="0.2">
      <c r="A29" t="str">
        <f ca="1">Language!A64</f>
        <v>Номера периодов</v>
      </c>
      <c r="D29" s="16" t="s">
        <v>2154</v>
      </c>
      <c r="F29" s="5">
        <v>1</v>
      </c>
      <c r="G29" s="5">
        <f t="shared" ref="G29:K29" si="0">F29+1</f>
        <v>2</v>
      </c>
      <c r="H29" s="5">
        <f t="shared" si="0"/>
        <v>3</v>
      </c>
      <c r="I29" s="5">
        <f t="shared" si="0"/>
        <v>4</v>
      </c>
      <c r="J29" s="5">
        <f t="shared" si="0"/>
        <v>5</v>
      </c>
      <c r="K29" s="5">
        <f t="shared" si="0"/>
        <v>6</v>
      </c>
    </row>
    <row r="30" spans="1:11" hidden="1" outlineLevel="2" x14ac:dyDescent="0.2">
      <c r="A30" t="str">
        <f ca="1">Language!A65</f>
        <v>Наименования периодов без учета дат</v>
      </c>
      <c r="D30" s="16" t="s">
        <v>2154</v>
      </c>
      <c r="F30" s="17" t="str">
        <f ca="1">TEXT(F29,"#") &amp; " " &amp; OFFSET(Language!$A68,PRJ_StepType-1,0)</f>
        <v>1 мес.</v>
      </c>
      <c r="G30" s="17" t="str">
        <f ca="1">TEXT(G29,"#") &amp; " " &amp; OFFSET(Language!$A68,PRJ_StepType-1,0)</f>
        <v>2 мес.</v>
      </c>
      <c r="H30" s="17" t="str">
        <f ca="1">TEXT(H29,"#") &amp; " " &amp; OFFSET(Language!$A68,PRJ_StepType-1,0)</f>
        <v>3 мес.</v>
      </c>
      <c r="I30" s="17" t="str">
        <f ca="1">TEXT(I29,"#") &amp; " " &amp; OFFSET(Language!$A68,PRJ_StepType-1,0)</f>
        <v>4 мес.</v>
      </c>
      <c r="J30" s="17" t="str">
        <f ca="1">TEXT(J29,"#") &amp; " " &amp; OFFSET(Language!$A68,PRJ_StepType-1,0)</f>
        <v>5 мес.</v>
      </c>
      <c r="K30" s="17" t="str">
        <f ca="1">TEXT(K29,"#") &amp; " " &amp; OFFSET(Language!$A68,PRJ_StepType-1,0)</f>
        <v>6 мес.</v>
      </c>
    </row>
    <row r="31" spans="1:11" hidden="1" outlineLevel="2" x14ac:dyDescent="0.2">
      <c r="A31" t="str">
        <f ca="1">Language!A66</f>
        <v>Дата начала периода</v>
      </c>
      <c r="D31" s="16" t="s">
        <v>2154</v>
      </c>
      <c r="F31" s="18">
        <f>DATE(PRJ_StartYear,PRJ_StartMon,1)</f>
        <v>43922</v>
      </c>
      <c r="G31" s="18">
        <f t="shared" ref="G31:K31" si="1">DATE(YEAR(F31),MONTH(F31)+PRJ_Step/30,1)</f>
        <v>43952</v>
      </c>
      <c r="H31" s="18">
        <f t="shared" si="1"/>
        <v>43983</v>
      </c>
      <c r="I31" s="18">
        <f t="shared" si="1"/>
        <v>44013</v>
      </c>
      <c r="J31" s="18">
        <f t="shared" si="1"/>
        <v>44044</v>
      </c>
      <c r="K31" s="18">
        <f t="shared" si="1"/>
        <v>44075</v>
      </c>
    </row>
    <row r="32" spans="1:11" hidden="1" outlineLevel="2" x14ac:dyDescent="0.2">
      <c r="A32" t="str">
        <f ca="1">Language!A67</f>
        <v>Наименования периодов с учетом дат</v>
      </c>
      <c r="D32" s="16" t="s">
        <v>2154</v>
      </c>
      <c r="F32" s="50" t="str">
        <f>CHOOSE(PRJ_StepType,MONTH(F31) &amp; "/",ROUNDUP(MONTH(F31)/3,0) &amp; " " &amp; Language!$A69,ROUNDUP(MONTH(F31)/6,0) &amp; "/","") &amp; " " &amp; YEAR(F31)</f>
        <v>4/ 2020</v>
      </c>
      <c r="G32" s="50" t="str">
        <f>CHOOSE(PRJ_StepType,MONTH(G31) &amp; "/",ROUNDUP(MONTH(G31)/3,0) &amp; " " &amp; Language!$A69,ROUNDUP(MONTH(G31)/6,0) &amp; "/","") &amp; " " &amp; YEAR(G31)</f>
        <v>5/ 2020</v>
      </c>
      <c r="H32" s="50" t="str">
        <f>CHOOSE(PRJ_StepType,MONTH(H31) &amp; "/",ROUNDUP(MONTH(H31)/3,0) &amp; " " &amp; Language!$A69,ROUNDUP(MONTH(H31)/6,0) &amp; "/","") &amp; " " &amp; YEAR(H31)</f>
        <v>6/ 2020</v>
      </c>
      <c r="I32" s="50" t="str">
        <f>CHOOSE(PRJ_StepType,MONTH(I31) &amp; "/",ROUNDUP(MONTH(I31)/3,0) &amp; " " &amp; Language!$A69,ROUNDUP(MONTH(I31)/6,0) &amp; "/","") &amp; " " &amp; YEAR(I31)</f>
        <v>7/ 2020</v>
      </c>
      <c r="J32" s="50" t="str">
        <f>CHOOSE(PRJ_StepType,MONTH(J31) &amp; "/",ROUNDUP(MONTH(J31)/3,0) &amp; " " &amp; Language!$A69,ROUNDUP(MONTH(J31)/6,0) &amp; "/","") &amp; " " &amp; YEAR(J31)</f>
        <v>8/ 2020</v>
      </c>
      <c r="K32" s="50" t="str">
        <f>CHOOSE(PRJ_StepType,MONTH(K31) &amp; "/",ROUNDUP(MONTH(K31)/3,0) &amp; " " &amp; Language!$A69,ROUNDUP(MONTH(K31)/6,0) &amp; "/","") &amp; " " &amp; YEAR(K31)</f>
        <v>9/ 2020</v>
      </c>
    </row>
    <row r="33" spans="1:13" hidden="1" outlineLevel="2" x14ac:dyDescent="0.2">
      <c r="A33" s="63"/>
      <c r="B33" s="63"/>
      <c r="C33" s="63"/>
      <c r="D33" s="60"/>
      <c r="E33" s="63"/>
      <c r="F33" s="215"/>
      <c r="G33" s="215"/>
      <c r="H33" s="215"/>
      <c r="I33" s="215"/>
      <c r="J33" s="215"/>
      <c r="K33" s="215"/>
      <c r="L33" s="63"/>
      <c r="M33" s="64"/>
    </row>
    <row r="34" spans="1:13" outlineLevel="1" x14ac:dyDescent="0.2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2"/>
    </row>
    <row r="35" spans="1:13" s="4" customFormat="1" ht="15.9" customHeight="1" thickBot="1" x14ac:dyDescent="0.25">
      <c r="A35" s="166" t="str">
        <f ca="1">Language!A$72</f>
        <v xml:space="preserve">         СТАРТОВОЕ СОСТОЯНИЕ ПРОЕКТА</v>
      </c>
      <c r="B35" s="166"/>
      <c r="C35" s="166"/>
      <c r="D35" s="166"/>
      <c r="E35" s="166"/>
      <c r="F35" s="113">
        <f>F31</f>
        <v>43922</v>
      </c>
      <c r="G35" s="21"/>
      <c r="H35" s="21"/>
      <c r="I35" s="21"/>
      <c r="J35" s="21"/>
      <c r="K35" s="21"/>
      <c r="L35" s="21"/>
      <c r="M35" s="38"/>
    </row>
    <row r="36" spans="1:13" ht="10.8" outlineLevel="1" thickTop="1" x14ac:dyDescent="0.2">
      <c r="A36" s="11"/>
      <c r="B36" s="36" t="str">
        <f ca="1">Language!A73</f>
        <v>Валюта</v>
      </c>
    </row>
    <row r="37" spans="1:13" outlineLevel="1" x14ac:dyDescent="0.2">
      <c r="A37" s="23" t="str">
        <f ca="1">Language!A74</f>
        <v>Внеоборотные активы</v>
      </c>
      <c r="B37" s="255">
        <v>1</v>
      </c>
      <c r="C37" s="5" t="str">
        <f ca="1">CHOOSE(B$37,CUR_Main,CUR_Foreign)</f>
        <v>руб.</v>
      </c>
      <c r="D37" s="16" t="str">
        <f>TEXT(B37,"0")&amp;"_01"</f>
        <v>1_01</v>
      </c>
      <c r="F37" s="25">
        <f>SUM(F39:F42)</f>
        <v>0</v>
      </c>
    </row>
    <row r="38" spans="1:13" outlineLevel="1" x14ac:dyDescent="0.2">
      <c r="A38" s="23" t="s">
        <v>442</v>
      </c>
      <c r="C38" s="5"/>
      <c r="F38" s="25"/>
    </row>
    <row r="39" spans="1:13" outlineLevel="1" x14ac:dyDescent="0.2">
      <c r="A39" s="23" t="str">
        <f ca="1">Language!A77</f>
        <v xml:space="preserve">   - земельные участки</v>
      </c>
      <c r="C39" s="5" t="str">
        <f ca="1">CHOOSE(B$37,CUR_Main,CUR_Foreign)</f>
        <v>руб.</v>
      </c>
      <c r="D39" t="str">
        <f>TEXT(B37,"0")&amp;"_03"</f>
        <v>1_03</v>
      </c>
      <c r="F39" s="256">
        <v>0</v>
      </c>
    </row>
    <row r="40" spans="1:13" outlineLevel="1" x14ac:dyDescent="0.2">
      <c r="A40" s="23" t="str">
        <f ca="1">Language!A76</f>
        <v xml:space="preserve">   - здания и сооружения</v>
      </c>
      <c r="C40" s="5" t="str">
        <f ca="1">CHOOSE(B$37,CUR_Main,CUR_Foreign)</f>
        <v>руб.</v>
      </c>
      <c r="D40" t="str">
        <f>TEXT(B37,"0")&amp;"_02"</f>
        <v>1_02</v>
      </c>
      <c r="F40" s="256">
        <v>0</v>
      </c>
    </row>
    <row r="41" spans="1:13" outlineLevel="1" x14ac:dyDescent="0.2">
      <c r="A41" s="23" t="str">
        <f ca="1">Language!A78</f>
        <v xml:space="preserve">   - нематериальные активы</v>
      </c>
      <c r="C41" s="5" t="str">
        <f ca="1">CHOOSE(B$37,CUR_Main,CUR_Foreign)</f>
        <v>руб.</v>
      </c>
      <c r="D41" t="str">
        <f>TEXT(B37,"0")&amp;"_04"</f>
        <v>1_04</v>
      </c>
      <c r="F41" s="256">
        <v>0</v>
      </c>
    </row>
    <row r="42" spans="1:13" outlineLevel="1" x14ac:dyDescent="0.2">
      <c r="A42" s="23" t="str">
        <f ca="1">Language!A79</f>
        <v xml:space="preserve">   - оборудование и другие активы</v>
      </c>
      <c r="C42" s="5" t="str">
        <f ca="1">CHOOSE(B$37,CUR_Main,CUR_Foreign)</f>
        <v>руб.</v>
      </c>
      <c r="D42" t="str">
        <f>TEXT(B37,"0")&amp;"_05"</f>
        <v>1_05</v>
      </c>
      <c r="F42" s="256">
        <v>0</v>
      </c>
    </row>
    <row r="43" spans="1:13" outlineLevel="1" x14ac:dyDescent="0.2">
      <c r="A43" s="23" t="str">
        <f ca="1">Language!A80</f>
        <v>Незавершенные инвестиции</v>
      </c>
      <c r="C43" s="5" t="str">
        <f ca="1">CHOOSE(B$37,CUR_Main,CUR_Foreign)</f>
        <v>руб.</v>
      </c>
      <c r="D43" t="str">
        <f>TEXT(B37,"0")&amp;"_06"</f>
        <v>1_06</v>
      </c>
      <c r="F43" s="25">
        <f>SUM(F45:F48)</f>
        <v>0</v>
      </c>
    </row>
    <row r="44" spans="1:13" outlineLevel="1" x14ac:dyDescent="0.2">
      <c r="A44" s="23" t="str">
        <f ca="1">Language!A75</f>
        <v xml:space="preserve">   в том числе</v>
      </c>
      <c r="C44" s="5"/>
      <c r="F44" s="25"/>
    </row>
    <row r="45" spans="1:13" outlineLevel="1" x14ac:dyDescent="0.2">
      <c r="A45" s="23" t="str">
        <f ca="1">Language!A77</f>
        <v xml:space="preserve">   - земельные участки</v>
      </c>
      <c r="C45" s="5" t="str">
        <f ca="1">CHOOSE(B$37,CUR_Main,CUR_Foreign)</f>
        <v>руб.</v>
      </c>
      <c r="D45" t="str">
        <f>TEXT(B37,"0")&amp;"_08"</f>
        <v>1_08</v>
      </c>
      <c r="F45" s="256">
        <v>0</v>
      </c>
    </row>
    <row r="46" spans="1:13" outlineLevel="1" x14ac:dyDescent="0.2">
      <c r="A46" s="23" t="str">
        <f ca="1">Language!A76</f>
        <v xml:space="preserve">   - здания и сооружения</v>
      </c>
      <c r="C46" s="5" t="str">
        <f t="shared" ref="C46:C59" ca="1" si="2">CHOOSE(B$37,CUR_Main,CUR_Foreign)</f>
        <v>руб.</v>
      </c>
      <c r="D46" t="str">
        <f>TEXT(B37,"0")&amp;"_07"</f>
        <v>1_07</v>
      </c>
      <c r="F46" s="256">
        <v>0</v>
      </c>
    </row>
    <row r="47" spans="1:13" outlineLevel="1" x14ac:dyDescent="0.2">
      <c r="A47" s="23" t="str">
        <f ca="1">Language!A78</f>
        <v xml:space="preserve">   - нематериальные активы</v>
      </c>
      <c r="C47" s="5" t="str">
        <f t="shared" ca="1" si="2"/>
        <v>руб.</v>
      </c>
      <c r="D47" t="str">
        <f>TEXT(B37,"0")&amp;"_09"</f>
        <v>1_09</v>
      </c>
      <c r="F47" s="256">
        <v>0</v>
      </c>
    </row>
    <row r="48" spans="1:13" outlineLevel="1" x14ac:dyDescent="0.2">
      <c r="A48" s="23" t="str">
        <f ca="1">Language!A79</f>
        <v xml:space="preserve">   - оборудование и другие активы</v>
      </c>
      <c r="C48" s="5" t="str">
        <f t="shared" ca="1" si="2"/>
        <v>руб.</v>
      </c>
      <c r="D48" t="str">
        <f>TEXT(B37,"0")&amp;"_10"</f>
        <v>1_10</v>
      </c>
      <c r="F48" s="256">
        <v>0</v>
      </c>
    </row>
    <row r="49" spans="1:6" outlineLevel="1" x14ac:dyDescent="0.2">
      <c r="A49" s="23" t="str">
        <f ca="1">Language!A81</f>
        <v>Финансовые вложения</v>
      </c>
      <c r="C49" s="5" t="str">
        <f t="shared" ca="1" si="2"/>
        <v>руб.</v>
      </c>
      <c r="D49" t="str">
        <f>TEXT(B37,"0")&amp;"_25"</f>
        <v>1_25</v>
      </c>
      <c r="F49" s="256">
        <v>0</v>
      </c>
    </row>
    <row r="50" spans="1:6" outlineLevel="1" x14ac:dyDescent="0.2">
      <c r="A50" s="23" t="str">
        <f ca="1">Language!A82</f>
        <v>Запасы сырья и материалов</v>
      </c>
      <c r="C50" s="5" t="str">
        <f t="shared" ca="1" si="2"/>
        <v>руб.</v>
      </c>
      <c r="D50" t="str">
        <f>TEXT(B37,"0")&amp;"_11"</f>
        <v>1_11</v>
      </c>
      <c r="F50" s="256">
        <v>0</v>
      </c>
    </row>
    <row r="51" spans="1:6" outlineLevel="1" x14ac:dyDescent="0.2">
      <c r="A51" s="23" t="str">
        <f ca="1">Language!A83</f>
        <v>Незавершенное производство</v>
      </c>
      <c r="C51" s="5" t="str">
        <f t="shared" ca="1" si="2"/>
        <v>руб.</v>
      </c>
      <c r="D51" t="s">
        <v>569</v>
      </c>
      <c r="F51" s="256">
        <v>0</v>
      </c>
    </row>
    <row r="52" spans="1:6" outlineLevel="1" x14ac:dyDescent="0.2">
      <c r="A52" s="23" t="str">
        <f ca="1">Language!A84</f>
        <v>Запасы готовой продукции</v>
      </c>
      <c r="C52" s="5" t="str">
        <f t="shared" ca="1" si="2"/>
        <v>руб.</v>
      </c>
      <c r="D52" t="str">
        <f>TEXT(B37,"0")&amp;"_12"</f>
        <v>1_12</v>
      </c>
      <c r="F52" s="256">
        <v>0</v>
      </c>
    </row>
    <row r="53" spans="1:6" outlineLevel="1" x14ac:dyDescent="0.2">
      <c r="A53" s="23" t="str">
        <f ca="1">Language!A85</f>
        <v>Дебиторская задолженность покупателей</v>
      </c>
      <c r="C53" s="5" t="str">
        <f t="shared" ca="1" si="2"/>
        <v>руб.</v>
      </c>
      <c r="D53" t="str">
        <f>TEXT(B37,"0")&amp;"_13"</f>
        <v>1_13</v>
      </c>
      <c r="F53" s="256">
        <v>0</v>
      </c>
    </row>
    <row r="54" spans="1:6" outlineLevel="1" x14ac:dyDescent="0.2">
      <c r="A54" s="23" t="str">
        <f ca="1">Language!A86</f>
        <v>Авансы выданные</v>
      </c>
      <c r="C54" s="5" t="str">
        <f t="shared" ca="1" si="2"/>
        <v>руб.</v>
      </c>
      <c r="D54" t="s">
        <v>443</v>
      </c>
      <c r="F54" s="256">
        <v>0</v>
      </c>
    </row>
    <row r="55" spans="1:6" outlineLevel="1" x14ac:dyDescent="0.2">
      <c r="A55" s="23" t="str">
        <f ca="1">Language!A87</f>
        <v>Расходы будущих периодов</v>
      </c>
      <c r="C55" s="5" t="str">
        <f t="shared" ca="1" si="2"/>
        <v>руб.</v>
      </c>
      <c r="D55" t="str">
        <f>TEXT(B37,"0")&amp;"_14"</f>
        <v>1_14</v>
      </c>
      <c r="F55" s="256">
        <v>0</v>
      </c>
    </row>
    <row r="56" spans="1:6" outlineLevel="1" x14ac:dyDescent="0.2">
      <c r="A56" s="23" t="str">
        <f ca="1">Language!A88</f>
        <v>НДС как актив</v>
      </c>
      <c r="C56" s="5" t="str">
        <f t="shared" ca="1" si="2"/>
        <v>руб.</v>
      </c>
      <c r="D56" t="s">
        <v>443</v>
      </c>
      <c r="F56" s="256">
        <v>0</v>
      </c>
    </row>
    <row r="57" spans="1:6" outlineLevel="1" x14ac:dyDescent="0.2">
      <c r="A57" s="23" t="str">
        <f ca="1">Language!A90</f>
        <v>Денежные средства</v>
      </c>
      <c r="C57" s="5" t="str">
        <f t="shared" ca="1" si="2"/>
        <v>руб.</v>
      </c>
      <c r="D57" t="str">
        <f>TEXT(B37,"0")&amp;"_16"</f>
        <v>1_16</v>
      </c>
      <c r="F57" s="256">
        <v>0</v>
      </c>
    </row>
    <row r="58" spans="1:6" outlineLevel="1" x14ac:dyDescent="0.2">
      <c r="A58" t="str">
        <f ca="1">Language!A$774</f>
        <v>Прочие оборотные активы</v>
      </c>
      <c r="C58" s="5" t="str">
        <f ca="1">CHOOSE(B$37,CUR_Main,CUR_Foreign)</f>
        <v>руб.</v>
      </c>
      <c r="D58" t="str">
        <f>TEXT(B37,"0")&amp;"_15"</f>
        <v>1_15</v>
      </c>
      <c r="F58" s="256">
        <v>0</v>
      </c>
    </row>
    <row r="59" spans="1:6" outlineLevel="1" x14ac:dyDescent="0.2">
      <c r="A59" s="35" t="str">
        <f ca="1">Language!A91</f>
        <v>Итого активы</v>
      </c>
      <c r="C59" s="5" t="str">
        <f t="shared" ca="1" si="2"/>
        <v>руб.</v>
      </c>
      <c r="F59" s="120">
        <f>F37+F43+F49+F50+F51+F52+F53+F54+F55+F56+F58+F57</f>
        <v>0</v>
      </c>
    </row>
    <row r="60" spans="1:6" outlineLevel="1" x14ac:dyDescent="0.2">
      <c r="F60" s="5"/>
    </row>
    <row r="61" spans="1:6" outlineLevel="1" x14ac:dyDescent="0.2">
      <c r="A61" t="str">
        <f ca="1">Language!A92</f>
        <v>Собственный капитал</v>
      </c>
      <c r="C61" s="5" t="str">
        <f t="shared" ref="C61:C70" ca="1" si="3">CHOOSE(B$37,CUR_Main,CUR_Foreign)</f>
        <v>руб.</v>
      </c>
      <c r="D61" t="str">
        <f>TEXT(B37,"0")&amp;"_17"</f>
        <v>1_17</v>
      </c>
      <c r="F61" s="256">
        <v>0</v>
      </c>
    </row>
    <row r="62" spans="1:6" outlineLevel="1" x14ac:dyDescent="0.2">
      <c r="A62" t="str">
        <f ca="1">Language!A93</f>
        <v>Нераспределенная прибыль (+) / убыток (-)</v>
      </c>
      <c r="C62" s="5" t="str">
        <f t="shared" ca="1" si="3"/>
        <v>руб.</v>
      </c>
      <c r="D62" t="str">
        <f>TEXT(B37,"0")&amp;"_24"</f>
        <v>1_24</v>
      </c>
      <c r="F62" s="256">
        <v>0</v>
      </c>
    </row>
    <row r="63" spans="1:6" outlineLevel="1" x14ac:dyDescent="0.2">
      <c r="A63" t="str">
        <f ca="1">Language!A94</f>
        <v>Целевое финансирование</v>
      </c>
      <c r="C63" s="5" t="str">
        <f t="shared" ca="1" si="3"/>
        <v>руб.</v>
      </c>
      <c r="D63" t="str">
        <f>TEXT(B37,"0")&amp;"_18"</f>
        <v>1_18</v>
      </c>
      <c r="F63" s="256">
        <v>0</v>
      </c>
    </row>
    <row r="64" spans="1:6" outlineLevel="1" x14ac:dyDescent="0.2">
      <c r="A64" t="str">
        <f ca="1">Language!A95</f>
        <v>Кредиты</v>
      </c>
      <c r="C64" s="5" t="str">
        <f t="shared" ca="1" si="3"/>
        <v>руб.</v>
      </c>
      <c r="D64" t="str">
        <f>TEXT(B37,"0")&amp;"_19"</f>
        <v>1_19</v>
      </c>
      <c r="F64" s="256">
        <v>0</v>
      </c>
    </row>
    <row r="65" spans="1:13" outlineLevel="1" x14ac:dyDescent="0.2">
      <c r="A65" t="str">
        <f ca="1">Language!A96</f>
        <v>Кредиторская задолженность перед поставщиками</v>
      </c>
      <c r="C65" s="5" t="str">
        <f t="shared" ca="1" si="3"/>
        <v>руб.</v>
      </c>
      <c r="D65" t="str">
        <f>TEXT(B37,"0")&amp;"_20"</f>
        <v>1_20</v>
      </c>
      <c r="F65" s="256">
        <v>0</v>
      </c>
    </row>
    <row r="66" spans="1:13" outlineLevel="1" x14ac:dyDescent="0.2">
      <c r="A66" t="str">
        <f ca="1">Language!A97</f>
        <v>Кредиторская задолженность перед бюджетом</v>
      </c>
      <c r="C66" s="5" t="str">
        <f t="shared" ca="1" si="3"/>
        <v>руб.</v>
      </c>
      <c r="D66" t="str">
        <f>TEXT(B37,"0")&amp;"_21"</f>
        <v>1_21</v>
      </c>
      <c r="F66" s="256">
        <v>0</v>
      </c>
    </row>
    <row r="67" spans="1:13" outlineLevel="1" x14ac:dyDescent="0.2">
      <c r="A67" t="str">
        <f ca="1">Language!A98</f>
        <v>Кредиторская задолженность перед персоналом</v>
      </c>
      <c r="C67" s="5" t="str">
        <f t="shared" ca="1" si="3"/>
        <v>руб.</v>
      </c>
      <c r="D67" t="str">
        <f>TEXT(B37,"0")&amp;"_22"</f>
        <v>1_22</v>
      </c>
      <c r="F67" s="256">
        <v>0</v>
      </c>
    </row>
    <row r="68" spans="1:13" outlineLevel="1" x14ac:dyDescent="0.2">
      <c r="A68" t="str">
        <f ca="1">Language!A99</f>
        <v>Авансы полученные</v>
      </c>
      <c r="C68" s="5" t="str">
        <f t="shared" ca="1" si="3"/>
        <v>руб.</v>
      </c>
      <c r="D68" t="s">
        <v>572</v>
      </c>
      <c r="F68" s="256">
        <v>0</v>
      </c>
    </row>
    <row r="69" spans="1:13" outlineLevel="1" x14ac:dyDescent="0.2">
      <c r="A69" t="str">
        <f ca="1">Language!A$792</f>
        <v>Прочие краткосрочные обязательства</v>
      </c>
      <c r="C69" s="5" t="str">
        <f t="shared" ca="1" si="3"/>
        <v>руб.</v>
      </c>
      <c r="D69" t="str">
        <f>TEXT(B37,"0")&amp;"_23"</f>
        <v>1_23</v>
      </c>
      <c r="F69" s="256">
        <v>0</v>
      </c>
    </row>
    <row r="70" spans="1:13" outlineLevel="1" x14ac:dyDescent="0.2">
      <c r="A70" s="35" t="str">
        <f ca="1">Language!A101</f>
        <v>Итого пассивы</v>
      </c>
      <c r="C70" s="5" t="str">
        <f t="shared" ca="1" si="3"/>
        <v>руб.</v>
      </c>
      <c r="F70" s="120">
        <f>SUM(F61:F69)</f>
        <v>0</v>
      </c>
    </row>
    <row r="71" spans="1:13" outlineLevel="1" x14ac:dyDescent="0.2">
      <c r="A71" s="19"/>
      <c r="B71" s="19"/>
      <c r="C71" s="19"/>
      <c r="D71" s="19"/>
      <c r="E71" s="19"/>
      <c r="F71" s="26"/>
      <c r="G71" s="19"/>
      <c r="H71" s="19"/>
      <c r="I71" s="19"/>
      <c r="J71" s="19"/>
      <c r="K71" s="19"/>
      <c r="L71" s="19"/>
      <c r="M71" s="22"/>
    </row>
    <row r="72" spans="1:13" s="11" customFormat="1" outlineLevel="1" x14ac:dyDescent="0.2">
      <c r="A72" s="22" t="str">
        <f ca="1">Language!A102</f>
        <v>Контроль сходимости баланса</v>
      </c>
      <c r="B72" s="69" t="str">
        <f>IF(F72&lt;&gt;0,Language!A1005,"")</f>
        <v/>
      </c>
      <c r="C72" s="22"/>
      <c r="D72" s="22"/>
      <c r="E72" s="22"/>
      <c r="F72" s="70">
        <f>F59-F70</f>
        <v>0</v>
      </c>
      <c r="G72" s="22"/>
      <c r="H72" s="22"/>
      <c r="I72" s="22"/>
      <c r="J72" s="22"/>
      <c r="K72" s="22"/>
      <c r="L72" s="22"/>
      <c r="M72" s="22"/>
    </row>
    <row r="73" spans="1:13" outlineLevel="1" x14ac:dyDescent="0.2">
      <c r="A73" s="63"/>
      <c r="B73" s="63"/>
      <c r="C73" s="63"/>
      <c r="D73" s="63"/>
      <c r="E73" s="63"/>
      <c r="F73" s="63"/>
    </row>
    <row r="74" spans="1:13" outlineLevel="1" x14ac:dyDescent="0.2"/>
    <row r="75" spans="1:13" s="4" customFormat="1" ht="15.9" customHeight="1" thickBot="1" x14ac:dyDescent="0.25">
      <c r="A75" s="166" t="str">
        <f ca="1">Language!A103</f>
        <v xml:space="preserve">         ИНФЛЯЦИЯ И МАКРОЭКОНОМИЧЕСКИЕ ПРОГНОЗЫ</v>
      </c>
      <c r="B75" s="166"/>
      <c r="C75" s="166"/>
      <c r="D75" s="166"/>
      <c r="E75" s="166"/>
      <c r="F75" s="178" t="str">
        <f t="shared" ref="F75:J75" si="4">IF(ShowRealDates,F32,F30)</f>
        <v>4/ 2020</v>
      </c>
      <c r="G75" s="178" t="str">
        <f t="shared" si="4"/>
        <v>5/ 2020</v>
      </c>
      <c r="H75" s="178" t="str">
        <f t="shared" si="4"/>
        <v>6/ 2020</v>
      </c>
      <c r="I75" s="178" t="str">
        <f t="shared" si="4"/>
        <v>7/ 2020</v>
      </c>
      <c r="J75" s="178" t="str">
        <f t="shared" si="4"/>
        <v>8/ 2020</v>
      </c>
      <c r="K75" s="178" t="str">
        <f t="shared" ref="K75" si="5">IF(ShowRealDates,K32,K30)</f>
        <v>9/ 2020</v>
      </c>
      <c r="L75" s="166"/>
      <c r="M75" s="167"/>
    </row>
    <row r="76" spans="1:13" ht="10.8" outlineLevel="1" thickTop="1" x14ac:dyDescent="0.2"/>
    <row r="77" spans="1:13" outlineLevel="1" x14ac:dyDescent="0.2">
      <c r="A77" s="35" t="str">
        <f ca="1">Language!A24</f>
        <v>Метод расчетов</v>
      </c>
      <c r="B77" s="255">
        <v>1</v>
      </c>
      <c r="D77" s="46" t="s">
        <v>2154</v>
      </c>
      <c r="F77" s="51" t="str">
        <f ca="1">CHOOSE(B77,Language!A25,Language!A26)</f>
        <v>Постоянные цены (без учета инфляции)</v>
      </c>
    </row>
    <row r="78" spans="1:13" outlineLevel="1" x14ac:dyDescent="0.2"/>
    <row r="79" spans="1:13" outlineLevel="1" x14ac:dyDescent="0.2">
      <c r="A79" s="35" t="str">
        <f ca="1">Language!A104</f>
        <v>Предполагаемый темп годового роста цен</v>
      </c>
    </row>
    <row r="80" spans="1:13" outlineLevel="1" collapsed="1" x14ac:dyDescent="0.2">
      <c r="A80" t="str">
        <f ca="1">Language!A105</f>
        <v>для основной валюты</v>
      </c>
      <c r="C80" s="5" t="s">
        <v>177</v>
      </c>
      <c r="D80" s="16" t="s">
        <v>176</v>
      </c>
      <c r="F80" s="257">
        <v>7.0000000000000007E-2</v>
      </c>
      <c r="G80" s="257">
        <f>F80</f>
        <v>7.0000000000000007E-2</v>
      </c>
      <c r="H80" s="257">
        <f t="shared" ref="H80:K80" si="6">G80</f>
        <v>7.0000000000000007E-2</v>
      </c>
      <c r="I80" s="257">
        <f t="shared" si="6"/>
        <v>7.0000000000000007E-2</v>
      </c>
      <c r="J80" s="257">
        <f t="shared" si="6"/>
        <v>7.0000000000000007E-2</v>
      </c>
      <c r="K80" s="257">
        <f t="shared" si="6"/>
        <v>7.0000000000000007E-2</v>
      </c>
    </row>
    <row r="81" spans="1:11" hidden="1" outlineLevel="2" x14ac:dyDescent="0.2">
      <c r="A81" t="str">
        <f ca="1">Language!A106</f>
        <v>То же, в пересчете на период, равный шагу проекта</v>
      </c>
      <c r="C81" s="5" t="s">
        <v>177</v>
      </c>
      <c r="D81" s="16" t="s">
        <v>176</v>
      </c>
      <c r="F81" s="30">
        <f t="shared" ref="F81:J81" si="7">POWER(1+F80,PRJ_Step/360)-1</f>
        <v>5.6541453874052738E-3</v>
      </c>
      <c r="G81" s="30">
        <f t="shared" si="7"/>
        <v>5.6541453874052738E-3</v>
      </c>
      <c r="H81" s="30">
        <f t="shared" si="7"/>
        <v>5.6541453874052738E-3</v>
      </c>
      <c r="I81" s="30">
        <f t="shared" si="7"/>
        <v>5.6541453874052738E-3</v>
      </c>
      <c r="J81" s="30">
        <f t="shared" si="7"/>
        <v>5.6541453874052738E-3</v>
      </c>
      <c r="K81" s="30">
        <f t="shared" ref="K81" si="8">POWER(1+K80,PRJ_Step/360)-1</f>
        <v>5.6541453874052738E-3</v>
      </c>
    </row>
    <row r="82" spans="1:11" hidden="1" outlineLevel="2" x14ac:dyDescent="0.2">
      <c r="A82" t="str">
        <f ca="1">Language!A107 &amp; IF(CalcMethod=1,Language!A108,Language!A109)</f>
        <v>Множитель прироста цен для основной валюты  (отключен)</v>
      </c>
      <c r="D82" s="16" t="s">
        <v>176</v>
      </c>
      <c r="F82" s="31">
        <v>1</v>
      </c>
      <c r="G82" s="32">
        <f t="shared" ref="G82:K82" si="9">IF(CalcMethod=2,1+F81,1)</f>
        <v>1</v>
      </c>
      <c r="H82" s="32">
        <f t="shared" si="9"/>
        <v>1</v>
      </c>
      <c r="I82" s="32">
        <f t="shared" si="9"/>
        <v>1</v>
      </c>
      <c r="J82" s="32">
        <f t="shared" si="9"/>
        <v>1</v>
      </c>
      <c r="K82" s="32">
        <f t="shared" si="9"/>
        <v>1</v>
      </c>
    </row>
    <row r="83" spans="1:11" outlineLevel="1" x14ac:dyDescent="0.2"/>
    <row r="84" spans="1:11" outlineLevel="1" collapsed="1" x14ac:dyDescent="0.2">
      <c r="A84" s="35" t="str">
        <f ca="1">Language!A110</f>
        <v>Данные для иностранной валюты</v>
      </c>
    </row>
    <row r="85" spans="1:11" hidden="1" outlineLevel="2" x14ac:dyDescent="0.2"/>
    <row r="86" spans="1:11" hidden="1" outlineLevel="2" x14ac:dyDescent="0.2">
      <c r="A86" t="str">
        <f ca="1">Language!A111</f>
        <v>Предполагаемый годовой темп прироста</v>
      </c>
    </row>
    <row r="87" spans="1:11" hidden="1" outlineLevel="2" x14ac:dyDescent="0.2">
      <c r="A87" t="str">
        <f ca="1">Language!A112</f>
        <v>обменного курса иностранной валюты</v>
      </c>
      <c r="C87" s="5" t="s">
        <v>177</v>
      </c>
      <c r="D87" s="16" t="s">
        <v>176</v>
      </c>
      <c r="F87" s="257">
        <v>0.13</v>
      </c>
      <c r="G87" s="257">
        <f t="shared" ref="G87:K87" si="10">F87</f>
        <v>0.13</v>
      </c>
      <c r="H87" s="257">
        <f t="shared" si="10"/>
        <v>0.13</v>
      </c>
      <c r="I87" s="257">
        <f t="shared" si="10"/>
        <v>0.13</v>
      </c>
      <c r="J87" s="257">
        <f t="shared" si="10"/>
        <v>0.13</v>
      </c>
      <c r="K87" s="257">
        <f t="shared" si="10"/>
        <v>0.13</v>
      </c>
    </row>
    <row r="88" spans="1:11" hidden="1" outlineLevel="2" x14ac:dyDescent="0.2">
      <c r="A88" t="str">
        <f ca="1">Language!A113&amp; " (" &amp; OFFSET(Language!A39,CUR_I_Main,0) &amp; " / " &amp; OFFSET(Language!A39,CUR_I_Foreign,0) &amp; " )"</f>
        <v>Курс валюты (руб. / $ )</v>
      </c>
      <c r="D88" s="16" t="s">
        <v>176</v>
      </c>
      <c r="F88" s="258">
        <v>3.5000000000000003E-2</v>
      </c>
      <c r="G88" s="33">
        <f t="shared" ref="G88:K88" si="11">IF(CalcMethod=2,F88*POWER(1+F87,PRJ_Step/360),F88)</f>
        <v>3.5000000000000003E-2</v>
      </c>
      <c r="H88" s="33">
        <f t="shared" si="11"/>
        <v>3.5000000000000003E-2</v>
      </c>
      <c r="I88" s="33">
        <f t="shared" si="11"/>
        <v>3.5000000000000003E-2</v>
      </c>
      <c r="J88" s="33">
        <f t="shared" si="11"/>
        <v>3.5000000000000003E-2</v>
      </c>
      <c r="K88" s="33">
        <f t="shared" si="11"/>
        <v>3.5000000000000003E-2</v>
      </c>
    </row>
    <row r="89" spans="1:11" hidden="1" outlineLevel="2" x14ac:dyDescent="0.2"/>
    <row r="90" spans="1:11" hidden="1" outlineLevel="2" x14ac:dyDescent="0.2">
      <c r="A90" t="str">
        <f ca="1">Language!A114</f>
        <v>Предполагаемый темп годового роста цен</v>
      </c>
    </row>
    <row r="91" spans="1:11" hidden="1" outlineLevel="2" x14ac:dyDescent="0.2">
      <c r="A91" t="str">
        <f ca="1">Language!A115</f>
        <v>для иностранной валюты</v>
      </c>
      <c r="C91" s="5" t="s">
        <v>177</v>
      </c>
      <c r="D91" s="16" t="s">
        <v>176</v>
      </c>
      <c r="F91" s="257">
        <v>0</v>
      </c>
      <c r="G91" s="257">
        <f t="shared" ref="G91:K91" si="12">F91</f>
        <v>0</v>
      </c>
      <c r="H91" s="257">
        <f t="shared" si="12"/>
        <v>0</v>
      </c>
      <c r="I91" s="257">
        <f t="shared" si="12"/>
        <v>0</v>
      </c>
      <c r="J91" s="257">
        <f t="shared" si="12"/>
        <v>0</v>
      </c>
      <c r="K91" s="257">
        <f t="shared" si="12"/>
        <v>0</v>
      </c>
    </row>
    <row r="92" spans="1:11" hidden="1" outlineLevel="2" x14ac:dyDescent="0.2">
      <c r="A92" t="str">
        <f ca="1">Language!A116</f>
        <v>То же, в пересчете на период, равный шагу проекта</v>
      </c>
      <c r="C92" s="5" t="s">
        <v>177</v>
      </c>
      <c r="D92" s="16" t="s">
        <v>176</v>
      </c>
      <c r="F92" s="30">
        <f t="shared" ref="F92:J92" si="13">POWER(1+F91,PRJ_Step/360)-1</f>
        <v>0</v>
      </c>
      <c r="G92" s="30">
        <f t="shared" si="13"/>
        <v>0</v>
      </c>
      <c r="H92" s="30">
        <f t="shared" si="13"/>
        <v>0</v>
      </c>
      <c r="I92" s="30">
        <f t="shared" si="13"/>
        <v>0</v>
      </c>
      <c r="J92" s="30">
        <f t="shared" si="13"/>
        <v>0</v>
      </c>
      <c r="K92" s="30">
        <f t="shared" ref="K92" si="14">POWER(1+K91,PRJ_Step/360)-1</f>
        <v>0</v>
      </c>
    </row>
    <row r="93" spans="1:11" hidden="1" outlineLevel="2" x14ac:dyDescent="0.2">
      <c r="A93" t="str">
        <f ca="1">Language!A117&amp; IF(CalcMethod=1,Language!A108,Language!A109)</f>
        <v>Множитель прироста цен для иностранной валюты  (отключен)</v>
      </c>
      <c r="D93" s="16" t="s">
        <v>176</v>
      </c>
      <c r="F93" s="31">
        <v>1</v>
      </c>
      <c r="G93" s="32">
        <f t="shared" ref="G93:K93" si="15">IF(CalcMethod=2,1+F92,1)</f>
        <v>1</v>
      </c>
      <c r="H93" s="32">
        <f t="shared" si="15"/>
        <v>1</v>
      </c>
      <c r="I93" s="32">
        <f t="shared" si="15"/>
        <v>1</v>
      </c>
      <c r="J93" s="32">
        <f t="shared" si="15"/>
        <v>1</v>
      </c>
      <c r="K93" s="32">
        <f t="shared" si="15"/>
        <v>1</v>
      </c>
    </row>
    <row r="94" spans="1:11" outlineLevel="1" x14ac:dyDescent="0.2"/>
    <row r="95" spans="1:11" outlineLevel="1" collapsed="1" x14ac:dyDescent="0.2">
      <c r="A95" s="35" t="str">
        <f ca="1">Language!A118</f>
        <v>Ставка рефинансирования ЦБ</v>
      </c>
      <c r="C95" s="5" t="s">
        <v>177</v>
      </c>
      <c r="D95" s="16" t="s">
        <v>176</v>
      </c>
      <c r="F95" s="402">
        <v>8.2500000000000004E-2</v>
      </c>
      <c r="G95" s="402">
        <v>8.2500000000000004E-2</v>
      </c>
      <c r="H95" s="402">
        <v>8.2500000000000004E-2</v>
      </c>
      <c r="I95" s="257">
        <f t="shared" ref="I95:K95" si="16">H95</f>
        <v>8.2500000000000004E-2</v>
      </c>
      <c r="J95" s="257">
        <f t="shared" si="16"/>
        <v>8.2500000000000004E-2</v>
      </c>
      <c r="K95" s="257">
        <f t="shared" si="16"/>
        <v>8.2500000000000004E-2</v>
      </c>
    </row>
    <row r="96" spans="1:11" hidden="1" outlineLevel="2" x14ac:dyDescent="0.2">
      <c r="A96" t="str">
        <f ca="1">Language!A119</f>
        <v>Ставка процентов по кредитам, в пределах которой</v>
      </c>
    </row>
    <row r="97" spans="1:13" hidden="1" outlineLevel="2" x14ac:dyDescent="0.2">
      <c r="A97" t="str">
        <f ca="1">Language!A120</f>
        <v>уменьшается налогооблагаемая прибыль:</v>
      </c>
    </row>
    <row r="98" spans="1:13" hidden="1" outlineLevel="2" x14ac:dyDescent="0.2">
      <c r="A98" s="19" t="str">
        <f ca="1">Language!A121</f>
        <v>основная валюта</v>
      </c>
      <c r="B98" s="19"/>
      <c r="C98" s="26" t="s">
        <v>177</v>
      </c>
      <c r="D98" s="16" t="s">
        <v>176</v>
      </c>
      <c r="E98" s="19"/>
      <c r="F98" s="34">
        <f t="shared" ref="F98:J98" si="17">F95*1.1</f>
        <v>9.0750000000000011E-2</v>
      </c>
      <c r="G98" s="34">
        <f t="shared" si="17"/>
        <v>9.0750000000000011E-2</v>
      </c>
      <c r="H98" s="34">
        <f t="shared" si="17"/>
        <v>9.0750000000000011E-2</v>
      </c>
      <c r="I98" s="34">
        <f t="shared" si="17"/>
        <v>9.0750000000000011E-2</v>
      </c>
      <c r="J98" s="34">
        <f t="shared" si="17"/>
        <v>9.0750000000000011E-2</v>
      </c>
      <c r="K98" s="34">
        <f t="shared" ref="K98" si="18">K95*1.1</f>
        <v>9.0750000000000011E-2</v>
      </c>
      <c r="L98" s="19"/>
      <c r="M98" s="22"/>
    </row>
    <row r="99" spans="1:13" hidden="1" outlineLevel="2" x14ac:dyDescent="0.2">
      <c r="A99" s="19" t="str">
        <f ca="1">Language!A122</f>
        <v>иностранная валюта</v>
      </c>
      <c r="B99" s="19"/>
      <c r="C99" s="26" t="s">
        <v>177</v>
      </c>
      <c r="D99" s="46" t="s">
        <v>176</v>
      </c>
      <c r="E99" s="19"/>
      <c r="F99" s="257">
        <v>0.15</v>
      </c>
      <c r="G99" s="257">
        <f t="shared" ref="G99:K99" si="19">F99</f>
        <v>0.15</v>
      </c>
      <c r="H99" s="257">
        <f t="shared" si="19"/>
        <v>0.15</v>
      </c>
      <c r="I99" s="257">
        <f t="shared" si="19"/>
        <v>0.15</v>
      </c>
      <c r="J99" s="257">
        <f t="shared" si="19"/>
        <v>0.15</v>
      </c>
      <c r="K99" s="257">
        <f t="shared" si="19"/>
        <v>0.15</v>
      </c>
      <c r="L99" s="19"/>
      <c r="M99" s="22"/>
    </row>
    <row r="100" spans="1:13" outlineLevel="1" x14ac:dyDescent="0.2">
      <c r="A100" s="63"/>
      <c r="B100" s="63"/>
      <c r="C100" s="67"/>
      <c r="D100" s="60"/>
      <c r="E100" s="63"/>
      <c r="F100" s="68"/>
      <c r="G100" s="68"/>
      <c r="H100" s="68"/>
      <c r="I100" s="68"/>
      <c r="J100" s="68"/>
      <c r="K100" s="68"/>
      <c r="L100" s="63"/>
      <c r="M100" s="64"/>
    </row>
    <row r="101" spans="1:13" outlineLevel="1" x14ac:dyDescent="0.2">
      <c r="A101" s="19"/>
      <c r="B101" s="19"/>
      <c r="C101" s="26"/>
      <c r="D101" s="46"/>
      <c r="E101" s="19"/>
      <c r="F101" s="47"/>
      <c r="G101" s="47"/>
      <c r="H101" s="47"/>
      <c r="I101" s="47"/>
      <c r="J101" s="47"/>
      <c r="K101" s="47"/>
      <c r="L101" s="19"/>
      <c r="M101" s="22"/>
    </row>
    <row r="102" spans="1:13" s="4" customFormat="1" ht="15.9" customHeight="1" thickBot="1" x14ac:dyDescent="0.25">
      <c r="A102" s="166" t="str">
        <f ca="1">Language!A123</f>
        <v xml:space="preserve">         НАЛОГИ И ПЛАТЕЖИ В ФОНДЫ</v>
      </c>
      <c r="B102" s="166"/>
      <c r="C102" s="166"/>
      <c r="D102" s="166"/>
      <c r="E102" s="166"/>
      <c r="F102" s="178" t="str">
        <f t="shared" ref="F102:K102" si="20">PeriodTitle</f>
        <v>4/ 2020</v>
      </c>
      <c r="G102" s="178" t="str">
        <f t="shared" si="20"/>
        <v>5/ 2020</v>
      </c>
      <c r="H102" s="178" t="str">
        <f t="shared" si="20"/>
        <v>6/ 2020</v>
      </c>
      <c r="I102" s="178" t="str">
        <f t="shared" si="20"/>
        <v>7/ 2020</v>
      </c>
      <c r="J102" s="178" t="str">
        <f t="shared" si="20"/>
        <v>8/ 2020</v>
      </c>
      <c r="K102" s="178" t="str">
        <f t="shared" si="20"/>
        <v>9/ 2020</v>
      </c>
      <c r="L102" s="166"/>
      <c r="M102" s="195" t="str">
        <f ca="1">Language!A$371</f>
        <v>ИТОГО</v>
      </c>
    </row>
    <row r="103" spans="1:13" ht="10.8" outlineLevel="1" thickTop="1" x14ac:dyDescent="0.2">
      <c r="A103" s="19"/>
      <c r="B103" s="19"/>
      <c r="C103" s="26"/>
      <c r="D103" s="46"/>
      <c r="E103" s="19"/>
      <c r="F103" s="47"/>
      <c r="G103" s="47"/>
      <c r="H103" s="47"/>
      <c r="I103" s="47"/>
      <c r="J103" s="47"/>
      <c r="K103" s="47"/>
      <c r="L103" s="19"/>
      <c r="M103" s="22"/>
    </row>
    <row r="104" spans="1:13" outlineLevel="1" x14ac:dyDescent="0.2">
      <c r="A104" s="62" t="str">
        <f ca="1">Language!A124</f>
        <v>Система налогообложения</v>
      </c>
      <c r="B104" s="255">
        <v>3</v>
      </c>
      <c r="C104" s="124" t="str">
        <f ca="1">CHOOSE(B104,Language!A125,Language!A126,Language!A127)</f>
        <v>Упрощенная система налогообложения (специальный налоговый режим)</v>
      </c>
      <c r="D104" s="46"/>
      <c r="E104" s="19"/>
      <c r="F104" s="47"/>
      <c r="G104" s="47"/>
      <c r="H104" s="47"/>
      <c r="I104" s="47"/>
      <c r="J104" s="47"/>
      <c r="K104" s="47"/>
      <c r="L104" s="19"/>
      <c r="M104" s="22"/>
    </row>
    <row r="105" spans="1:13" s="48" customFormat="1" outlineLevel="1" x14ac:dyDescent="0.2">
      <c r="A105" s="125"/>
      <c r="B105" s="73"/>
      <c r="C105" s="126"/>
      <c r="D105" s="74"/>
      <c r="E105" s="45"/>
      <c r="F105" s="127"/>
      <c r="G105" s="127"/>
      <c r="H105" s="127"/>
      <c r="I105" s="127"/>
      <c r="J105" s="127"/>
      <c r="K105" s="127"/>
      <c r="L105" s="45"/>
      <c r="M105" s="77"/>
    </row>
    <row r="106" spans="1:13" outlineLevel="1" x14ac:dyDescent="0.2">
      <c r="A106" s="19"/>
      <c r="B106" s="96" t="str">
        <f ca="1">Language!A222</f>
        <v>Период уплаты</v>
      </c>
      <c r="C106" s="26"/>
      <c r="D106" s="46"/>
      <c r="E106" s="19"/>
      <c r="F106" s="47"/>
      <c r="G106" s="47"/>
      <c r="H106" s="47"/>
      <c r="I106" s="47"/>
      <c r="J106" s="47"/>
      <c r="K106" s="47"/>
      <c r="L106" s="19"/>
      <c r="M106" s="22"/>
    </row>
    <row r="107" spans="1:13" outlineLevel="1" x14ac:dyDescent="0.2">
      <c r="A107" s="19" t="str">
        <f ca="1">Language!A128</f>
        <v>Акцизы и экспортные пошлины</v>
      </c>
      <c r="B107" s="259">
        <v>30</v>
      </c>
      <c r="C107" s="26" t="str">
        <f ca="1">Language!A218</f>
        <v>дней</v>
      </c>
      <c r="D107" s="46"/>
      <c r="E107" s="19"/>
      <c r="F107" s="65">
        <f t="shared" ref="F107:J107" si="21">F638</f>
        <v>0</v>
      </c>
      <c r="G107" s="65">
        <f t="shared" si="21"/>
        <v>0</v>
      </c>
      <c r="H107" s="65">
        <f t="shared" si="21"/>
        <v>0</v>
      </c>
      <c r="I107" s="65">
        <f t="shared" si="21"/>
        <v>0</v>
      </c>
      <c r="J107" s="65">
        <f t="shared" si="21"/>
        <v>0</v>
      </c>
      <c r="K107" s="65">
        <f t="shared" ref="K107" si="22">K638</f>
        <v>0</v>
      </c>
      <c r="L107" s="19"/>
      <c r="M107" s="66">
        <f>SUM(F107:K107)</f>
        <v>0</v>
      </c>
    </row>
    <row r="108" spans="1:13" outlineLevel="1" x14ac:dyDescent="0.2">
      <c r="A108" s="19" t="str">
        <f ca="1">Language!A129</f>
        <v>Импортные пошлины</v>
      </c>
      <c r="B108" s="259">
        <v>30</v>
      </c>
      <c r="C108" s="26" t="str">
        <f ca="1">Language!A218</f>
        <v>дней</v>
      </c>
      <c r="D108" s="46"/>
      <c r="E108" s="19"/>
      <c r="F108" s="102">
        <f t="shared" ref="F108:J108" si="23">F724+F504</f>
        <v>0</v>
      </c>
      <c r="G108" s="102">
        <f t="shared" si="23"/>
        <v>0</v>
      </c>
      <c r="H108" s="102">
        <f t="shared" si="23"/>
        <v>0</v>
      </c>
      <c r="I108" s="102">
        <f t="shared" si="23"/>
        <v>0</v>
      </c>
      <c r="J108" s="102">
        <f t="shared" si="23"/>
        <v>0</v>
      </c>
      <c r="K108" s="102">
        <f t="shared" ref="K108" si="24">K724+K504</f>
        <v>0</v>
      </c>
      <c r="L108" s="19"/>
      <c r="M108" s="66">
        <f>SUM(F108:K108)</f>
        <v>0</v>
      </c>
    </row>
    <row r="109" spans="1:13" outlineLevel="1" x14ac:dyDescent="0.2">
      <c r="A109" s="63"/>
      <c r="B109" s="63"/>
      <c r="C109" s="67"/>
      <c r="D109" s="60"/>
      <c r="E109" s="63"/>
      <c r="F109" s="68"/>
      <c r="G109" s="68"/>
      <c r="H109" s="68"/>
      <c r="I109" s="68"/>
      <c r="J109" s="68"/>
      <c r="K109" s="68"/>
      <c r="L109" s="63"/>
      <c r="M109" s="64"/>
    </row>
    <row r="110" spans="1:13" outlineLevel="1" x14ac:dyDescent="0.2">
      <c r="A110" s="62" t="str">
        <f ca="1">Language!A130</f>
        <v xml:space="preserve"> НАЛОГ НА ДОБАВЛЕННУЮ СТОИМОСТЬ</v>
      </c>
      <c r="B110" s="19"/>
      <c r="C110" s="26"/>
      <c r="D110" s="46"/>
      <c r="E110" s="19"/>
      <c r="F110" s="47"/>
      <c r="G110" s="47"/>
      <c r="H110" s="47"/>
      <c r="I110" s="47"/>
      <c r="J110" s="47"/>
      <c r="K110" s="47"/>
      <c r="L110" s="19"/>
      <c r="M110" s="22"/>
    </row>
    <row r="111" spans="1:13" outlineLevel="1" x14ac:dyDescent="0.2">
      <c r="A111" s="19" t="str">
        <f ca="1">Language!A131</f>
        <v xml:space="preserve">    ставка</v>
      </c>
      <c r="B111" s="260">
        <f>IF(B104=1,18%,0%)</f>
        <v>0</v>
      </c>
      <c r="C111" s="26" t="s">
        <v>177</v>
      </c>
      <c r="D111" s="46"/>
      <c r="E111" s="19"/>
      <c r="F111" s="47"/>
      <c r="G111" s="47"/>
      <c r="H111" s="47"/>
      <c r="I111" s="47"/>
      <c r="J111" s="47"/>
      <c r="K111" s="47"/>
      <c r="L111" s="19"/>
      <c r="M111" s="22"/>
    </row>
    <row r="112" spans="1:13" outlineLevel="1" x14ac:dyDescent="0.2">
      <c r="A112" s="19" t="str">
        <f ca="1">Language!A132</f>
        <v xml:space="preserve">    период уплаты</v>
      </c>
      <c r="B112" s="259">
        <v>90</v>
      </c>
      <c r="C112" s="26" t="str">
        <f ca="1">Language!A218</f>
        <v>дней</v>
      </c>
      <c r="D112" s="46"/>
      <c r="E112" s="19"/>
      <c r="F112" s="47"/>
      <c r="G112" s="47"/>
      <c r="H112" s="47"/>
      <c r="I112" s="47"/>
      <c r="J112" s="47"/>
      <c r="K112" s="47"/>
      <c r="L112" s="19"/>
      <c r="M112" s="22"/>
    </row>
    <row r="113" spans="1:13" outlineLevel="1" x14ac:dyDescent="0.2">
      <c r="A113" s="19" t="str">
        <f ca="1">Language!A133</f>
        <v xml:space="preserve">    способ зачета переплаченного НДС</v>
      </c>
      <c r="B113" s="255">
        <v>1</v>
      </c>
      <c r="C113" s="96" t="str">
        <f ca="1">CHOOSE(B113,Language!A220,Language!A219)</f>
        <v>зачитывается при будущих расчетах</v>
      </c>
      <c r="D113" s="46"/>
      <c r="E113" s="19"/>
      <c r="F113" s="47"/>
      <c r="G113" s="47"/>
      <c r="H113" s="47"/>
      <c r="I113" s="47"/>
      <c r="J113" s="47"/>
      <c r="K113" s="47"/>
      <c r="L113" s="19"/>
      <c r="M113" s="22"/>
    </row>
    <row r="114" spans="1:13" outlineLevel="1" x14ac:dyDescent="0.2">
      <c r="A114" s="19" t="str">
        <f ca="1">Language!A134</f>
        <v xml:space="preserve">    прямое возмещение налога через</v>
      </c>
      <c r="B114" s="261">
        <v>0</v>
      </c>
      <c r="C114" s="26" t="str">
        <f ca="1">Language!A135</f>
        <v>периодов</v>
      </c>
      <c r="D114" s="46"/>
      <c r="E114" s="19"/>
      <c r="F114" s="47"/>
      <c r="G114" s="47"/>
      <c r="H114" s="47"/>
      <c r="I114" s="47"/>
      <c r="J114" s="47"/>
      <c r="K114" s="47"/>
      <c r="L114" s="19"/>
      <c r="M114" s="22"/>
    </row>
    <row r="115" spans="1:13" outlineLevel="1" collapsed="1" x14ac:dyDescent="0.2">
      <c r="A115" s="19" t="str">
        <f ca="1">Language!A136</f>
        <v>НДС полученный</v>
      </c>
      <c r="B115" s="19"/>
      <c r="C115" s="26" t="str">
        <f t="shared" ref="C115:C131" ca="1" si="25">CUR_Main</f>
        <v>руб.</v>
      </c>
      <c r="D115" s="46"/>
      <c r="E115" s="19"/>
      <c r="F115" s="53">
        <f t="shared" ref="F115:J115" si="26">SUM(F116:F118)</f>
        <v>0</v>
      </c>
      <c r="G115" s="53">
        <f t="shared" si="26"/>
        <v>0</v>
      </c>
      <c r="H115" s="53">
        <f t="shared" si="26"/>
        <v>0</v>
      </c>
      <c r="I115" s="53">
        <f t="shared" si="26"/>
        <v>0</v>
      </c>
      <c r="J115" s="53">
        <f t="shared" si="26"/>
        <v>0</v>
      </c>
      <c r="K115" s="53">
        <f t="shared" ref="K115" si="27">SUM(K116:K118)</f>
        <v>0</v>
      </c>
      <c r="L115" s="19"/>
      <c r="M115" s="66">
        <f t="shared" ref="M115:M121" si="28">SUM(F115:K115)</f>
        <v>0</v>
      </c>
    </row>
    <row r="116" spans="1:13" hidden="1" outlineLevel="2" x14ac:dyDescent="0.2">
      <c r="A116" s="19" t="str">
        <f ca="1">Language!A137</f>
        <v xml:space="preserve">    от продажи товаров (работ, услуг)</v>
      </c>
      <c r="B116" s="19"/>
      <c r="C116" s="26" t="str">
        <f t="shared" ca="1" si="25"/>
        <v>руб.</v>
      </c>
      <c r="D116" s="46"/>
      <c r="E116" s="19"/>
      <c r="F116" s="65">
        <f>F639+F965/(1+VAT)*VAT</f>
        <v>0</v>
      </c>
      <c r="G116" s="65">
        <f t="shared" ref="G116:K116" si="29">G639+(G965-F965)/(1+VAT)*VAT</f>
        <v>0</v>
      </c>
      <c r="H116" s="65">
        <f t="shared" si="29"/>
        <v>0</v>
      </c>
      <c r="I116" s="65">
        <f t="shared" si="29"/>
        <v>0</v>
      </c>
      <c r="J116" s="65">
        <f t="shared" si="29"/>
        <v>0</v>
      </c>
      <c r="K116" s="65">
        <f t="shared" si="29"/>
        <v>0</v>
      </c>
      <c r="L116" s="19"/>
      <c r="M116" s="66">
        <f t="shared" si="28"/>
        <v>0</v>
      </c>
    </row>
    <row r="117" spans="1:13" hidden="1" outlineLevel="2" x14ac:dyDescent="0.2">
      <c r="A117" s="19" t="str">
        <f ca="1">Language!A138</f>
        <v xml:space="preserve">    от продажи активов</v>
      </c>
      <c r="B117" s="19"/>
      <c r="C117" s="26" t="str">
        <f t="shared" ca="1" si="25"/>
        <v>руб.</v>
      </c>
      <c r="D117" s="46"/>
      <c r="E117" s="19"/>
      <c r="F117" s="53">
        <f t="shared" ref="F117:J117" si="30">F494+F519+F530+F507+F246+F237+F255+F264+F277</f>
        <v>0</v>
      </c>
      <c r="G117" s="53">
        <f t="shared" si="30"/>
        <v>0</v>
      </c>
      <c r="H117" s="53">
        <f t="shared" si="30"/>
        <v>0</v>
      </c>
      <c r="I117" s="53">
        <f t="shared" si="30"/>
        <v>0</v>
      </c>
      <c r="J117" s="53">
        <f t="shared" si="30"/>
        <v>0</v>
      </c>
      <c r="K117" s="53">
        <f t="shared" ref="K117" si="31">K494+K519+K530+K507+K246+K237+K255+K264+K277</f>
        <v>0</v>
      </c>
      <c r="L117" s="19"/>
      <c r="M117" s="66">
        <f t="shared" si="28"/>
        <v>0</v>
      </c>
    </row>
    <row r="118" spans="1:13" hidden="1" outlineLevel="2" x14ac:dyDescent="0.2">
      <c r="A118" s="19" t="str">
        <f ca="1">Language!A139</f>
        <v xml:space="preserve">    от прочей деятельности</v>
      </c>
      <c r="B118" s="19"/>
      <c r="C118" s="26" t="str">
        <f t="shared" ca="1" si="25"/>
        <v>руб.</v>
      </c>
      <c r="D118" s="46"/>
      <c r="E118" s="19"/>
      <c r="F118" s="53">
        <f t="shared" ref="F118:K118" si="32">F1208*CHOOSE($B1207,1,F$88)</f>
        <v>0</v>
      </c>
      <c r="G118" s="53">
        <f t="shared" si="32"/>
        <v>0</v>
      </c>
      <c r="H118" s="53">
        <f t="shared" si="32"/>
        <v>0</v>
      </c>
      <c r="I118" s="53">
        <f t="shared" si="32"/>
        <v>0</v>
      </c>
      <c r="J118" s="53">
        <f t="shared" si="32"/>
        <v>0</v>
      </c>
      <c r="K118" s="53">
        <f t="shared" si="32"/>
        <v>0</v>
      </c>
      <c r="L118" s="19"/>
      <c r="M118" s="66">
        <f t="shared" si="28"/>
        <v>0</v>
      </c>
    </row>
    <row r="119" spans="1:13" outlineLevel="1" collapsed="1" x14ac:dyDescent="0.2">
      <c r="A119" s="19" t="str">
        <f ca="1">Language!A140</f>
        <v>НДС уплаченный</v>
      </c>
      <c r="B119" s="19"/>
      <c r="C119" s="26" t="str">
        <f t="shared" ca="1" si="25"/>
        <v>руб.</v>
      </c>
      <c r="D119" s="46"/>
      <c r="E119" s="19"/>
      <c r="F119" s="53">
        <f t="shared" ref="F119:J119" ca="1" si="33">SUM(F120:F125)</f>
        <v>0</v>
      </c>
      <c r="G119" s="53">
        <f t="shared" ca="1" si="33"/>
        <v>0</v>
      </c>
      <c r="H119" s="53">
        <f t="shared" ca="1" si="33"/>
        <v>0</v>
      </c>
      <c r="I119" s="53">
        <f t="shared" ca="1" si="33"/>
        <v>0</v>
      </c>
      <c r="J119" s="53">
        <f t="shared" ca="1" si="33"/>
        <v>0</v>
      </c>
      <c r="K119" s="53">
        <f t="shared" ref="K119" ca="1" si="34">SUM(K120:K125)</f>
        <v>0</v>
      </c>
      <c r="L119" s="19"/>
      <c r="M119" s="66">
        <f t="shared" ca="1" si="28"/>
        <v>0</v>
      </c>
    </row>
    <row r="120" spans="1:13" hidden="1" outlineLevel="2" x14ac:dyDescent="0.2">
      <c r="A120" s="19" t="str">
        <f ca="1">Language!A141</f>
        <v xml:space="preserve">    при оплате материалов и комплектующих</v>
      </c>
      <c r="B120" s="19"/>
      <c r="C120" s="26" t="str">
        <f t="shared" ca="1" si="25"/>
        <v>руб.</v>
      </c>
      <c r="D120" s="46"/>
      <c r="E120" s="19"/>
      <c r="F120" s="53">
        <f t="shared" ref="F120:J120" si="35">F726</f>
        <v>0</v>
      </c>
      <c r="G120" s="53">
        <f t="shared" si="35"/>
        <v>0</v>
      </c>
      <c r="H120" s="53">
        <f t="shared" si="35"/>
        <v>0</v>
      </c>
      <c r="I120" s="53">
        <f t="shared" si="35"/>
        <v>0</v>
      </c>
      <c r="J120" s="53">
        <f t="shared" si="35"/>
        <v>0</v>
      </c>
      <c r="K120" s="53">
        <f t="shared" ref="K120" si="36">K726</f>
        <v>0</v>
      </c>
      <c r="L120" s="19"/>
      <c r="M120" s="66">
        <f t="shared" si="28"/>
        <v>0</v>
      </c>
    </row>
    <row r="121" spans="1:13" hidden="1" outlineLevel="2" x14ac:dyDescent="0.2">
      <c r="A121" s="19" t="str">
        <f ca="1">Language!A142</f>
        <v xml:space="preserve">    при оплате текущих затрат</v>
      </c>
      <c r="B121" s="19"/>
      <c r="C121" s="26" t="str">
        <f t="shared" ca="1" si="25"/>
        <v>руб.</v>
      </c>
      <c r="D121" s="46"/>
      <c r="E121" s="19"/>
      <c r="F121" s="53">
        <f t="shared" ref="F121:J121" si="37">F773+F931+F934+F937</f>
        <v>0</v>
      </c>
      <c r="G121" s="53">
        <f t="shared" si="37"/>
        <v>0</v>
      </c>
      <c r="H121" s="53">
        <f t="shared" si="37"/>
        <v>0</v>
      </c>
      <c r="I121" s="53">
        <f t="shared" si="37"/>
        <v>0</v>
      </c>
      <c r="J121" s="53">
        <f t="shared" si="37"/>
        <v>0</v>
      </c>
      <c r="K121" s="53">
        <f t="shared" ref="K121" si="38">K773+K931+K934+K937</f>
        <v>0</v>
      </c>
      <c r="L121" s="19"/>
      <c r="M121" s="66">
        <f t="shared" si="28"/>
        <v>0</v>
      </c>
    </row>
    <row r="122" spans="1:13" hidden="1" outlineLevel="2" x14ac:dyDescent="0.2">
      <c r="A122" s="19" t="str">
        <f ca="1">Language!A143</f>
        <v xml:space="preserve">    при оплате прочих расходов</v>
      </c>
      <c r="B122" s="19"/>
      <c r="C122" s="26" t="str">
        <f t="shared" ca="1" si="25"/>
        <v>руб.</v>
      </c>
      <c r="D122" s="46"/>
      <c r="E122" s="19"/>
      <c r="F122" s="53">
        <f t="shared" ref="F122:K122" si="39">F1210*CHOOSE($B1209,1,F$88)</f>
        <v>0</v>
      </c>
      <c r="G122" s="53">
        <f t="shared" si="39"/>
        <v>0</v>
      </c>
      <c r="H122" s="53">
        <f t="shared" si="39"/>
        <v>0</v>
      </c>
      <c r="I122" s="53">
        <f t="shared" si="39"/>
        <v>0</v>
      </c>
      <c r="J122" s="53">
        <f t="shared" si="39"/>
        <v>0</v>
      </c>
      <c r="K122" s="53">
        <f t="shared" si="39"/>
        <v>0</v>
      </c>
      <c r="L122" s="19"/>
      <c r="M122" s="66"/>
    </row>
    <row r="123" spans="1:13" hidden="1" outlineLevel="2" x14ac:dyDescent="0.2">
      <c r="A123" s="19" t="str">
        <f ca="1">Language!A144</f>
        <v xml:space="preserve">    при оплате лизинга</v>
      </c>
      <c r="B123" s="19"/>
      <c r="C123" s="26" t="str">
        <f t="shared" ca="1" si="25"/>
        <v>руб.</v>
      </c>
      <c r="D123" s="46"/>
      <c r="E123" s="19"/>
      <c r="F123" s="53">
        <f t="shared" ref="F123:J123" ca="1" si="40">F573</f>
        <v>0</v>
      </c>
      <c r="G123" s="53">
        <f t="shared" ca="1" si="40"/>
        <v>0</v>
      </c>
      <c r="H123" s="53">
        <f t="shared" ca="1" si="40"/>
        <v>0</v>
      </c>
      <c r="I123" s="53">
        <f t="shared" ca="1" si="40"/>
        <v>0</v>
      </c>
      <c r="J123" s="53">
        <f t="shared" ca="1" si="40"/>
        <v>0</v>
      </c>
      <c r="K123" s="53">
        <f t="shared" ref="K123" ca="1" si="41">K573</f>
        <v>0</v>
      </c>
      <c r="L123" s="19"/>
      <c r="M123" s="66">
        <f ca="1">SUM(F123:K123)</f>
        <v>0</v>
      </c>
    </row>
    <row r="124" spans="1:13" hidden="1" outlineLevel="2" x14ac:dyDescent="0.2">
      <c r="A124" s="19" t="str">
        <f ca="1">Language!A145</f>
        <v xml:space="preserve">    при выкупе арендованных активов</v>
      </c>
      <c r="B124" s="19"/>
      <c r="C124" s="26" t="str">
        <f t="shared" ca="1" si="25"/>
        <v>руб.</v>
      </c>
      <c r="D124" s="46"/>
      <c r="E124" s="19"/>
      <c r="F124" s="53">
        <f t="shared" ref="F124:J124" si="42">F574</f>
        <v>0</v>
      </c>
      <c r="G124" s="53">
        <f t="shared" si="42"/>
        <v>0</v>
      </c>
      <c r="H124" s="53">
        <f t="shared" si="42"/>
        <v>0</v>
      </c>
      <c r="I124" s="53">
        <f t="shared" si="42"/>
        <v>0</v>
      </c>
      <c r="J124" s="53">
        <f t="shared" si="42"/>
        <v>0</v>
      </c>
      <c r="K124" s="53">
        <f t="shared" ref="K124" si="43">K574</f>
        <v>0</v>
      </c>
      <c r="L124" s="19"/>
      <c r="M124" s="66"/>
    </row>
    <row r="125" spans="1:13" hidden="1" outlineLevel="2" x14ac:dyDescent="0.2">
      <c r="A125" s="19" t="str">
        <f ca="1">Language!A146</f>
        <v xml:space="preserve">    при оплате инвестиционных вложений</v>
      </c>
      <c r="B125" s="19"/>
      <c r="C125" s="26" t="str">
        <f t="shared" ca="1" si="25"/>
        <v>руб.</v>
      </c>
      <c r="D125" s="46"/>
      <c r="E125" s="19"/>
      <c r="F125" s="53">
        <f t="shared" ref="F125:J125" si="44">F489+F515+F526+F502+F538</f>
        <v>0</v>
      </c>
      <c r="G125" s="53">
        <f t="shared" si="44"/>
        <v>0</v>
      </c>
      <c r="H125" s="53">
        <f t="shared" si="44"/>
        <v>0</v>
      </c>
      <c r="I125" s="53">
        <f t="shared" si="44"/>
        <v>0</v>
      </c>
      <c r="J125" s="53">
        <f t="shared" si="44"/>
        <v>0</v>
      </c>
      <c r="K125" s="53">
        <f t="shared" ref="K125" si="45">K489+K515+K526+K502+K538</f>
        <v>0</v>
      </c>
      <c r="L125" s="19"/>
      <c r="M125" s="66">
        <f>SUM(F125:K125)</f>
        <v>0</v>
      </c>
    </row>
    <row r="126" spans="1:13" outlineLevel="1" collapsed="1" x14ac:dyDescent="0.2">
      <c r="A126" s="62" t="str">
        <f ca="1">Language!A147</f>
        <v>Платежи НДС в бюджет (или возврат из бюджета)</v>
      </c>
      <c r="B126" s="19"/>
      <c r="C126" s="26" t="str">
        <f t="shared" ca="1" si="25"/>
        <v>руб.</v>
      </c>
      <c r="D126" s="46"/>
      <c r="E126" s="19"/>
      <c r="F126" s="56">
        <f t="shared" ref="F126:K126" ca="1" si="46">IF(VAT_Repay=1,MAX(F129-E131,0),MAX(0,F129)+IF(F29&gt;=$B114,MIN(0,OFFSET(F129,0,-$B114)),0))</f>
        <v>0</v>
      </c>
      <c r="G126" s="56">
        <f t="shared" ca="1" si="46"/>
        <v>0</v>
      </c>
      <c r="H126" s="56">
        <f t="shared" ca="1" si="46"/>
        <v>0</v>
      </c>
      <c r="I126" s="56">
        <f t="shared" ca="1" si="46"/>
        <v>0</v>
      </c>
      <c r="J126" s="56">
        <f t="shared" ca="1" si="46"/>
        <v>0</v>
      </c>
      <c r="K126" s="56">
        <f t="shared" ca="1" si="46"/>
        <v>0</v>
      </c>
      <c r="L126" s="19"/>
      <c r="M126" s="97">
        <f ca="1">SUM(F126:K126)</f>
        <v>0</v>
      </c>
    </row>
    <row r="127" spans="1:13" hidden="1" outlineLevel="2" x14ac:dyDescent="0.2">
      <c r="A127" s="19" t="str">
        <f ca="1">Language!A148</f>
        <v xml:space="preserve">    зачтенный НДС на инвестиционные вложения</v>
      </c>
      <c r="B127" s="19"/>
      <c r="C127" s="26" t="str">
        <f t="shared" ca="1" si="25"/>
        <v>руб.</v>
      </c>
      <c r="D127" s="46"/>
      <c r="E127" s="19"/>
      <c r="F127" s="84">
        <f ca="1">F490+F516+F527+F503+F539+F124+B469</f>
        <v>0</v>
      </c>
      <c r="G127" s="84">
        <f t="shared" ref="G127:J127" ca="1" si="47">G490+G516+G527+G503+G539+G124</f>
        <v>0</v>
      </c>
      <c r="H127" s="84">
        <f t="shared" ca="1" si="47"/>
        <v>0</v>
      </c>
      <c r="I127" s="84">
        <f t="shared" ca="1" si="47"/>
        <v>0</v>
      </c>
      <c r="J127" s="84">
        <f t="shared" ca="1" si="47"/>
        <v>0</v>
      </c>
      <c r="K127" s="84">
        <f t="shared" ref="K127" ca="1" si="48">K490+K516+K527+K503+K539+K124</f>
        <v>0</v>
      </c>
      <c r="L127" s="19"/>
      <c r="M127" s="66">
        <f ca="1">SUM(F127:K127)</f>
        <v>0</v>
      </c>
    </row>
    <row r="128" spans="1:13" hidden="1" outlineLevel="2" x14ac:dyDescent="0.2">
      <c r="A128" s="19" t="str">
        <f ca="1">Language!A149</f>
        <v xml:space="preserve">    выплаченный, но еще не зачтенный НДС</v>
      </c>
      <c r="B128" s="19"/>
      <c r="C128" s="26" t="str">
        <f t="shared" ca="1" si="25"/>
        <v>руб.</v>
      </c>
      <c r="D128" s="16" t="s">
        <v>384</v>
      </c>
      <c r="E128" s="19"/>
      <c r="F128" s="84">
        <f ca="1">SUM($E125:F125)+SUM($E124:F124)-SUM($E127:F127)+$B467+$B469</f>
        <v>0</v>
      </c>
      <c r="G128" s="84">
        <f ca="1">SUM($E125:G125)+SUM($E124:G124)-SUM($E127:G127)+$B467+$B469</f>
        <v>0</v>
      </c>
      <c r="H128" s="84">
        <f ca="1">SUM($E125:H125)+SUM($E124:H124)-SUM($E127:H127)+$B467+$B469</f>
        <v>0</v>
      </c>
      <c r="I128" s="84">
        <f ca="1">SUM($E125:I125)+SUM($E124:I124)-SUM($E127:I127)+$B467+$B469</f>
        <v>0</v>
      </c>
      <c r="J128" s="84">
        <f ca="1">SUM($E125:J125)+SUM($E124:J124)-SUM($E127:J127)+$B467+$B469</f>
        <v>0</v>
      </c>
      <c r="K128" s="84">
        <f ca="1">SUM($E125:K125)+SUM($E124:K124)-SUM($E127:K127)+$B467+$B469</f>
        <v>0</v>
      </c>
      <c r="L128" s="19"/>
      <c r="M128" s="66"/>
    </row>
    <row r="129" spans="1:13" hidden="1" outlineLevel="2" x14ac:dyDescent="0.2">
      <c r="A129" s="19" t="str">
        <f ca="1">Language!A150</f>
        <v xml:space="preserve">    НДС к уплате в бюджет (или к возврату из бюджета)</v>
      </c>
      <c r="B129" s="19"/>
      <c r="C129" s="26" t="str">
        <f t="shared" ca="1" si="25"/>
        <v>руб.</v>
      </c>
      <c r="D129" s="46"/>
      <c r="E129" s="19"/>
      <c r="F129" s="84">
        <f t="shared" ref="F129:J129" ca="1" si="49">F115-F120-F121-F122-F123-F127</f>
        <v>0</v>
      </c>
      <c r="G129" s="84">
        <f t="shared" ca="1" si="49"/>
        <v>0</v>
      </c>
      <c r="H129" s="84">
        <f t="shared" ca="1" si="49"/>
        <v>0</v>
      </c>
      <c r="I129" s="84">
        <f t="shared" ca="1" si="49"/>
        <v>0</v>
      </c>
      <c r="J129" s="84">
        <f t="shared" ca="1" si="49"/>
        <v>0</v>
      </c>
      <c r="K129" s="84">
        <f t="shared" ref="K129" ca="1" si="50">K115-K120-K121-K122-K123-K127</f>
        <v>0</v>
      </c>
      <c r="L129" s="19"/>
      <c r="M129" s="66">
        <f ca="1">SUM(F129:K129)</f>
        <v>0</v>
      </c>
    </row>
    <row r="130" spans="1:13" hidden="1" outlineLevel="2" x14ac:dyDescent="0.2">
      <c r="A130" s="19" t="str">
        <f ca="1">Language!A151</f>
        <v xml:space="preserve">    прямое возмещение НДС из бюджета</v>
      </c>
      <c r="B130" s="19"/>
      <c r="C130" s="26" t="str">
        <f t="shared" ca="1" si="25"/>
        <v>руб.</v>
      </c>
      <c r="D130" s="46"/>
      <c r="E130" s="19"/>
      <c r="F130" s="53">
        <f t="shared" ref="F130:J130" ca="1" si="51">IF(VAT_Repay=1,0,IF(F29&gt;=$B114,MIN(0,OFFSET(F129,0,-$B114)),0))</f>
        <v>0</v>
      </c>
      <c r="G130" s="53">
        <f t="shared" ca="1" si="51"/>
        <v>0</v>
      </c>
      <c r="H130" s="53">
        <f t="shared" ca="1" si="51"/>
        <v>0</v>
      </c>
      <c r="I130" s="53">
        <f t="shared" ca="1" si="51"/>
        <v>0</v>
      </c>
      <c r="J130" s="53">
        <f t="shared" ca="1" si="51"/>
        <v>0</v>
      </c>
      <c r="K130" s="53">
        <f t="shared" ref="K130" ca="1" si="52">IF(VAT_Repay=1,0,IF(K29&gt;=$B114,MIN(0,OFFSET(K129,0,-$B114)),0))</f>
        <v>0</v>
      </c>
      <c r="L130" s="19"/>
      <c r="M130" s="66">
        <f ca="1">SUM(F130:K130)</f>
        <v>0</v>
      </c>
    </row>
    <row r="131" spans="1:13" hidden="1" outlineLevel="2" x14ac:dyDescent="0.2">
      <c r="A131" s="19" t="str">
        <f ca="1">Language!A152</f>
        <v xml:space="preserve">    отложенный возврат НДС из бюджета</v>
      </c>
      <c r="B131" s="19"/>
      <c r="C131" s="26" t="str">
        <f t="shared" ca="1" si="25"/>
        <v>руб.</v>
      </c>
      <c r="D131" s="16" t="s">
        <v>384</v>
      </c>
      <c r="E131" s="19"/>
      <c r="F131" s="53">
        <f t="shared" ref="F131:K131" ca="1" si="53">IF(VAT_Repay=2,E131-MIN(F129,0)+F130,MAX(E131-F129,0))</f>
        <v>0</v>
      </c>
      <c r="G131" s="53">
        <f t="shared" ca="1" si="53"/>
        <v>0</v>
      </c>
      <c r="H131" s="53">
        <f t="shared" ca="1" si="53"/>
        <v>0</v>
      </c>
      <c r="I131" s="53">
        <f t="shared" ca="1" si="53"/>
        <v>0</v>
      </c>
      <c r="J131" s="53">
        <f t="shared" ca="1" si="53"/>
        <v>0</v>
      </c>
      <c r="K131" s="53">
        <f t="shared" ca="1" si="53"/>
        <v>0</v>
      </c>
      <c r="L131" s="19"/>
      <c r="M131" s="66"/>
    </row>
    <row r="132" spans="1:13" outlineLevel="1" x14ac:dyDescent="0.2">
      <c r="A132" s="19"/>
      <c r="B132" s="19"/>
      <c r="C132" s="26"/>
      <c r="D132" s="46"/>
      <c r="E132" s="19"/>
      <c r="F132" s="47"/>
      <c r="G132" s="47"/>
      <c r="H132" s="47"/>
      <c r="I132" s="47"/>
      <c r="J132" s="47"/>
      <c r="K132" s="47"/>
      <c r="L132" s="19"/>
      <c r="M132" s="22"/>
    </row>
    <row r="133" spans="1:13" outlineLevel="1" x14ac:dyDescent="0.2">
      <c r="A133" s="63"/>
      <c r="B133" s="63"/>
      <c r="C133" s="67"/>
      <c r="D133" s="60"/>
      <c r="E133" s="63"/>
      <c r="F133" s="68"/>
      <c r="G133" s="68"/>
      <c r="H133" s="68"/>
      <c r="I133" s="68"/>
      <c r="J133" s="68"/>
      <c r="K133" s="68"/>
      <c r="L133" s="63"/>
      <c r="M133" s="64"/>
    </row>
    <row r="134" spans="1:13" outlineLevel="1" x14ac:dyDescent="0.2">
      <c r="A134" s="62" t="str">
        <f ca="1">Language!A153</f>
        <v>ПРОЧИЕ НАЛОГИ</v>
      </c>
      <c r="B134" s="19"/>
      <c r="C134" s="26"/>
      <c r="D134" s="46"/>
      <c r="E134" s="19"/>
      <c r="F134" s="47"/>
      <c r="G134" s="47"/>
      <c r="H134" s="47"/>
      <c r="I134" s="47"/>
      <c r="J134" s="47"/>
      <c r="K134" s="47"/>
      <c r="L134" s="19"/>
      <c r="M134" s="22"/>
    </row>
    <row r="135" spans="1:13" outlineLevel="1" x14ac:dyDescent="0.2">
      <c r="A135" s="19"/>
      <c r="B135" s="19"/>
      <c r="C135" s="26"/>
      <c r="D135" s="46"/>
      <c r="E135" s="19"/>
      <c r="F135" s="47"/>
      <c r="G135" s="47"/>
      <c r="H135" s="47"/>
      <c r="I135" s="47"/>
      <c r="J135" s="47"/>
      <c r="K135" s="47"/>
      <c r="L135" s="19"/>
      <c r="M135" s="22"/>
    </row>
    <row r="136" spans="1:13" outlineLevel="1" collapsed="1" x14ac:dyDescent="0.2">
      <c r="A136" s="24" t="str">
        <f ca="1">Language!A154</f>
        <v>Начисления на заработную плату</v>
      </c>
      <c r="B136" s="260">
        <f>IF(B104=1,30%,0%)</f>
        <v>0</v>
      </c>
      <c r="C136" s="26" t="str">
        <f ca="1">CUR_Main</f>
        <v>руб.</v>
      </c>
      <c r="D136" s="46"/>
      <c r="E136" s="19"/>
      <c r="F136" s="99">
        <f t="shared" ref="F136:J136" si="54">IF($B104=1,F847,0)</f>
        <v>0</v>
      </c>
      <c r="G136" s="99">
        <f t="shared" si="54"/>
        <v>0</v>
      </c>
      <c r="H136" s="99">
        <f t="shared" si="54"/>
        <v>0</v>
      </c>
      <c r="I136" s="99">
        <f t="shared" si="54"/>
        <v>0</v>
      </c>
      <c r="J136" s="99">
        <f t="shared" si="54"/>
        <v>0</v>
      </c>
      <c r="K136" s="99">
        <f t="shared" ref="K136" si="55">IF($B104=1,K847,0)</f>
        <v>0</v>
      </c>
      <c r="L136" s="19"/>
      <c r="M136" s="97">
        <f>SUM(F136:K136)</f>
        <v>0</v>
      </c>
    </row>
    <row r="137" spans="1:13" hidden="1" outlineLevel="2" x14ac:dyDescent="0.2">
      <c r="A137" s="19" t="str">
        <f ca="1">Language!A155</f>
        <v xml:space="preserve">    Единый социальный налог (ЕСН)</v>
      </c>
      <c r="B137" s="19"/>
      <c r="C137" s="26"/>
      <c r="D137" s="46"/>
      <c r="E137" s="19"/>
      <c r="F137" s="47"/>
      <c r="G137" s="47"/>
      <c r="H137" s="47"/>
      <c r="I137" s="47"/>
      <c r="J137" s="47"/>
      <c r="K137" s="47"/>
      <c r="L137" s="19"/>
      <c r="M137" s="22"/>
    </row>
    <row r="138" spans="1:13" hidden="1" outlineLevel="2" x14ac:dyDescent="0.2">
      <c r="A138" s="19" t="str">
        <f ca="1">Language!A156</f>
        <v xml:space="preserve">        ставка</v>
      </c>
      <c r="C138" s="26" t="s">
        <v>177</v>
      </c>
      <c r="D138" s="16" t="s">
        <v>176</v>
      </c>
      <c r="E138" s="19"/>
      <c r="F138" s="47">
        <f>B136</f>
        <v>0</v>
      </c>
      <c r="G138" s="47">
        <f t="shared" ref="G138:K138" si="56">F138</f>
        <v>0</v>
      </c>
      <c r="H138" s="47">
        <f t="shared" si="56"/>
        <v>0</v>
      </c>
      <c r="I138" s="47">
        <f t="shared" si="56"/>
        <v>0</v>
      </c>
      <c r="J138" s="47">
        <f t="shared" si="56"/>
        <v>0</v>
      </c>
      <c r="K138" s="47">
        <f t="shared" si="56"/>
        <v>0</v>
      </c>
      <c r="L138" s="19"/>
      <c r="M138" s="22"/>
    </row>
    <row r="139" spans="1:13" hidden="1" outlineLevel="2" x14ac:dyDescent="0.2">
      <c r="A139" s="19" t="str">
        <f ca="1">Language!A157</f>
        <v xml:space="preserve">        период уплаты</v>
      </c>
      <c r="B139" s="259">
        <v>30</v>
      </c>
      <c r="C139" s="26" t="str">
        <f ca="1">Language!A218</f>
        <v>дней</v>
      </c>
      <c r="D139" s="16"/>
      <c r="E139" s="19"/>
      <c r="F139" s="98"/>
      <c r="G139" s="98"/>
      <c r="H139" s="98"/>
      <c r="I139" s="98"/>
      <c r="J139" s="98"/>
      <c r="K139" s="98"/>
      <c r="L139" s="19"/>
      <c r="M139" s="22"/>
    </row>
    <row r="140" spans="1:13" hidden="1" outlineLevel="2" x14ac:dyDescent="0.2">
      <c r="A140" s="19" t="str">
        <f ca="1">Language!A158</f>
        <v xml:space="preserve">    Страхование</v>
      </c>
      <c r="B140" s="19"/>
      <c r="C140" s="26"/>
      <c r="D140" s="16"/>
      <c r="E140" s="19"/>
      <c r="F140" s="47"/>
      <c r="G140" s="47"/>
      <c r="H140" s="47"/>
      <c r="I140" s="47"/>
      <c r="J140" s="47"/>
      <c r="K140" s="47"/>
      <c r="L140" s="19"/>
      <c r="M140" s="22"/>
    </row>
    <row r="141" spans="1:13" hidden="1" outlineLevel="2" x14ac:dyDescent="0.2">
      <c r="A141" s="19" t="str">
        <f ca="1">Language!A159</f>
        <v xml:space="preserve">        ставка</v>
      </c>
      <c r="B141" s="260">
        <v>0</v>
      </c>
      <c r="C141" s="26" t="s">
        <v>177</v>
      </c>
      <c r="D141" s="16" t="s">
        <v>176</v>
      </c>
      <c r="E141" s="19"/>
      <c r="F141" s="47">
        <f>B141</f>
        <v>0</v>
      </c>
      <c r="G141" s="47">
        <f t="shared" ref="G141:K141" si="57">F141</f>
        <v>0</v>
      </c>
      <c r="H141" s="47">
        <f t="shared" si="57"/>
        <v>0</v>
      </c>
      <c r="I141" s="47">
        <f t="shared" si="57"/>
        <v>0</v>
      </c>
      <c r="J141" s="47">
        <f t="shared" si="57"/>
        <v>0</v>
      </c>
      <c r="K141" s="47">
        <f t="shared" si="57"/>
        <v>0</v>
      </c>
      <c r="L141" s="19"/>
      <c r="M141" s="22"/>
    </row>
    <row r="142" spans="1:13" hidden="1" outlineLevel="2" x14ac:dyDescent="0.2">
      <c r="A142" s="19" t="str">
        <f ca="1">Language!A160</f>
        <v xml:space="preserve">        период уплаты</v>
      </c>
      <c r="B142" s="259">
        <v>30</v>
      </c>
      <c r="C142" s="26" t="str">
        <f ca="1">Language!A218</f>
        <v>дней</v>
      </c>
      <c r="D142" s="16"/>
      <c r="E142" s="19"/>
      <c r="F142" s="98"/>
      <c r="G142" s="98"/>
      <c r="H142" s="98"/>
      <c r="I142" s="98"/>
      <c r="J142" s="98"/>
      <c r="K142" s="98"/>
      <c r="L142" s="19"/>
      <c r="M142" s="22"/>
    </row>
    <row r="143" spans="1:13" outlineLevel="1" collapsed="1" x14ac:dyDescent="0.2">
      <c r="A143" s="24" t="str">
        <f ca="1">Language!A161</f>
        <v>Земельный налог</v>
      </c>
      <c r="B143" s="19"/>
      <c r="C143" s="26" t="str">
        <f ca="1">CUR_Main</f>
        <v>руб.</v>
      </c>
      <c r="D143" s="59"/>
      <c r="E143" s="19"/>
      <c r="F143" s="99">
        <f t="shared" ref="F143:J143" si="58">F144*F145</f>
        <v>0</v>
      </c>
      <c r="G143" s="99">
        <f t="shared" si="58"/>
        <v>0</v>
      </c>
      <c r="H143" s="99">
        <f t="shared" si="58"/>
        <v>0</v>
      </c>
      <c r="I143" s="99">
        <f t="shared" si="58"/>
        <v>0</v>
      </c>
      <c r="J143" s="99">
        <f t="shared" si="58"/>
        <v>0</v>
      </c>
      <c r="K143" s="99">
        <f t="shared" ref="K143" si="59">K144*K145</f>
        <v>0</v>
      </c>
      <c r="L143" s="19"/>
      <c r="M143" s="97">
        <f>SUM(F143:K143)</f>
        <v>0</v>
      </c>
    </row>
    <row r="144" spans="1:13" hidden="1" outlineLevel="2" x14ac:dyDescent="0.2">
      <c r="A144" s="19" t="str">
        <f ca="1">Language!A162</f>
        <v xml:space="preserve">    ставка (на тыс. кв. м )</v>
      </c>
      <c r="B144" s="262">
        <v>0</v>
      </c>
      <c r="C144" s="26" t="str">
        <f ca="1">CUR_Main</f>
        <v>руб.</v>
      </c>
      <c r="D144" s="16" t="s">
        <v>176</v>
      </c>
      <c r="E144" s="19"/>
      <c r="F144" s="65">
        <f>B144</f>
        <v>0</v>
      </c>
      <c r="G144" s="65">
        <f t="shared" ref="G144:K145" si="60">F144</f>
        <v>0</v>
      </c>
      <c r="H144" s="65">
        <f t="shared" si="60"/>
        <v>0</v>
      </c>
      <c r="I144" s="65">
        <f t="shared" si="60"/>
        <v>0</v>
      </c>
      <c r="J144" s="65">
        <f t="shared" si="60"/>
        <v>0</v>
      </c>
      <c r="K144" s="65">
        <f t="shared" si="60"/>
        <v>0</v>
      </c>
      <c r="L144" s="19"/>
      <c r="M144" s="97"/>
    </row>
    <row r="145" spans="1:13" hidden="1" outlineLevel="2" x14ac:dyDescent="0.2">
      <c r="A145" s="19" t="str">
        <f ca="1">Language!A163</f>
        <v xml:space="preserve">    площадь к налогообложению</v>
      </c>
      <c r="B145" s="262">
        <v>1000</v>
      </c>
      <c r="C145" s="26" t="str">
        <f ca="1">Language!A223</f>
        <v>тыс. кв. м</v>
      </c>
      <c r="D145" s="16" t="s">
        <v>176</v>
      </c>
      <c r="E145" s="19"/>
      <c r="F145" s="65">
        <f>B145</f>
        <v>1000</v>
      </c>
      <c r="G145" s="65">
        <f t="shared" si="60"/>
        <v>1000</v>
      </c>
      <c r="H145" s="65">
        <f t="shared" si="60"/>
        <v>1000</v>
      </c>
      <c r="I145" s="65">
        <f t="shared" si="60"/>
        <v>1000</v>
      </c>
      <c r="J145" s="65">
        <f t="shared" si="60"/>
        <v>1000</v>
      </c>
      <c r="K145" s="65">
        <f t="shared" si="60"/>
        <v>1000</v>
      </c>
      <c r="L145" s="19"/>
      <c r="M145" s="22"/>
    </row>
    <row r="146" spans="1:13" hidden="1" outlineLevel="2" x14ac:dyDescent="0.2">
      <c r="A146" s="19" t="str">
        <f ca="1">Language!A164</f>
        <v xml:space="preserve">    период уплаты</v>
      </c>
      <c r="B146" s="259">
        <v>90</v>
      </c>
      <c r="C146" s="26" t="str">
        <f ca="1">Language!A218</f>
        <v>дней</v>
      </c>
      <c r="D146" s="16"/>
      <c r="E146" s="19"/>
      <c r="F146" s="65"/>
      <c r="G146" s="65"/>
      <c r="H146" s="65"/>
      <c r="I146" s="65"/>
      <c r="J146" s="65"/>
      <c r="K146" s="65"/>
      <c r="L146" s="19"/>
      <c r="M146" s="22"/>
    </row>
    <row r="147" spans="1:13" outlineLevel="1" collapsed="1" x14ac:dyDescent="0.2">
      <c r="A147" s="24" t="str">
        <f ca="1">Language!A165</f>
        <v>Другие налоги, относимые на текущие затраты</v>
      </c>
      <c r="B147" s="19"/>
      <c r="C147" s="26" t="str">
        <f ca="1">CUR_Main</f>
        <v>руб.</v>
      </c>
      <c r="D147" s="59"/>
      <c r="E147" s="19"/>
      <c r="F147" s="56">
        <f t="shared" ref="F147:J147" si="61">F148+SUMIF($D148:$D156,"1_01",F148:F156)</f>
        <v>0</v>
      </c>
      <c r="G147" s="56">
        <f t="shared" si="61"/>
        <v>0</v>
      </c>
      <c r="H147" s="56">
        <f t="shared" si="61"/>
        <v>0</v>
      </c>
      <c r="I147" s="56">
        <f t="shared" si="61"/>
        <v>0</v>
      </c>
      <c r="J147" s="56">
        <f t="shared" si="61"/>
        <v>0</v>
      </c>
      <c r="K147" s="56">
        <f t="shared" ref="K147" si="62">K148+SUMIF($D148:$D156,"1_01",K148:K156)</f>
        <v>0</v>
      </c>
      <c r="L147" s="19"/>
      <c r="M147" s="105">
        <f>SUM(F147:K147)</f>
        <v>0</v>
      </c>
    </row>
    <row r="148" spans="1:13" hidden="1" outlineLevel="2" x14ac:dyDescent="0.2">
      <c r="A148" s="19" t="str">
        <f ca="1">Language!A166</f>
        <v>Другие налоги с продаж</v>
      </c>
      <c r="B148" s="19"/>
      <c r="C148" s="26"/>
      <c r="D148" s="16"/>
      <c r="E148" s="19"/>
      <c r="F148" s="65">
        <f t="shared" ref="F148:J148" si="63">F149*F637</f>
        <v>0</v>
      </c>
      <c r="G148" s="65">
        <f t="shared" si="63"/>
        <v>0</v>
      </c>
      <c r="H148" s="65">
        <f t="shared" si="63"/>
        <v>0</v>
      </c>
      <c r="I148" s="65">
        <f t="shared" si="63"/>
        <v>0</v>
      </c>
      <c r="J148" s="65">
        <f t="shared" si="63"/>
        <v>0</v>
      </c>
      <c r="K148" s="65">
        <f t="shared" ref="K148" si="64">K149*K637</f>
        <v>0</v>
      </c>
      <c r="L148" s="19"/>
      <c r="M148" s="104">
        <f>SUM(F148:K148)</f>
        <v>0</v>
      </c>
    </row>
    <row r="149" spans="1:13" hidden="1" outlineLevel="2" x14ac:dyDescent="0.2">
      <c r="A149" s="19" t="str">
        <f ca="1">Language!A167</f>
        <v xml:space="preserve">    ставка</v>
      </c>
      <c r="B149" s="260">
        <v>0</v>
      </c>
      <c r="C149" s="26" t="s">
        <v>177</v>
      </c>
      <c r="D149" s="16" t="s">
        <v>176</v>
      </c>
      <c r="E149" s="19"/>
      <c r="F149" s="47">
        <f>B149</f>
        <v>0</v>
      </c>
      <c r="G149" s="47">
        <f t="shared" ref="G149:K149" si="65">F149</f>
        <v>0</v>
      </c>
      <c r="H149" s="47">
        <f t="shared" si="65"/>
        <v>0</v>
      </c>
      <c r="I149" s="47">
        <f t="shared" si="65"/>
        <v>0</v>
      </c>
      <c r="J149" s="47">
        <f t="shared" si="65"/>
        <v>0</v>
      </c>
      <c r="K149" s="47">
        <f t="shared" si="65"/>
        <v>0</v>
      </c>
      <c r="L149" s="19"/>
      <c r="M149" s="22"/>
    </row>
    <row r="150" spans="1:13" hidden="1" outlineLevel="2" x14ac:dyDescent="0.2">
      <c r="A150" s="19" t="str">
        <f ca="1">Language!A168</f>
        <v xml:space="preserve">    период уплаты</v>
      </c>
      <c r="B150" s="259">
        <v>90</v>
      </c>
      <c r="C150" s="26" t="str">
        <f ca="1">Language!A$218</f>
        <v>дней</v>
      </c>
      <c r="D150" s="16">
        <v>1</v>
      </c>
      <c r="E150" s="19">
        <v>5</v>
      </c>
      <c r="F150" s="98"/>
      <c r="G150" s="98"/>
      <c r="H150" s="98"/>
      <c r="I150" s="98"/>
      <c r="J150" s="98"/>
      <c r="K150" s="98"/>
      <c r="L150" s="19"/>
      <c r="M150" s="22"/>
    </row>
    <row r="151" spans="1:13" s="48" customFormat="1" hidden="1" outlineLevel="2" x14ac:dyDescent="0.2">
      <c r="A151" s="263" t="str">
        <f ca="1">Language!A$224</f>
        <v>Наименование налога</v>
      </c>
      <c r="B151" s="50"/>
      <c r="C151" s="26" t="str">
        <f ca="1">CUR_Main</f>
        <v>руб.</v>
      </c>
      <c r="D151" s="16" t="s">
        <v>188</v>
      </c>
      <c r="E151" s="45"/>
      <c r="F151" s="65">
        <f t="shared" ref="F151:J151" si="66">F152*F153</f>
        <v>0</v>
      </c>
      <c r="G151" s="65">
        <f t="shared" si="66"/>
        <v>0</v>
      </c>
      <c r="H151" s="65">
        <f t="shared" si="66"/>
        <v>0</v>
      </c>
      <c r="I151" s="65">
        <f t="shared" si="66"/>
        <v>0</v>
      </c>
      <c r="J151" s="65">
        <f t="shared" si="66"/>
        <v>0</v>
      </c>
      <c r="K151" s="65">
        <f t="shared" ref="K151" si="67">K152*K153</f>
        <v>0</v>
      </c>
      <c r="L151" s="45"/>
      <c r="M151" s="104">
        <f>SUM(F151:K151)</f>
        <v>0</v>
      </c>
    </row>
    <row r="152" spans="1:13" hidden="1" outlineLevel="2" x14ac:dyDescent="0.2">
      <c r="A152" s="19" t="str">
        <f ca="1">Language!A$169</f>
        <v xml:space="preserve">    налогооблагаемая база</v>
      </c>
      <c r="B152" s="19"/>
      <c r="C152" s="26" t="str">
        <f ca="1">CUR_Main</f>
        <v>руб.</v>
      </c>
      <c r="E152" s="19"/>
      <c r="F152" s="264">
        <v>0</v>
      </c>
      <c r="G152" s="264">
        <f t="shared" ref="G152:K153" si="68">F152</f>
        <v>0</v>
      </c>
      <c r="H152" s="264">
        <f t="shared" si="68"/>
        <v>0</v>
      </c>
      <c r="I152" s="264">
        <f t="shared" si="68"/>
        <v>0</v>
      </c>
      <c r="J152" s="264">
        <f t="shared" si="68"/>
        <v>0</v>
      </c>
      <c r="K152" s="264">
        <f t="shared" si="68"/>
        <v>0</v>
      </c>
      <c r="L152" s="19"/>
      <c r="M152" s="22"/>
    </row>
    <row r="153" spans="1:13" hidden="1" outlineLevel="2" x14ac:dyDescent="0.2">
      <c r="A153" s="19" t="str">
        <f ca="1">Language!A$170</f>
        <v xml:space="preserve">    ставка</v>
      </c>
      <c r="B153" s="260">
        <v>0</v>
      </c>
      <c r="C153" s="26" t="s">
        <v>177</v>
      </c>
      <c r="D153" s="16" t="s">
        <v>176</v>
      </c>
      <c r="E153" s="19"/>
      <c r="F153" s="47">
        <f>B153</f>
        <v>0</v>
      </c>
      <c r="G153" s="47">
        <f t="shared" si="68"/>
        <v>0</v>
      </c>
      <c r="H153" s="47">
        <f t="shared" si="68"/>
        <v>0</v>
      </c>
      <c r="I153" s="47">
        <f t="shared" si="68"/>
        <v>0</v>
      </c>
      <c r="J153" s="47">
        <f t="shared" si="68"/>
        <v>0</v>
      </c>
      <c r="K153" s="47">
        <f t="shared" si="68"/>
        <v>0</v>
      </c>
      <c r="L153" s="19"/>
      <c r="M153" s="22"/>
    </row>
    <row r="154" spans="1:13" hidden="1" outlineLevel="2" x14ac:dyDescent="0.2">
      <c r="A154" s="19" t="str">
        <f ca="1">Language!A$171</f>
        <v xml:space="preserve">    период уплаты</v>
      </c>
      <c r="B154" s="259">
        <v>90</v>
      </c>
      <c r="C154" s="26" t="str">
        <f ca="1">Language!A$218</f>
        <v>дней</v>
      </c>
      <c r="D154" s="16"/>
      <c r="E154" s="19"/>
      <c r="F154" s="98"/>
      <c r="G154" s="98"/>
      <c r="H154" s="98"/>
      <c r="I154" s="98"/>
      <c r="J154" s="98"/>
      <c r="K154" s="98"/>
      <c r="L154" s="19"/>
      <c r="M154" s="22"/>
    </row>
    <row r="155" spans="1:13" s="48" customFormat="1" hidden="1" outlineLevel="2" x14ac:dyDescent="0.2">
      <c r="A155" s="19" t="str">
        <f ca="1">Language!A$172</f>
        <v xml:space="preserve">   задолженность перед бюджетом</v>
      </c>
      <c r="B155" s="50"/>
      <c r="C155" s="26" t="str">
        <f ca="1">CUR_Main</f>
        <v>руб.</v>
      </c>
      <c r="D155" s="101" t="s">
        <v>577</v>
      </c>
      <c r="E155" s="45"/>
      <c r="F155" s="103">
        <v>0</v>
      </c>
      <c r="G155" s="103">
        <f t="shared" ref="G155:K155" si="69">F151*$B154/PRJ_Step</f>
        <v>0</v>
      </c>
      <c r="H155" s="103">
        <f t="shared" si="69"/>
        <v>0</v>
      </c>
      <c r="I155" s="103">
        <f t="shared" si="69"/>
        <v>0</v>
      </c>
      <c r="J155" s="103">
        <f t="shared" si="69"/>
        <v>0</v>
      </c>
      <c r="K155" s="103">
        <f t="shared" si="69"/>
        <v>0</v>
      </c>
      <c r="L155" s="45"/>
      <c r="M155" s="77"/>
    </row>
    <row r="156" spans="1:13" outlineLevel="1" x14ac:dyDescent="0.2">
      <c r="A156" s="19"/>
      <c r="B156" s="19"/>
      <c r="C156" s="26"/>
      <c r="D156" s="46"/>
      <c r="E156" s="19"/>
      <c r="F156" s="47"/>
      <c r="G156" s="47"/>
      <c r="H156" s="47"/>
      <c r="I156" s="47"/>
      <c r="J156" s="47"/>
      <c r="K156" s="47"/>
      <c r="L156" s="19"/>
      <c r="M156" s="22"/>
    </row>
    <row r="157" spans="1:13" outlineLevel="1" collapsed="1" x14ac:dyDescent="0.2">
      <c r="A157" s="24" t="str">
        <f ca="1">Language!A174</f>
        <v>Налог на имущество</v>
      </c>
      <c r="B157" s="260">
        <f>IF(B104=1,2.2%,0%)</f>
        <v>0</v>
      </c>
      <c r="C157" s="26" t="str">
        <f ca="1">CUR_Main</f>
        <v>руб.</v>
      </c>
      <c r="D157" s="46"/>
      <c r="E157" s="19"/>
      <c r="F157" s="56">
        <f t="shared" ref="F157:J157" ca="1" si="70">(F158-F159)*F160*PRJ_Step/360</f>
        <v>0</v>
      </c>
      <c r="G157" s="56">
        <f t="shared" ca="1" si="70"/>
        <v>0</v>
      </c>
      <c r="H157" s="56">
        <f t="shared" ca="1" si="70"/>
        <v>0</v>
      </c>
      <c r="I157" s="56">
        <f t="shared" ca="1" si="70"/>
        <v>0</v>
      </c>
      <c r="J157" s="56">
        <f t="shared" ca="1" si="70"/>
        <v>0</v>
      </c>
      <c r="K157" s="56">
        <f t="shared" ref="K157" ca="1" si="71">(K158-K159)*K160*PRJ_Step/360</f>
        <v>0</v>
      </c>
      <c r="L157" s="19"/>
      <c r="M157" s="105">
        <f ca="1">SUM(F157:K157)</f>
        <v>0</v>
      </c>
    </row>
    <row r="158" spans="1:13" hidden="1" outlineLevel="2" x14ac:dyDescent="0.2">
      <c r="A158" s="19" t="str">
        <f ca="1">Language!A175</f>
        <v xml:space="preserve">    средняя стоимость имущества за период</v>
      </c>
      <c r="B158" s="19"/>
      <c r="C158" s="26" t="str">
        <f ca="1">CUR_Main</f>
        <v>руб.</v>
      </c>
      <c r="D158" s="16" t="s">
        <v>176</v>
      </c>
      <c r="E158" s="19"/>
      <c r="F158" s="84">
        <f t="shared" ref="F158:K158" ca="1" si="72">(E488+E501+E577+E240+E258+F488+F501+F577+F240+F258)/2</f>
        <v>0</v>
      </c>
      <c r="G158" s="84">
        <f t="shared" ca="1" si="72"/>
        <v>0</v>
      </c>
      <c r="H158" s="84">
        <f t="shared" ca="1" si="72"/>
        <v>0</v>
      </c>
      <c r="I158" s="84">
        <f t="shared" ca="1" si="72"/>
        <v>590000</v>
      </c>
      <c r="J158" s="84">
        <f t="shared" ca="1" si="72"/>
        <v>1170000</v>
      </c>
      <c r="K158" s="84">
        <f t="shared" ca="1" si="72"/>
        <v>1289416.6666666665</v>
      </c>
      <c r="L158" s="19"/>
      <c r="M158" s="22"/>
    </row>
    <row r="159" spans="1:13" hidden="1" outlineLevel="2" x14ac:dyDescent="0.2">
      <c r="A159" s="19" t="str">
        <f ca="1">Language!A176</f>
        <v xml:space="preserve">    стоимость имущества, освобождаемого от налога</v>
      </c>
      <c r="B159" s="19"/>
      <c r="C159" s="26" t="str">
        <f ca="1">CUR_Main</f>
        <v>руб.</v>
      </c>
      <c r="D159" s="16" t="s">
        <v>176</v>
      </c>
      <c r="E159" s="19"/>
      <c r="F159" s="264">
        <v>0</v>
      </c>
      <c r="G159" s="264">
        <v>0</v>
      </c>
      <c r="H159" s="264">
        <v>0</v>
      </c>
      <c r="I159" s="264">
        <v>0</v>
      </c>
      <c r="J159" s="264">
        <v>0</v>
      </c>
      <c r="K159" s="264">
        <v>0</v>
      </c>
      <c r="L159" s="19"/>
      <c r="M159" s="22"/>
    </row>
    <row r="160" spans="1:13" hidden="1" outlineLevel="2" x14ac:dyDescent="0.2">
      <c r="A160" s="19" t="str">
        <f ca="1">Language!A177</f>
        <v xml:space="preserve">    ставка</v>
      </c>
      <c r="C160" s="26" t="s">
        <v>177</v>
      </c>
      <c r="D160" s="16" t="s">
        <v>176</v>
      </c>
      <c r="E160" s="19"/>
      <c r="F160" s="34">
        <f>B157</f>
        <v>0</v>
      </c>
      <c r="G160" s="34">
        <f t="shared" ref="G160:K160" si="73">F160</f>
        <v>0</v>
      </c>
      <c r="H160" s="34">
        <f t="shared" si="73"/>
        <v>0</v>
      </c>
      <c r="I160" s="34">
        <f t="shared" si="73"/>
        <v>0</v>
      </c>
      <c r="J160" s="34">
        <f t="shared" si="73"/>
        <v>0</v>
      </c>
      <c r="K160" s="34">
        <f t="shared" si="73"/>
        <v>0</v>
      </c>
      <c r="L160" s="19"/>
      <c r="M160" s="22"/>
    </row>
    <row r="161" spans="1:13" ht="12" hidden="1" customHeight="1" outlineLevel="2" x14ac:dyDescent="0.2">
      <c r="A161" s="19" t="str">
        <f ca="1">Language!A178</f>
        <v xml:space="preserve">    период уплаты</v>
      </c>
      <c r="B161" s="259">
        <v>90</v>
      </c>
      <c r="C161" s="26" t="str">
        <f ca="1">Language!A218</f>
        <v>дней</v>
      </c>
      <c r="D161" s="16"/>
      <c r="E161" s="19"/>
      <c r="F161" s="98"/>
      <c r="G161" s="98"/>
      <c r="H161" s="98"/>
      <c r="I161" s="98"/>
      <c r="J161" s="98"/>
      <c r="K161" s="98"/>
      <c r="L161" s="19"/>
      <c r="M161" s="22"/>
    </row>
    <row r="162" spans="1:13" outlineLevel="1" collapsed="1" x14ac:dyDescent="0.2">
      <c r="A162" s="24" t="str">
        <f ca="1">Language!A179</f>
        <v>Другие налоги, относимые на финансовые результаты</v>
      </c>
      <c r="B162" s="19"/>
      <c r="C162" s="26" t="str">
        <f ca="1">CUR_Main</f>
        <v>руб.</v>
      </c>
      <c r="D162" s="46">
        <v>1</v>
      </c>
      <c r="E162" s="19">
        <v>5</v>
      </c>
      <c r="F162" s="56">
        <f t="shared" ref="F162:J162" si="74">SUMIF($D163:$D168,"1_01",F163:F168)</f>
        <v>0</v>
      </c>
      <c r="G162" s="56">
        <f t="shared" si="74"/>
        <v>0</v>
      </c>
      <c r="H162" s="56">
        <f t="shared" si="74"/>
        <v>0</v>
      </c>
      <c r="I162" s="56">
        <f t="shared" si="74"/>
        <v>0</v>
      </c>
      <c r="J162" s="56">
        <f t="shared" si="74"/>
        <v>0</v>
      </c>
      <c r="K162" s="56">
        <f t="shared" ref="K162" si="75">SUMIF($D163:$D168,"1_01",K163:K168)</f>
        <v>0</v>
      </c>
      <c r="L162" s="19"/>
      <c r="M162" s="97">
        <f>SUM(F162:K162)</f>
        <v>0</v>
      </c>
    </row>
    <row r="163" spans="1:13" hidden="1" outlineLevel="2" x14ac:dyDescent="0.2">
      <c r="A163" s="263" t="str">
        <f ca="1">Language!A$224</f>
        <v>Наименование налога</v>
      </c>
      <c r="B163" s="19"/>
      <c r="C163" s="26" t="str">
        <f ca="1">CUR_Main</f>
        <v>руб.</v>
      </c>
      <c r="D163" s="46" t="s">
        <v>188</v>
      </c>
      <c r="E163" s="19"/>
      <c r="F163" s="65">
        <f t="shared" ref="F163:J163" si="76">F164*F165</f>
        <v>0</v>
      </c>
      <c r="G163" s="65">
        <f t="shared" si="76"/>
        <v>0</v>
      </c>
      <c r="H163" s="65">
        <f t="shared" si="76"/>
        <v>0</v>
      </c>
      <c r="I163" s="65">
        <f t="shared" si="76"/>
        <v>0</v>
      </c>
      <c r="J163" s="65">
        <f t="shared" si="76"/>
        <v>0</v>
      </c>
      <c r="K163" s="65">
        <f t="shared" ref="K163" si="77">K164*K165</f>
        <v>0</v>
      </c>
      <c r="L163" s="19"/>
      <c r="M163" s="66">
        <f>SUM(F163:K163)</f>
        <v>0</v>
      </c>
    </row>
    <row r="164" spans="1:13" hidden="1" outlineLevel="2" x14ac:dyDescent="0.2">
      <c r="A164" s="19" t="str">
        <f ca="1">Language!A$180</f>
        <v xml:space="preserve">    налогооблагаемая база</v>
      </c>
      <c r="B164" s="19"/>
      <c r="C164" s="26" t="str">
        <f ca="1">CUR_Main</f>
        <v>руб.</v>
      </c>
      <c r="D164" s="46"/>
      <c r="E164" s="19"/>
      <c r="F164" s="264">
        <v>0</v>
      </c>
      <c r="G164" s="264">
        <f t="shared" ref="G164:K165" si="78">F164</f>
        <v>0</v>
      </c>
      <c r="H164" s="264">
        <f t="shared" si="78"/>
        <v>0</v>
      </c>
      <c r="I164" s="264">
        <f t="shared" si="78"/>
        <v>0</v>
      </c>
      <c r="J164" s="264">
        <f t="shared" si="78"/>
        <v>0</v>
      </c>
      <c r="K164" s="264">
        <f t="shared" si="78"/>
        <v>0</v>
      </c>
      <c r="L164" s="19"/>
      <c r="M164" s="22"/>
    </row>
    <row r="165" spans="1:13" hidden="1" outlineLevel="2" x14ac:dyDescent="0.2">
      <c r="A165" s="19" t="str">
        <f ca="1">Language!A$181</f>
        <v xml:space="preserve">    ставка</v>
      </c>
      <c r="B165" s="260">
        <v>0</v>
      </c>
      <c r="C165" s="26" t="s">
        <v>177</v>
      </c>
      <c r="D165" s="16" t="s">
        <v>176</v>
      </c>
      <c r="E165" s="19"/>
      <c r="F165" s="34">
        <f>B165</f>
        <v>0</v>
      </c>
      <c r="G165" s="34">
        <f t="shared" si="78"/>
        <v>0</v>
      </c>
      <c r="H165" s="34">
        <f t="shared" si="78"/>
        <v>0</v>
      </c>
      <c r="I165" s="34">
        <f t="shared" si="78"/>
        <v>0</v>
      </c>
      <c r="J165" s="34">
        <f t="shared" si="78"/>
        <v>0</v>
      </c>
      <c r="K165" s="34">
        <f t="shared" si="78"/>
        <v>0</v>
      </c>
      <c r="L165" s="19"/>
      <c r="M165" s="22"/>
    </row>
    <row r="166" spans="1:13" hidden="1" outlineLevel="2" x14ac:dyDescent="0.2">
      <c r="A166" s="19" t="str">
        <f ca="1">Language!A$182</f>
        <v xml:space="preserve">    период уплаты</v>
      </c>
      <c r="B166" s="259">
        <v>90</v>
      </c>
      <c r="C166" s="26" t="str">
        <f ca="1">Language!A$218</f>
        <v>дней</v>
      </c>
      <c r="D166" s="16" t="s">
        <v>176</v>
      </c>
      <c r="E166" s="19"/>
      <c r="F166" s="98"/>
      <c r="G166" s="98"/>
      <c r="H166" s="98"/>
      <c r="I166" s="98"/>
      <c r="J166" s="98"/>
      <c r="K166" s="98"/>
      <c r="L166" s="19"/>
      <c r="M166" s="22"/>
    </row>
    <row r="167" spans="1:13" s="48" customFormat="1" hidden="1" outlineLevel="2" x14ac:dyDescent="0.2">
      <c r="A167" s="19" t="str">
        <f ca="1">Language!A$172</f>
        <v xml:space="preserve">   задолженность перед бюджетом</v>
      </c>
      <c r="B167" s="50"/>
      <c r="C167" s="26" t="str">
        <f ca="1">CUR_Main</f>
        <v>руб.</v>
      </c>
      <c r="D167" s="101" t="s">
        <v>577</v>
      </c>
      <c r="E167" s="45"/>
      <c r="F167" s="103">
        <v>0</v>
      </c>
      <c r="G167" s="103">
        <f t="shared" ref="G167:K167" si="79">F163*$B166/PRJ_Step</f>
        <v>0</v>
      </c>
      <c r="H167" s="103">
        <f t="shared" si="79"/>
        <v>0</v>
      </c>
      <c r="I167" s="103">
        <f t="shared" si="79"/>
        <v>0</v>
      </c>
      <c r="J167" s="103">
        <f t="shared" si="79"/>
        <v>0</v>
      </c>
      <c r="K167" s="103">
        <f t="shared" si="79"/>
        <v>0</v>
      </c>
      <c r="L167" s="45"/>
      <c r="M167" s="77"/>
    </row>
    <row r="168" spans="1:13" outlineLevel="1" x14ac:dyDescent="0.2">
      <c r="A168" s="19"/>
      <c r="B168" s="19"/>
      <c r="C168" s="26"/>
      <c r="D168" s="46"/>
      <c r="E168" s="19"/>
      <c r="F168" s="47"/>
      <c r="G168" s="47"/>
      <c r="H168" s="47"/>
      <c r="I168" s="47"/>
      <c r="J168" s="47"/>
      <c r="K168" s="47"/>
      <c r="L168" s="19"/>
      <c r="M168" s="22"/>
    </row>
    <row r="169" spans="1:13" outlineLevel="1" x14ac:dyDescent="0.2">
      <c r="A169" s="63"/>
      <c r="B169" s="63"/>
      <c r="C169" s="67"/>
      <c r="D169" s="60"/>
      <c r="E169" s="63"/>
      <c r="F169" s="68"/>
      <c r="G169" s="68"/>
      <c r="H169" s="68"/>
      <c r="I169" s="68"/>
      <c r="J169" s="68"/>
      <c r="K169" s="68"/>
      <c r="L169" s="63"/>
      <c r="M169" s="64"/>
    </row>
    <row r="170" spans="1:13" outlineLevel="1" x14ac:dyDescent="0.2">
      <c r="A170" s="62" t="str">
        <f ca="1">Language!A183</f>
        <v>НАЛОГ НА ПРИБЫЛЬ</v>
      </c>
      <c r="B170" s="19"/>
      <c r="C170" s="26"/>
      <c r="D170" s="46"/>
      <c r="E170" s="19"/>
      <c r="F170" s="47"/>
      <c r="G170" s="47"/>
      <c r="H170" s="47"/>
      <c r="I170" s="47"/>
      <c r="J170" s="47"/>
      <c r="K170" s="47"/>
      <c r="L170" s="19"/>
      <c r="M170" s="22"/>
    </row>
    <row r="171" spans="1:13" outlineLevel="1" x14ac:dyDescent="0.2">
      <c r="A171" s="19" t="str">
        <f ca="1">Language!A184</f>
        <v xml:space="preserve">    ставка</v>
      </c>
      <c r="B171" s="260">
        <f>IF(B104=1,20%,0%)</f>
        <v>0</v>
      </c>
      <c r="C171" s="26" t="s">
        <v>177</v>
      </c>
      <c r="D171" s="16" t="s">
        <v>176</v>
      </c>
      <c r="E171" s="19"/>
      <c r="F171" s="47">
        <f>B171</f>
        <v>0</v>
      </c>
      <c r="G171" s="47">
        <f t="shared" ref="G171:K171" si="80">F171</f>
        <v>0</v>
      </c>
      <c r="H171" s="47">
        <f t="shared" si="80"/>
        <v>0</v>
      </c>
      <c r="I171" s="47">
        <f t="shared" si="80"/>
        <v>0</v>
      </c>
      <c r="J171" s="47">
        <f t="shared" si="80"/>
        <v>0</v>
      </c>
      <c r="K171" s="47">
        <f t="shared" si="80"/>
        <v>0</v>
      </c>
      <c r="L171" s="19"/>
      <c r="M171" s="22"/>
    </row>
    <row r="172" spans="1:13" outlineLevel="1" x14ac:dyDescent="0.2">
      <c r="A172" s="19" t="str">
        <f ca="1">Language!A185</f>
        <v xml:space="preserve">    период уплаты</v>
      </c>
      <c r="B172" s="259">
        <v>30</v>
      </c>
      <c r="C172" s="26" t="str">
        <f ca="1">Language!A218</f>
        <v>дней</v>
      </c>
      <c r="D172" s="16"/>
      <c r="E172" s="19"/>
      <c r="F172" s="47"/>
      <c r="G172" s="47"/>
      <c r="H172" s="47"/>
      <c r="I172" s="47"/>
      <c r="J172" s="47"/>
      <c r="K172" s="47"/>
      <c r="L172" s="19"/>
      <c r="M172" s="22"/>
    </row>
    <row r="173" spans="1:13" outlineLevel="1" x14ac:dyDescent="0.2">
      <c r="A173" s="62" t="str">
        <f ca="1">Language!A186</f>
        <v>Начисленный налог на прибыль</v>
      </c>
      <c r="B173" s="19"/>
      <c r="C173" s="26" t="str">
        <f t="shared" ref="C173:C187" ca="1" si="81">CUR_Main</f>
        <v>руб.</v>
      </c>
      <c r="D173" s="46"/>
      <c r="E173" s="19"/>
      <c r="F173" s="56">
        <f t="shared" ref="F173:J173" ca="1" si="82">F187*F171</f>
        <v>0</v>
      </c>
      <c r="G173" s="56">
        <f t="shared" ca="1" si="82"/>
        <v>0</v>
      </c>
      <c r="H173" s="56">
        <f t="shared" ca="1" si="82"/>
        <v>0</v>
      </c>
      <c r="I173" s="56">
        <f t="shared" ca="1" si="82"/>
        <v>0</v>
      </c>
      <c r="J173" s="56">
        <f t="shared" ca="1" si="82"/>
        <v>0</v>
      </c>
      <c r="K173" s="56">
        <f t="shared" ref="K173" ca="1" si="83">K187*K171</f>
        <v>0</v>
      </c>
      <c r="L173" s="19"/>
      <c r="M173" s="97">
        <f t="shared" ref="M173:M180" ca="1" si="84">SUM(F173:K173)</f>
        <v>0</v>
      </c>
    </row>
    <row r="174" spans="1:13" outlineLevel="1" collapsed="1" x14ac:dyDescent="0.2">
      <c r="A174" s="24" t="str">
        <f ca="1">Language!A187</f>
        <v xml:space="preserve">         то же, в итоговой валюте</v>
      </c>
      <c r="B174" s="19"/>
      <c r="C174" s="5" t="str">
        <f ca="1">CUR_Report</f>
        <v>руб.</v>
      </c>
      <c r="D174" s="46"/>
      <c r="E174" s="19"/>
      <c r="F174" s="53">
        <f t="shared" ref="F174:J174" ca="1" si="85">F173/IF(CUR_I_Report=2,F$88,1)</f>
        <v>0</v>
      </c>
      <c r="G174" s="53">
        <f t="shared" ca="1" si="85"/>
        <v>0</v>
      </c>
      <c r="H174" s="53">
        <f t="shared" ca="1" si="85"/>
        <v>0</v>
      </c>
      <c r="I174" s="53">
        <f t="shared" ca="1" si="85"/>
        <v>0</v>
      </c>
      <c r="J174" s="53">
        <f t="shared" ca="1" si="85"/>
        <v>0</v>
      </c>
      <c r="K174" s="53">
        <f t="shared" ref="K174" ca="1" si="86">K173/IF(CUR_I_Report=2,K$88,1)</f>
        <v>0</v>
      </c>
      <c r="L174" s="19"/>
      <c r="M174" s="66">
        <f t="shared" ca="1" si="84"/>
        <v>0</v>
      </c>
    </row>
    <row r="175" spans="1:13" hidden="1" outlineLevel="2" x14ac:dyDescent="0.2">
      <c r="A175" s="19" t="str">
        <f ca="1">Language!A188</f>
        <v xml:space="preserve">    прибыль до налогообложения</v>
      </c>
      <c r="B175" s="19"/>
      <c r="C175" s="26" t="str">
        <f t="shared" ca="1" si="81"/>
        <v>руб.</v>
      </c>
      <c r="D175" s="46"/>
      <c r="E175" s="19"/>
      <c r="F175" s="53">
        <f t="shared" ref="F175:K175" ca="1" si="87">F1150*IF(CUR_I_Report=2,F$88,1)</f>
        <v>15287500</v>
      </c>
      <c r="G175" s="53">
        <f t="shared" ca="1" si="87"/>
        <v>63127900</v>
      </c>
      <c r="H175" s="53">
        <f t="shared" ca="1" si="87"/>
        <v>98968300</v>
      </c>
      <c r="I175" s="53">
        <f t="shared" ca="1" si="87"/>
        <v>98868500</v>
      </c>
      <c r="J175" s="53">
        <f t="shared" ca="1" si="87"/>
        <v>98868500</v>
      </c>
      <c r="K175" s="53">
        <f t="shared" ca="1" si="87"/>
        <v>98867333.333333328</v>
      </c>
      <c r="L175" s="19"/>
      <c r="M175" s="66">
        <f t="shared" ca="1" si="84"/>
        <v>473988033.33333331</v>
      </c>
    </row>
    <row r="176" spans="1:13" hidden="1" outlineLevel="2" x14ac:dyDescent="0.2">
      <c r="A176" s="19" t="str">
        <f ca="1">Language!A187</f>
        <v xml:space="preserve">         то же, в итоговой валюте</v>
      </c>
      <c r="B176" s="19"/>
      <c r="C176" s="5" t="str">
        <f ca="1">CUR_Report</f>
        <v>руб.</v>
      </c>
      <c r="D176" s="46"/>
      <c r="E176" s="19"/>
      <c r="F176" s="53">
        <f t="shared" ref="F176:J176" ca="1" si="88">F175/IF(CUR_I_Report=2,F$88,1)</f>
        <v>15287500</v>
      </c>
      <c r="G176" s="53">
        <f t="shared" ca="1" si="88"/>
        <v>63127900</v>
      </c>
      <c r="H176" s="53">
        <f t="shared" ca="1" si="88"/>
        <v>98968300</v>
      </c>
      <c r="I176" s="53">
        <f t="shared" ca="1" si="88"/>
        <v>98868500</v>
      </c>
      <c r="J176" s="53">
        <f t="shared" ca="1" si="88"/>
        <v>98868500</v>
      </c>
      <c r="K176" s="53">
        <f t="shared" ref="K176" ca="1" si="89">K175/IF(CUR_I_Report=2,K$88,1)</f>
        <v>98867333.333333328</v>
      </c>
      <c r="L176" s="19"/>
      <c r="M176" s="66">
        <f t="shared" ca="1" si="84"/>
        <v>473988033.33333331</v>
      </c>
    </row>
    <row r="177" spans="1:13" hidden="1" outlineLevel="2" x14ac:dyDescent="0.2">
      <c r="A177" s="19" t="str">
        <f ca="1">Language!A189</f>
        <v xml:space="preserve">    проценты по кредиту, выплачиваемые из прибыли</v>
      </c>
      <c r="B177" s="19"/>
      <c r="C177" s="26" t="str">
        <f t="shared" ca="1" si="81"/>
        <v>руб.</v>
      </c>
      <c r="D177" s="46"/>
      <c r="E177" s="19"/>
      <c r="F177" s="53">
        <f t="shared" ref="F177:J177" ca="1" si="90">F1057</f>
        <v>0</v>
      </c>
      <c r="G177" s="53">
        <f t="shared" ca="1" si="90"/>
        <v>0</v>
      </c>
      <c r="H177" s="53">
        <f t="shared" ca="1" si="90"/>
        <v>0</v>
      </c>
      <c r="I177" s="53">
        <f t="shared" ca="1" si="90"/>
        <v>0</v>
      </c>
      <c r="J177" s="53">
        <f t="shared" ca="1" si="90"/>
        <v>0</v>
      </c>
      <c r="K177" s="53">
        <f t="shared" ref="K177" ca="1" si="91">K1057</f>
        <v>0</v>
      </c>
      <c r="L177" s="19"/>
      <c r="M177" s="66">
        <f t="shared" ca="1" si="84"/>
        <v>0</v>
      </c>
    </row>
    <row r="178" spans="1:13" hidden="1" outlineLevel="2" x14ac:dyDescent="0.2">
      <c r="A178" s="19" t="str">
        <f ca="1">Language!A187</f>
        <v xml:space="preserve">         то же, в итоговой валюте</v>
      </c>
      <c r="B178" s="19"/>
      <c r="C178" s="5" t="str">
        <f ca="1">CUR_Report</f>
        <v>руб.</v>
      </c>
      <c r="D178" s="46"/>
      <c r="E178" s="19"/>
      <c r="F178" s="53">
        <f t="shared" ref="F178:J178" ca="1" si="92">F177/IF(CUR_I_Report=2,F$88,1)</f>
        <v>0</v>
      </c>
      <c r="G178" s="53">
        <f t="shared" ca="1" si="92"/>
        <v>0</v>
      </c>
      <c r="H178" s="53">
        <f t="shared" ca="1" si="92"/>
        <v>0</v>
      </c>
      <c r="I178" s="53">
        <f t="shared" ca="1" si="92"/>
        <v>0</v>
      </c>
      <c r="J178" s="53">
        <f t="shared" ca="1" si="92"/>
        <v>0</v>
      </c>
      <c r="K178" s="53">
        <f t="shared" ref="K178" ca="1" si="93">K177/IF(CUR_I_Report=2,K$88,1)</f>
        <v>0</v>
      </c>
      <c r="L178" s="19"/>
      <c r="M178" s="66">
        <f t="shared" ca="1" si="84"/>
        <v>0</v>
      </c>
    </row>
    <row r="179" spans="1:13" hidden="1" outlineLevel="2" x14ac:dyDescent="0.2">
      <c r="A179" s="19" t="str">
        <f ca="1">Language!A190</f>
        <v xml:space="preserve">    льготы по налогу на прибыль</v>
      </c>
      <c r="B179" s="19"/>
      <c r="C179" s="26" t="str">
        <f t="shared" ca="1" si="81"/>
        <v>руб.</v>
      </c>
      <c r="D179" s="46"/>
      <c r="E179" s="19"/>
      <c r="F179" s="264">
        <v>0</v>
      </c>
      <c r="G179" s="264">
        <v>0</v>
      </c>
      <c r="H179" s="264">
        <v>0</v>
      </c>
      <c r="I179" s="264">
        <v>0</v>
      </c>
      <c r="J179" s="264">
        <v>0</v>
      </c>
      <c r="K179" s="264">
        <v>0</v>
      </c>
      <c r="L179" s="19"/>
      <c r="M179" s="66">
        <f t="shared" si="84"/>
        <v>0</v>
      </c>
    </row>
    <row r="180" spans="1:13" hidden="1" outlineLevel="2" x14ac:dyDescent="0.2">
      <c r="A180" s="19" t="str">
        <f ca="1">Language!A187</f>
        <v xml:space="preserve">         то же, в итоговой валюте</v>
      </c>
      <c r="B180" s="19"/>
      <c r="C180" s="5" t="str">
        <f ca="1">CUR_Report</f>
        <v>руб.</v>
      </c>
      <c r="D180" s="46"/>
      <c r="E180" s="19"/>
      <c r="F180" s="102">
        <f t="shared" ref="F180:J180" si="94">F179/IF(CUR_I_Report=2,F$88,1)</f>
        <v>0</v>
      </c>
      <c r="G180" s="102">
        <f t="shared" si="94"/>
        <v>0</v>
      </c>
      <c r="H180" s="102">
        <f t="shared" si="94"/>
        <v>0</v>
      </c>
      <c r="I180" s="102">
        <f t="shared" si="94"/>
        <v>0</v>
      </c>
      <c r="J180" s="102">
        <f t="shared" si="94"/>
        <v>0</v>
      </c>
      <c r="K180" s="102">
        <f t="shared" ref="K180" si="95">K179/IF(CUR_I_Report=2,K$88,1)</f>
        <v>0</v>
      </c>
      <c r="L180" s="19"/>
      <c r="M180" s="66">
        <f t="shared" si="84"/>
        <v>0</v>
      </c>
    </row>
    <row r="181" spans="1:13" hidden="1" outlineLevel="2" x14ac:dyDescent="0.2">
      <c r="A181" s="19" t="str">
        <f ca="1">Language!A191</f>
        <v xml:space="preserve">    накопленная прибыль/убытки текущего года</v>
      </c>
      <c r="B181" s="19"/>
      <c r="C181" s="26" t="str">
        <f t="shared" ca="1" si="81"/>
        <v>руб.</v>
      </c>
      <c r="D181" s="16" t="s">
        <v>384</v>
      </c>
      <c r="E181" s="19"/>
      <c r="F181" s="53">
        <f t="shared" ref="F181:K181" ca="1" si="96">IF(YEAR(F$31)=YEAR(E$31),E181,0)+F175+F177-F179</f>
        <v>15287500</v>
      </c>
      <c r="G181" s="53">
        <f t="shared" ca="1" si="96"/>
        <v>78415400</v>
      </c>
      <c r="H181" s="53">
        <f t="shared" ca="1" si="96"/>
        <v>177383700</v>
      </c>
      <c r="I181" s="53">
        <f t="shared" ca="1" si="96"/>
        <v>276252200</v>
      </c>
      <c r="J181" s="53">
        <f t="shared" ca="1" si="96"/>
        <v>375120700</v>
      </c>
      <c r="K181" s="53">
        <f t="shared" ca="1" si="96"/>
        <v>473988033.33333331</v>
      </c>
      <c r="L181" s="19"/>
      <c r="M181" s="22"/>
    </row>
    <row r="182" spans="1:13" hidden="1" outlineLevel="2" x14ac:dyDescent="0.2">
      <c r="A182" s="19" t="str">
        <f ca="1">Language!A187</f>
        <v xml:space="preserve">         то же, в итоговой валюте</v>
      </c>
      <c r="B182" s="19"/>
      <c r="C182" s="5" t="str">
        <f ca="1">CUR_Report</f>
        <v>руб.</v>
      </c>
      <c r="D182" s="16" t="s">
        <v>384</v>
      </c>
      <c r="E182" s="19"/>
      <c r="F182" s="53">
        <f t="shared" ref="F182:J182" ca="1" si="97">F181/IF(CUR_I_Report=2,F$88,1)</f>
        <v>15287500</v>
      </c>
      <c r="G182" s="53">
        <f t="shared" ca="1" si="97"/>
        <v>78415400</v>
      </c>
      <c r="H182" s="53">
        <f t="shared" ca="1" si="97"/>
        <v>177383700</v>
      </c>
      <c r="I182" s="53">
        <f t="shared" ca="1" si="97"/>
        <v>276252200</v>
      </c>
      <c r="J182" s="53">
        <f t="shared" ca="1" si="97"/>
        <v>375120700</v>
      </c>
      <c r="K182" s="53">
        <f t="shared" ref="K182" ca="1" si="98">K181/IF(CUR_I_Report=2,K$88,1)</f>
        <v>473988033.33333331</v>
      </c>
      <c r="L182" s="19"/>
      <c r="M182" s="22"/>
    </row>
    <row r="183" spans="1:13" hidden="1" outlineLevel="2" x14ac:dyDescent="0.2">
      <c r="A183" s="19" t="str">
        <f ca="1">Language!A192</f>
        <v xml:space="preserve">    убытки предыдущих периодов</v>
      </c>
      <c r="B183" s="19"/>
      <c r="C183" s="26" t="str">
        <f t="shared" ca="1" si="81"/>
        <v>руб.</v>
      </c>
      <c r="D183" s="16" t="s">
        <v>384</v>
      </c>
      <c r="E183" s="19"/>
      <c r="F183" s="53">
        <f t="shared" ref="F183:K183" si="99">MIN(E175+E177-E179,0)+E183-E185</f>
        <v>0</v>
      </c>
      <c r="G183" s="53">
        <f t="shared" ca="1" si="99"/>
        <v>0</v>
      </c>
      <c r="H183" s="53">
        <f t="shared" ca="1" si="99"/>
        <v>0</v>
      </c>
      <c r="I183" s="53">
        <f t="shared" ca="1" si="99"/>
        <v>0</v>
      </c>
      <c r="J183" s="53">
        <f t="shared" ca="1" si="99"/>
        <v>0</v>
      </c>
      <c r="K183" s="53">
        <f t="shared" ca="1" si="99"/>
        <v>0</v>
      </c>
      <c r="L183" s="19"/>
      <c r="M183" s="22"/>
    </row>
    <row r="184" spans="1:13" hidden="1" outlineLevel="2" x14ac:dyDescent="0.2">
      <c r="A184" s="19" t="str">
        <f ca="1">Language!A187</f>
        <v xml:space="preserve">         то же, в итоговой валюте</v>
      </c>
      <c r="B184" s="19"/>
      <c r="C184" s="5" t="str">
        <f ca="1">CUR_Report</f>
        <v>руб.</v>
      </c>
      <c r="D184" s="16" t="s">
        <v>384</v>
      </c>
      <c r="E184" s="19"/>
      <c r="F184" s="53">
        <f t="shared" ref="F184:J184" si="100">F183/IF(CUR_I_Report=2,F$88,1)</f>
        <v>0</v>
      </c>
      <c r="G184" s="53">
        <f t="shared" ca="1" si="100"/>
        <v>0</v>
      </c>
      <c r="H184" s="53">
        <f t="shared" ca="1" si="100"/>
        <v>0</v>
      </c>
      <c r="I184" s="53">
        <f t="shared" ca="1" si="100"/>
        <v>0</v>
      </c>
      <c r="J184" s="53">
        <f t="shared" ca="1" si="100"/>
        <v>0</v>
      </c>
      <c r="K184" s="53">
        <f t="shared" ref="K184" ca="1" si="101">K183/IF(CUR_I_Report=2,K$88,1)</f>
        <v>0</v>
      </c>
      <c r="L184" s="19"/>
      <c r="M184" s="22"/>
    </row>
    <row r="185" spans="1:13" hidden="1" outlineLevel="2" x14ac:dyDescent="0.2">
      <c r="A185" s="19" t="str">
        <f ca="1">Language!A193</f>
        <v xml:space="preserve">    списано убытков предыдущих лет</v>
      </c>
      <c r="B185" s="19"/>
      <c r="C185" s="26" t="str">
        <f t="shared" ca="1" si="81"/>
        <v>руб.</v>
      </c>
      <c r="D185" s="46"/>
      <c r="E185" s="19"/>
      <c r="F185" s="53">
        <f t="shared" ref="F185:J185" ca="1" si="102">-IF(MIN(F175+F177-F179,F181)&gt;0,MIN(-F183,F175+F177-F179),0)</f>
        <v>0</v>
      </c>
      <c r="G185" s="53">
        <f t="shared" ca="1" si="102"/>
        <v>0</v>
      </c>
      <c r="H185" s="53">
        <f t="shared" ca="1" si="102"/>
        <v>0</v>
      </c>
      <c r="I185" s="53">
        <f t="shared" ca="1" si="102"/>
        <v>0</v>
      </c>
      <c r="J185" s="53">
        <f t="shared" ca="1" si="102"/>
        <v>0</v>
      </c>
      <c r="K185" s="53">
        <f t="shared" ref="K185" ca="1" si="103">-IF(MIN(K175+K177-K179,K181)&gt;0,MIN(-K183,K175+K177-K179),0)</f>
        <v>0</v>
      </c>
      <c r="L185" s="19"/>
      <c r="M185" s="22"/>
    </row>
    <row r="186" spans="1:13" hidden="1" outlineLevel="2" x14ac:dyDescent="0.2">
      <c r="A186" s="19" t="str">
        <f ca="1">Language!A187</f>
        <v xml:space="preserve">         то же, в итоговой валюте</v>
      </c>
      <c r="B186" s="19"/>
      <c r="C186" s="5" t="str">
        <f ca="1">CUR_Report</f>
        <v>руб.</v>
      </c>
      <c r="D186" s="46"/>
      <c r="E186" s="19"/>
      <c r="F186" s="53">
        <f t="shared" ref="F186:J186" ca="1" si="104">F185/IF(CUR_I_Report=2,F$88,1)</f>
        <v>0</v>
      </c>
      <c r="G186" s="53">
        <f t="shared" ca="1" si="104"/>
        <v>0</v>
      </c>
      <c r="H186" s="53">
        <f t="shared" ca="1" si="104"/>
        <v>0</v>
      </c>
      <c r="I186" s="53">
        <f t="shared" ca="1" si="104"/>
        <v>0</v>
      </c>
      <c r="J186" s="53">
        <f t="shared" ca="1" si="104"/>
        <v>0</v>
      </c>
      <c r="K186" s="53">
        <f t="shared" ref="K186" ca="1" si="105">K185/IF(CUR_I_Report=2,K$88,1)</f>
        <v>0</v>
      </c>
      <c r="L186" s="19"/>
      <c r="M186" s="22"/>
    </row>
    <row r="187" spans="1:13" hidden="1" outlineLevel="2" x14ac:dyDescent="0.2">
      <c r="A187" s="19" t="str">
        <f ca="1">Language!A194</f>
        <v xml:space="preserve">    прибыль, на которую начисляется налог</v>
      </c>
      <c r="B187" s="19"/>
      <c r="C187" s="26" t="str">
        <f t="shared" ca="1" si="81"/>
        <v>руб.</v>
      </c>
      <c r="D187" s="46"/>
      <c r="E187" s="19"/>
      <c r="F187" s="53">
        <f t="shared" ref="F187:J187" ca="1" si="106">MAX(IF(F181&gt;0,F175+F177-F179+F185,0),0)</f>
        <v>15287500</v>
      </c>
      <c r="G187" s="53">
        <f t="shared" ca="1" si="106"/>
        <v>63127900</v>
      </c>
      <c r="H187" s="53">
        <f t="shared" ca="1" si="106"/>
        <v>98968300</v>
      </c>
      <c r="I187" s="53">
        <f t="shared" ca="1" si="106"/>
        <v>98868500</v>
      </c>
      <c r="J187" s="53">
        <f t="shared" ca="1" si="106"/>
        <v>98868500</v>
      </c>
      <c r="K187" s="53">
        <f t="shared" ref="K187" ca="1" si="107">MAX(IF(K181&gt;0,K175+K177-K179+K185,0),0)</f>
        <v>98867333.333333328</v>
      </c>
      <c r="L187" s="19"/>
      <c r="M187" s="22"/>
    </row>
    <row r="188" spans="1:13" hidden="1" outlineLevel="2" x14ac:dyDescent="0.2">
      <c r="A188" s="19" t="str">
        <f ca="1">Language!A187</f>
        <v xml:space="preserve">         то же, в итоговой валюте</v>
      </c>
      <c r="B188" s="19"/>
      <c r="C188" s="5" t="str">
        <f ca="1">CUR_Report</f>
        <v>руб.</v>
      </c>
      <c r="D188" s="46"/>
      <c r="E188" s="19"/>
      <c r="F188" s="53">
        <f t="shared" ref="F188:J188" ca="1" si="108">F187/IF(CUR_I_Report=2,F$88,1)</f>
        <v>15287500</v>
      </c>
      <c r="G188" s="53">
        <f t="shared" ca="1" si="108"/>
        <v>63127900</v>
      </c>
      <c r="H188" s="53">
        <f t="shared" ca="1" si="108"/>
        <v>98968300</v>
      </c>
      <c r="I188" s="53">
        <f t="shared" ca="1" si="108"/>
        <v>98868500</v>
      </c>
      <c r="J188" s="53">
        <f t="shared" ca="1" si="108"/>
        <v>98868500</v>
      </c>
      <c r="K188" s="53">
        <f t="shared" ref="K188" ca="1" si="109">K187/IF(CUR_I_Report=2,K$88,1)</f>
        <v>98867333.333333328</v>
      </c>
      <c r="L188" s="19"/>
      <c r="M188" s="22"/>
    </row>
    <row r="189" spans="1:13" outlineLevel="1" x14ac:dyDescent="0.2">
      <c r="A189" s="19"/>
      <c r="B189" s="19"/>
      <c r="C189" s="26"/>
      <c r="D189" s="46"/>
      <c r="E189" s="19"/>
      <c r="F189" s="47"/>
      <c r="G189" s="47"/>
      <c r="H189" s="47"/>
      <c r="I189" s="47"/>
      <c r="J189" s="47"/>
      <c r="K189" s="47"/>
      <c r="L189" s="19"/>
      <c r="M189" s="22"/>
    </row>
    <row r="190" spans="1:13" outlineLevel="1" x14ac:dyDescent="0.2">
      <c r="A190" s="63"/>
      <c r="B190" s="63"/>
      <c r="C190" s="67"/>
      <c r="D190" s="60"/>
      <c r="E190" s="63"/>
      <c r="F190" s="68"/>
      <c r="G190" s="68"/>
      <c r="H190" s="68"/>
      <c r="I190" s="68"/>
      <c r="J190" s="68"/>
      <c r="K190" s="68"/>
      <c r="L190" s="63"/>
      <c r="M190" s="64"/>
    </row>
    <row r="191" spans="1:13" outlineLevel="1" collapsed="1" x14ac:dyDescent="0.2">
      <c r="A191" s="24" t="str">
        <f ca="1">Language!A195</f>
        <v>СПЕЦИАЛЬНЫЕ РЕЖИМЫ НАЛОГООБЛОЖЕНИЯ</v>
      </c>
      <c r="B191" s="19"/>
      <c r="C191" s="26"/>
      <c r="D191" s="46"/>
      <c r="E191" s="19"/>
      <c r="F191" s="47"/>
      <c r="G191" s="47"/>
      <c r="H191" s="47"/>
      <c r="I191" s="47"/>
      <c r="J191" s="47"/>
      <c r="K191" s="47"/>
      <c r="L191" s="19"/>
      <c r="M191" s="22"/>
    </row>
    <row r="192" spans="1:13" hidden="1" outlineLevel="2" x14ac:dyDescent="0.2">
      <c r="A192" s="63"/>
      <c r="B192" s="63"/>
      <c r="C192" s="67"/>
      <c r="D192" s="60"/>
      <c r="E192" s="63"/>
      <c r="F192" s="68"/>
      <c r="G192" s="68"/>
      <c r="H192" s="68"/>
      <c r="I192" s="68"/>
      <c r="J192" s="68"/>
      <c r="K192" s="68"/>
      <c r="L192" s="63"/>
      <c r="M192" s="64"/>
    </row>
    <row r="193" spans="1:13" hidden="1" outlineLevel="2" x14ac:dyDescent="0.2">
      <c r="A193" s="62" t="str">
        <f ca="1">Language!A196</f>
        <v>ЕДИНЫЙ НАЛОГ НА ВМЕНЕННЫЙ ДОХОД</v>
      </c>
      <c r="B193" s="19"/>
      <c r="C193" s="26"/>
      <c r="D193" s="46"/>
      <c r="E193" s="19"/>
      <c r="F193" s="47"/>
      <c r="G193" s="47"/>
      <c r="H193" s="47"/>
      <c r="I193" s="47"/>
      <c r="J193" s="47"/>
      <c r="K193" s="47"/>
      <c r="L193" s="19"/>
      <c r="M193" s="22"/>
    </row>
    <row r="194" spans="1:13" hidden="1" outlineLevel="2" x14ac:dyDescent="0.2">
      <c r="A194" s="19"/>
      <c r="B194" s="19"/>
      <c r="C194" s="26"/>
      <c r="D194" s="46"/>
      <c r="E194" s="19"/>
      <c r="F194" s="47"/>
      <c r="G194" s="47"/>
      <c r="H194" s="47"/>
      <c r="I194" s="47"/>
      <c r="J194" s="47"/>
      <c r="K194" s="47"/>
      <c r="L194" s="19"/>
      <c r="M194" s="22"/>
    </row>
    <row r="195" spans="1:13" s="48" customFormat="1" hidden="1" outlineLevel="2" x14ac:dyDescent="0.2">
      <c r="A195" s="45" t="str">
        <f ca="1">Language!A184</f>
        <v xml:space="preserve">    ставка</v>
      </c>
      <c r="B195" s="260">
        <f>IF(B104=2,15%,0%)</f>
        <v>0</v>
      </c>
      <c r="C195" s="26" t="s">
        <v>177</v>
      </c>
      <c r="D195" s="16" t="s">
        <v>176</v>
      </c>
      <c r="E195" s="19"/>
      <c r="F195" s="47">
        <f>B195</f>
        <v>0</v>
      </c>
      <c r="G195" s="47">
        <f t="shared" ref="G195:K195" si="110">F195</f>
        <v>0</v>
      </c>
      <c r="H195" s="47">
        <f t="shared" si="110"/>
        <v>0</v>
      </c>
      <c r="I195" s="47">
        <f t="shared" si="110"/>
        <v>0</v>
      </c>
      <c r="J195" s="47">
        <f t="shared" si="110"/>
        <v>0</v>
      </c>
      <c r="K195" s="47">
        <f t="shared" si="110"/>
        <v>0</v>
      </c>
      <c r="L195" s="45"/>
      <c r="M195" s="77"/>
    </row>
    <row r="196" spans="1:13" s="48" customFormat="1" hidden="1" outlineLevel="2" x14ac:dyDescent="0.2">
      <c r="A196" s="45" t="str">
        <f ca="1">Language!A185</f>
        <v xml:space="preserve">    период уплаты</v>
      </c>
      <c r="B196" s="259">
        <v>90</v>
      </c>
      <c r="C196" s="26" t="str">
        <f ca="1">Language!A218</f>
        <v>дней</v>
      </c>
      <c r="D196" s="16"/>
      <c r="E196" s="19"/>
      <c r="F196" s="47"/>
      <c r="G196" s="47"/>
      <c r="H196" s="47"/>
      <c r="I196" s="47"/>
      <c r="J196" s="47"/>
      <c r="K196" s="47"/>
      <c r="L196" s="45"/>
      <c r="M196" s="77"/>
    </row>
    <row r="197" spans="1:13" hidden="1" outlineLevel="2" x14ac:dyDescent="0.2">
      <c r="A197" s="19" t="str">
        <f ca="1">Language!A199</f>
        <v>Физический показатель доходности</v>
      </c>
      <c r="B197" s="265">
        <v>0</v>
      </c>
      <c r="C197" s="261" t="str">
        <f ca="1">Language!A529</f>
        <v>ед.</v>
      </c>
      <c r="D197" s="46"/>
      <c r="E197" s="19"/>
      <c r="F197" s="264">
        <f>B197</f>
        <v>0</v>
      </c>
      <c r="G197" s="264">
        <f t="shared" ref="G197:K197" si="111">F197</f>
        <v>0</v>
      </c>
      <c r="H197" s="264">
        <f t="shared" si="111"/>
        <v>0</v>
      </c>
      <c r="I197" s="264">
        <f t="shared" si="111"/>
        <v>0</v>
      </c>
      <c r="J197" s="264">
        <f t="shared" si="111"/>
        <v>0</v>
      </c>
      <c r="K197" s="264">
        <f t="shared" si="111"/>
        <v>0</v>
      </c>
      <c r="L197" s="19"/>
      <c r="M197" s="22"/>
    </row>
    <row r="198" spans="1:13" hidden="1" outlineLevel="2" x14ac:dyDescent="0.2">
      <c r="A198" s="19" t="str">
        <f ca="1">Language!A200</f>
        <v>Базовая доходность</v>
      </c>
      <c r="B198" s="265">
        <v>0</v>
      </c>
      <c r="C198" s="26" t="str">
        <f ca="1">CUR_Main&amp;" / "&amp;C197</f>
        <v>руб. / ед.</v>
      </c>
      <c r="D198" s="46"/>
      <c r="E198" s="19"/>
      <c r="F198" s="102">
        <f>B198</f>
        <v>0</v>
      </c>
      <c r="G198" s="102">
        <f t="shared" ref="G198:K198" si="112">F198</f>
        <v>0</v>
      </c>
      <c r="H198" s="102">
        <f t="shared" si="112"/>
        <v>0</v>
      </c>
      <c r="I198" s="102">
        <f t="shared" si="112"/>
        <v>0</v>
      </c>
      <c r="J198" s="102">
        <f t="shared" si="112"/>
        <v>0</v>
      </c>
      <c r="K198" s="102">
        <f t="shared" si="112"/>
        <v>0</v>
      </c>
      <c r="L198" s="19"/>
      <c r="M198" s="22"/>
    </row>
    <row r="199" spans="1:13" hidden="1" outlineLevel="2" x14ac:dyDescent="0.2">
      <c r="A199" s="19" t="str">
        <f ca="1">Language!A201</f>
        <v>Коэффициент-дефлятор К1</v>
      </c>
      <c r="B199" s="266">
        <v>1</v>
      </c>
      <c r="C199" s="26" t="str">
        <f ca="1">Language!A197</f>
        <v>разы</v>
      </c>
      <c r="D199" s="46"/>
      <c r="E199" s="19"/>
      <c r="F199" s="267">
        <f>B199</f>
        <v>1</v>
      </c>
      <c r="G199" s="267">
        <f t="shared" ref="G199:K199" si="113">F199</f>
        <v>1</v>
      </c>
      <c r="H199" s="267">
        <f t="shared" si="113"/>
        <v>1</v>
      </c>
      <c r="I199" s="267">
        <f t="shared" si="113"/>
        <v>1</v>
      </c>
      <c r="J199" s="267">
        <f t="shared" si="113"/>
        <v>1</v>
      </c>
      <c r="K199" s="267">
        <f t="shared" si="113"/>
        <v>1</v>
      </c>
      <c r="L199" s="19"/>
      <c r="M199" s="22"/>
    </row>
    <row r="200" spans="1:13" hidden="1" outlineLevel="2" x14ac:dyDescent="0.2">
      <c r="A200" s="19" t="str">
        <f ca="1">Language!A202</f>
        <v>Корректирующий коэффициент К2</v>
      </c>
      <c r="B200" s="266">
        <v>1</v>
      </c>
      <c r="C200" s="26" t="str">
        <f ca="1">Language!A197</f>
        <v>разы</v>
      </c>
      <c r="D200" s="46"/>
      <c r="E200" s="19"/>
      <c r="F200" s="267">
        <f>B200</f>
        <v>1</v>
      </c>
      <c r="G200" s="267">
        <f t="shared" ref="G200:K200" si="114">F200</f>
        <v>1</v>
      </c>
      <c r="H200" s="267">
        <f t="shared" si="114"/>
        <v>1</v>
      </c>
      <c r="I200" s="267">
        <f t="shared" si="114"/>
        <v>1</v>
      </c>
      <c r="J200" s="267">
        <f t="shared" si="114"/>
        <v>1</v>
      </c>
      <c r="K200" s="267">
        <f t="shared" si="114"/>
        <v>1</v>
      </c>
      <c r="L200" s="19"/>
      <c r="M200" s="22"/>
    </row>
    <row r="201" spans="1:13" hidden="1" outlineLevel="2" x14ac:dyDescent="0.2">
      <c r="A201" s="125" t="str">
        <f ca="1">Language!A198</f>
        <v>Начисленный налог на вмененный доход</v>
      </c>
      <c r="B201" s="19"/>
      <c r="C201" s="26" t="str">
        <f ca="1">CUR_Main</f>
        <v>руб.</v>
      </c>
      <c r="D201" s="46"/>
      <c r="E201" s="19"/>
      <c r="F201" s="99">
        <f t="shared" ref="F201:J201" si="115">F203*F195-MIN(F204,50%*F203*F195)</f>
        <v>0</v>
      </c>
      <c r="G201" s="99">
        <f t="shared" si="115"/>
        <v>0</v>
      </c>
      <c r="H201" s="99">
        <f t="shared" si="115"/>
        <v>0</v>
      </c>
      <c r="I201" s="99">
        <f t="shared" si="115"/>
        <v>0</v>
      </c>
      <c r="J201" s="99">
        <f t="shared" si="115"/>
        <v>0</v>
      </c>
      <c r="K201" s="99">
        <f t="shared" ref="K201" si="116">K203*K195-MIN(K204,50%*K203*K195)</f>
        <v>0</v>
      </c>
      <c r="L201" s="19"/>
      <c r="M201" s="97">
        <f>SUM(F201:K201)</f>
        <v>0</v>
      </c>
    </row>
    <row r="202" spans="1:13" hidden="1" outlineLevel="2" x14ac:dyDescent="0.2">
      <c r="A202" s="24" t="str">
        <f ca="1">Language!A187</f>
        <v xml:space="preserve">         то же, в итоговой валюте</v>
      </c>
      <c r="B202" s="19"/>
      <c r="C202" s="5" t="str">
        <f ca="1">CUR_Report</f>
        <v>руб.</v>
      </c>
      <c r="D202" s="46"/>
      <c r="E202" s="19"/>
      <c r="F202" s="53">
        <f t="shared" ref="F202:J202" si="117">F201/IF(CUR_I_Report=2,F$88,1)</f>
        <v>0</v>
      </c>
      <c r="G202" s="53">
        <f t="shared" si="117"/>
        <v>0</v>
      </c>
      <c r="H202" s="53">
        <f t="shared" si="117"/>
        <v>0</v>
      </c>
      <c r="I202" s="53">
        <f t="shared" si="117"/>
        <v>0</v>
      </c>
      <c r="J202" s="53">
        <f t="shared" si="117"/>
        <v>0</v>
      </c>
      <c r="K202" s="53">
        <f t="shared" ref="K202" si="118">K201/IF(CUR_I_Report=2,K$88,1)</f>
        <v>0</v>
      </c>
      <c r="L202" s="19"/>
      <c r="M202" s="66">
        <f>SUM(F202:K202)</f>
        <v>0</v>
      </c>
    </row>
    <row r="203" spans="1:13" hidden="1" outlineLevel="2" x14ac:dyDescent="0.2">
      <c r="A203" s="19" t="str">
        <f ca="1">Language!A203</f>
        <v>Величина вмененного дохода</v>
      </c>
      <c r="B203" s="19"/>
      <c r="C203" s="26" t="str">
        <f ca="1">CUR_Main</f>
        <v>руб.</v>
      </c>
      <c r="D203" s="46"/>
      <c r="E203" s="19"/>
      <c r="F203" s="65">
        <f t="shared" ref="F203:J203" si="119">F197*F198*F199*F200</f>
        <v>0</v>
      </c>
      <c r="G203" s="65">
        <f t="shared" si="119"/>
        <v>0</v>
      </c>
      <c r="H203" s="65">
        <f t="shared" si="119"/>
        <v>0</v>
      </c>
      <c r="I203" s="65">
        <f t="shared" si="119"/>
        <v>0</v>
      </c>
      <c r="J203" s="65">
        <f t="shared" si="119"/>
        <v>0</v>
      </c>
      <c r="K203" s="65">
        <f t="shared" ref="K203" si="120">K197*K198*K199*K200</f>
        <v>0</v>
      </c>
      <c r="L203" s="19"/>
      <c r="M203" s="66">
        <f>SUM(F203:K203)</f>
        <v>0</v>
      </c>
    </row>
    <row r="204" spans="1:13" hidden="1" outlineLevel="2" x14ac:dyDescent="0.2">
      <c r="A204" s="62" t="str">
        <f ca="1">Language!A204</f>
        <v>Взносы на обязательное пенсионное страхование</v>
      </c>
      <c r="B204" s="19"/>
      <c r="C204" s="26" t="str">
        <f ca="1">CUR_Main</f>
        <v>руб.</v>
      </c>
      <c r="D204" s="46"/>
      <c r="E204" s="19"/>
      <c r="F204" s="99">
        <f t="shared" ref="F204:J204" si="121">F205*F207</f>
        <v>0</v>
      </c>
      <c r="G204" s="99">
        <f t="shared" si="121"/>
        <v>0</v>
      </c>
      <c r="H204" s="99">
        <f t="shared" si="121"/>
        <v>0</v>
      </c>
      <c r="I204" s="99">
        <f t="shared" si="121"/>
        <v>0</v>
      </c>
      <c r="J204" s="99">
        <f t="shared" si="121"/>
        <v>0</v>
      </c>
      <c r="K204" s="99">
        <f t="shared" ref="K204" si="122">K205*K207</f>
        <v>0</v>
      </c>
      <c r="L204" s="62"/>
      <c r="M204" s="97">
        <f>SUM(F204:K204)</f>
        <v>0</v>
      </c>
    </row>
    <row r="205" spans="1:13" hidden="1" outlineLevel="2" x14ac:dyDescent="0.2">
      <c r="A205" s="19" t="str">
        <f ca="1">Language!A205</f>
        <v xml:space="preserve">    ставка</v>
      </c>
      <c r="B205" s="260">
        <f>IF(B104=2,14%,0%)</f>
        <v>0</v>
      </c>
      <c r="C205" s="26" t="s">
        <v>177</v>
      </c>
      <c r="D205" s="16" t="s">
        <v>176</v>
      </c>
      <c r="E205" s="19"/>
      <c r="F205" s="47">
        <f>B205</f>
        <v>0</v>
      </c>
      <c r="G205" s="47">
        <f t="shared" ref="G205:K205" si="123">F205</f>
        <v>0</v>
      </c>
      <c r="H205" s="47">
        <f t="shared" si="123"/>
        <v>0</v>
      </c>
      <c r="I205" s="47">
        <f t="shared" si="123"/>
        <v>0</v>
      </c>
      <c r="J205" s="47">
        <f t="shared" si="123"/>
        <v>0</v>
      </c>
      <c r="K205" s="47">
        <f t="shared" si="123"/>
        <v>0</v>
      </c>
      <c r="L205" s="19"/>
      <c r="M205" s="22"/>
    </row>
    <row r="206" spans="1:13" hidden="1" outlineLevel="2" x14ac:dyDescent="0.2">
      <c r="A206" s="19" t="str">
        <f ca="1">Language!A182</f>
        <v xml:space="preserve">    период уплаты</v>
      </c>
      <c r="B206" s="259">
        <v>90</v>
      </c>
      <c r="C206" s="26" t="str">
        <f ca="1">Language!A218</f>
        <v>дней</v>
      </c>
      <c r="D206" s="16"/>
      <c r="E206" s="19"/>
      <c r="F206" s="47"/>
      <c r="G206" s="47"/>
      <c r="H206" s="47"/>
      <c r="I206" s="47"/>
      <c r="J206" s="47"/>
      <c r="K206" s="47"/>
      <c r="L206" s="19"/>
      <c r="M206" s="22"/>
    </row>
    <row r="207" spans="1:13" hidden="1" outlineLevel="2" x14ac:dyDescent="0.2">
      <c r="A207" s="19" t="str">
        <f ca="1">Language!A207</f>
        <v xml:space="preserve">    облагаемая база</v>
      </c>
      <c r="B207" s="19"/>
      <c r="C207" s="26" t="str">
        <f ca="1">CUR_Main</f>
        <v>руб.</v>
      </c>
      <c r="D207" s="46"/>
      <c r="E207" s="19"/>
      <c r="F207" s="65">
        <f t="shared" ref="F207:J207" si="124">F841</f>
        <v>625000</v>
      </c>
      <c r="G207" s="65">
        <f t="shared" si="124"/>
        <v>765000</v>
      </c>
      <c r="H207" s="65">
        <f t="shared" si="124"/>
        <v>905000</v>
      </c>
      <c r="I207" s="65">
        <f t="shared" si="124"/>
        <v>975000</v>
      </c>
      <c r="J207" s="65">
        <f t="shared" si="124"/>
        <v>975000</v>
      </c>
      <c r="K207" s="65">
        <f t="shared" ref="K207" si="125">K841</f>
        <v>975000</v>
      </c>
      <c r="L207" s="19"/>
      <c r="M207" s="66">
        <f>SUM(F207:K207)</f>
        <v>5220000</v>
      </c>
    </row>
    <row r="208" spans="1:13" hidden="1" outlineLevel="2" x14ac:dyDescent="0.2"/>
    <row r="209" spans="1:13" hidden="1" outlineLevel="2" x14ac:dyDescent="0.2">
      <c r="A209" s="63"/>
      <c r="B209" s="63"/>
      <c r="C209" s="63"/>
      <c r="D209" s="63"/>
      <c r="E209" s="63"/>
      <c r="F209" s="63"/>
      <c r="G209" s="63"/>
      <c r="H209" s="63"/>
      <c r="I209" s="63"/>
      <c r="J209" s="63"/>
      <c r="K209" s="63"/>
      <c r="L209" s="63"/>
      <c r="M209" s="64"/>
    </row>
    <row r="210" spans="1:13" hidden="1" outlineLevel="2" x14ac:dyDescent="0.2">
      <c r="A210" s="35" t="str">
        <f ca="1">Language!A209</f>
        <v>УПРОЩЕННАЯ СИСТЕМА НАЛОГООБЛОЖЕНИЯ</v>
      </c>
    </row>
    <row r="211" spans="1:13" hidden="1" outlineLevel="2" x14ac:dyDescent="0.2">
      <c r="F211" s="43"/>
      <c r="G211" s="43"/>
      <c r="H211" s="43"/>
      <c r="I211" s="43"/>
      <c r="J211" s="43"/>
      <c r="K211" s="43"/>
      <c r="L211" s="43"/>
      <c r="M211" s="54"/>
    </row>
    <row r="212" spans="1:13" hidden="1" outlineLevel="2" x14ac:dyDescent="0.2">
      <c r="A212" t="str">
        <f ca="1">Language!A212</f>
        <v>Объект налогообложения</v>
      </c>
      <c r="B212" s="255">
        <v>1</v>
      </c>
      <c r="C212" s="292" t="str">
        <f ca="1">CHOOSE(B212,Language!A210,Language!A211)</f>
        <v>Доходы</v>
      </c>
      <c r="F212" s="43"/>
      <c r="G212" s="43"/>
      <c r="H212" s="43"/>
      <c r="I212" s="43"/>
      <c r="J212" s="43"/>
      <c r="K212" s="43"/>
      <c r="L212" s="43"/>
      <c r="M212" s="54"/>
    </row>
    <row r="213" spans="1:13" hidden="1" outlineLevel="2" x14ac:dyDescent="0.2">
      <c r="A213" s="19" t="str">
        <f ca="1">Language!A184</f>
        <v xml:space="preserve">    ставка</v>
      </c>
      <c r="B213" s="260">
        <f>IF(B104=3,IF(B212=1,6%,15%),0%)</f>
        <v>0.06</v>
      </c>
      <c r="C213" s="26" t="s">
        <v>177</v>
      </c>
      <c r="D213" s="16" t="s">
        <v>176</v>
      </c>
      <c r="F213" s="43"/>
      <c r="G213" s="43"/>
      <c r="H213" s="43"/>
      <c r="I213" s="43"/>
      <c r="J213" s="43"/>
      <c r="K213" s="43"/>
      <c r="L213" s="43"/>
      <c r="M213" s="54"/>
    </row>
    <row r="214" spans="1:13" hidden="1" outlineLevel="2" x14ac:dyDescent="0.2">
      <c r="A214" s="19" t="str">
        <f ca="1">Language!A185</f>
        <v xml:space="preserve">    период уплаты</v>
      </c>
      <c r="B214" s="259">
        <v>90</v>
      </c>
      <c r="C214" s="26" t="str">
        <f ca="1">Language!A218</f>
        <v>дней</v>
      </c>
      <c r="D214" s="16"/>
      <c r="F214" s="43"/>
      <c r="G214" s="43"/>
      <c r="H214" s="43"/>
      <c r="I214" s="43"/>
      <c r="J214" s="43"/>
      <c r="K214" s="43"/>
      <c r="L214" s="43"/>
      <c r="M214" s="54"/>
    </row>
    <row r="215" spans="1:13" hidden="1" outlineLevel="2" x14ac:dyDescent="0.2">
      <c r="A215" s="62" t="str">
        <f ca="1">Language!A213</f>
        <v>Начисленный налог</v>
      </c>
      <c r="B215" s="73"/>
      <c r="C215" s="26" t="str">
        <f t="shared" ref="C215:C222" ca="1" si="126">CUR_Main</f>
        <v>руб.</v>
      </c>
      <c r="F215" s="58">
        <f t="shared" ref="F215:J215" ca="1" si="127">MAX(F222,F221*$B213)</f>
        <v>2160000</v>
      </c>
      <c r="G215" s="58">
        <f t="shared" ca="1" si="127"/>
        <v>5040000</v>
      </c>
      <c r="H215" s="58">
        <f t="shared" ca="1" si="127"/>
        <v>7200000</v>
      </c>
      <c r="I215" s="58">
        <f t="shared" ca="1" si="127"/>
        <v>7200000</v>
      </c>
      <c r="J215" s="58">
        <f t="shared" ca="1" si="127"/>
        <v>7200000</v>
      </c>
      <c r="K215" s="58">
        <f t="shared" ref="K215" ca="1" si="128">MAX(K222,K221*$B213)</f>
        <v>7200000</v>
      </c>
      <c r="L215" s="43"/>
      <c r="M215" s="57">
        <f ca="1">SUM(F215:K215)</f>
        <v>36000000</v>
      </c>
    </row>
    <row r="216" spans="1:13" hidden="1" outlineLevel="2" x14ac:dyDescent="0.2">
      <c r="A216" s="24" t="str">
        <f ca="1">Language!A187</f>
        <v xml:space="preserve">         то же, в итоговой валюте</v>
      </c>
      <c r="B216" s="19"/>
      <c r="C216" s="5" t="str">
        <f ca="1">CUR_Report</f>
        <v>руб.</v>
      </c>
      <c r="D216" s="46"/>
      <c r="E216" s="19"/>
      <c r="F216" s="53">
        <f t="shared" ref="F216:J216" ca="1" si="129">F215/IF(CUR_I_Report=2,F$88,1)</f>
        <v>2160000</v>
      </c>
      <c r="G216" s="53">
        <f t="shared" ca="1" si="129"/>
        <v>5040000</v>
      </c>
      <c r="H216" s="53">
        <f t="shared" ca="1" si="129"/>
        <v>7200000</v>
      </c>
      <c r="I216" s="53">
        <f t="shared" ca="1" si="129"/>
        <v>7200000</v>
      </c>
      <c r="J216" s="53">
        <f t="shared" ca="1" si="129"/>
        <v>7200000</v>
      </c>
      <c r="K216" s="53">
        <f t="shared" ref="K216" ca="1" si="130">K215/IF(CUR_I_Report=2,K$88,1)</f>
        <v>7200000</v>
      </c>
      <c r="L216" s="19"/>
      <c r="M216" s="66">
        <f ca="1">SUM(F216:K216)</f>
        <v>36000000</v>
      </c>
    </row>
    <row r="217" spans="1:13" hidden="1" outlineLevel="2" x14ac:dyDescent="0.2">
      <c r="A217" s="24" t="str">
        <f ca="1">Language!A214</f>
        <v>Облагаемая база до списания убытков</v>
      </c>
      <c r="C217" s="26" t="str">
        <f t="shared" ca="1" si="126"/>
        <v>руб.</v>
      </c>
      <c r="F217" s="43">
        <f t="shared" ref="F217:K217" ca="1" si="131">(F1251+F1258+F1270)*IF(CUR_I_Report=2,F$88,1)+IF($B212=1,0,(F1252+F1253+F1254+F1255+F1257+F1259)*IF(CUR_I_Report=2,F$88,1)-MAX(0,F483-E483)-MAX(0,F510-E510)-MAX(0,F497-E497)-MAX(0,F533-E533)-F223)-MAX(0,E222-E221*$B213)</f>
        <v>36000000</v>
      </c>
      <c r="G217" s="43">
        <f t="shared" ca="1" si="131"/>
        <v>84000000</v>
      </c>
      <c r="H217" s="43">
        <f t="shared" ca="1" si="131"/>
        <v>120000000</v>
      </c>
      <c r="I217" s="43">
        <f t="shared" ca="1" si="131"/>
        <v>120000000</v>
      </c>
      <c r="J217" s="43">
        <f t="shared" ca="1" si="131"/>
        <v>120000000</v>
      </c>
      <c r="K217" s="43">
        <f t="shared" ca="1" si="131"/>
        <v>120000000</v>
      </c>
      <c r="L217" s="43"/>
      <c r="M217" s="54">
        <f ca="1">SUM(F217:K217)</f>
        <v>600000000</v>
      </c>
    </row>
    <row r="218" spans="1:13" hidden="1" outlineLevel="2" x14ac:dyDescent="0.2">
      <c r="A218" s="45" t="str">
        <f ca="1">Language!A191</f>
        <v xml:space="preserve">    накопленная прибыль/убытки текущего года</v>
      </c>
      <c r="B218" s="19"/>
      <c r="C218" s="26" t="str">
        <f t="shared" ca="1" si="126"/>
        <v>руб.</v>
      </c>
      <c r="D218" s="16" t="s">
        <v>384</v>
      </c>
      <c r="E218" s="19"/>
      <c r="F218" s="53">
        <f t="shared" ref="F218:K218" ca="1" si="132">IF(YEAR(F$31)=YEAR(E$31),E218,0)+F217</f>
        <v>36000000</v>
      </c>
      <c r="G218" s="53">
        <f t="shared" ca="1" si="132"/>
        <v>120000000</v>
      </c>
      <c r="H218" s="53">
        <f t="shared" ca="1" si="132"/>
        <v>240000000</v>
      </c>
      <c r="I218" s="53">
        <f t="shared" ca="1" si="132"/>
        <v>360000000</v>
      </c>
      <c r="J218" s="53">
        <f t="shared" ca="1" si="132"/>
        <v>480000000</v>
      </c>
      <c r="K218" s="53">
        <f t="shared" ca="1" si="132"/>
        <v>600000000</v>
      </c>
      <c r="L218" s="19"/>
      <c r="M218" s="22"/>
    </row>
    <row r="219" spans="1:13" hidden="1" outlineLevel="2" x14ac:dyDescent="0.2">
      <c r="A219" s="45" t="str">
        <f ca="1">Language!A192</f>
        <v xml:space="preserve">    убытки предыдущих периодов</v>
      </c>
      <c r="B219" s="19"/>
      <c r="C219" s="26" t="str">
        <f t="shared" ca="1" si="126"/>
        <v>руб.</v>
      </c>
      <c r="D219" s="46"/>
      <c r="E219" s="19"/>
      <c r="F219" s="53">
        <f t="shared" ref="F219:K219" si="133">IF(YEAR(F$31)&gt;YEAR(E$31),MIN(E218,0),0)+E219-E220</f>
        <v>0</v>
      </c>
      <c r="G219" s="53">
        <f t="shared" ca="1" si="133"/>
        <v>0</v>
      </c>
      <c r="H219" s="53">
        <f t="shared" ca="1" si="133"/>
        <v>0</v>
      </c>
      <c r="I219" s="53">
        <f t="shared" ca="1" si="133"/>
        <v>0</v>
      </c>
      <c r="J219" s="53">
        <f t="shared" ca="1" si="133"/>
        <v>0</v>
      </c>
      <c r="K219" s="53">
        <f t="shared" ca="1" si="133"/>
        <v>0</v>
      </c>
      <c r="L219" s="19"/>
      <c r="M219" s="22"/>
    </row>
    <row r="220" spans="1:13" hidden="1" outlineLevel="2" x14ac:dyDescent="0.2">
      <c r="A220" s="45" t="str">
        <f ca="1">Language!A193</f>
        <v xml:space="preserve">    списано убытков предыдущих лет</v>
      </c>
      <c r="B220" s="19"/>
      <c r="C220" s="26" t="str">
        <f t="shared" ca="1" si="126"/>
        <v>руб.</v>
      </c>
      <c r="D220" s="46"/>
      <c r="E220" s="19"/>
      <c r="F220" s="53">
        <f t="shared" ref="F220:J220" ca="1" si="134">-IF(MIN(F217,F218)&gt;0,MIN(-F219,F217*0.3),0)</f>
        <v>0</v>
      </c>
      <c r="G220" s="53">
        <f t="shared" ca="1" si="134"/>
        <v>0</v>
      </c>
      <c r="H220" s="53">
        <f t="shared" ca="1" si="134"/>
        <v>0</v>
      </c>
      <c r="I220" s="53">
        <f t="shared" ca="1" si="134"/>
        <v>0</v>
      </c>
      <c r="J220" s="53">
        <f t="shared" ca="1" si="134"/>
        <v>0</v>
      </c>
      <c r="K220" s="53">
        <f t="shared" ref="K220" ca="1" si="135">-IF(MIN(K217,K218)&gt;0,MIN(-K219,K217*0.3),0)</f>
        <v>0</v>
      </c>
      <c r="L220" s="19"/>
      <c r="M220" s="22"/>
    </row>
    <row r="221" spans="1:13" hidden="1" outlineLevel="2" x14ac:dyDescent="0.2">
      <c r="A221" s="45" t="str">
        <f ca="1">Language!A215</f>
        <v>База, на которую начисляется налог</v>
      </c>
      <c r="B221" s="19"/>
      <c r="C221" s="26" t="str">
        <f t="shared" ca="1" si="126"/>
        <v>руб.</v>
      </c>
      <c r="D221" s="46"/>
      <c r="E221" s="19"/>
      <c r="F221" s="53">
        <f t="shared" ref="F221:J221" ca="1" si="136">MAX(IF(F218&gt;0,F217+F220,0),0)</f>
        <v>36000000</v>
      </c>
      <c r="G221" s="53">
        <f t="shared" ca="1" si="136"/>
        <v>84000000</v>
      </c>
      <c r="H221" s="53">
        <f t="shared" ca="1" si="136"/>
        <v>120000000</v>
      </c>
      <c r="I221" s="53">
        <f t="shared" ca="1" si="136"/>
        <v>120000000</v>
      </c>
      <c r="J221" s="53">
        <f t="shared" ca="1" si="136"/>
        <v>120000000</v>
      </c>
      <c r="K221" s="53">
        <f t="shared" ref="K221" ca="1" si="137">MAX(IF(K218&gt;0,K217+K220,0),0)</f>
        <v>120000000</v>
      </c>
      <c r="L221" s="19"/>
      <c r="M221" s="22"/>
    </row>
    <row r="222" spans="1:13" hidden="1" outlineLevel="2" x14ac:dyDescent="0.2">
      <c r="A222" s="45" t="str">
        <f ca="1">Language!A216</f>
        <v>Минимальный налог</v>
      </c>
      <c r="B222" s="19"/>
      <c r="C222" s="26" t="str">
        <f t="shared" ca="1" si="126"/>
        <v>руб.</v>
      </c>
      <c r="D222" s="46"/>
      <c r="E222" s="19"/>
      <c r="F222" s="53">
        <f t="shared" ref="F222:K222" si="138">IF($B213=0,0,IF($B212=1,0,1%*(F1251+F1258+F1270)*IF(CUR_I_Report=2,F$88,1)))</f>
        <v>0</v>
      </c>
      <c r="G222" s="53">
        <f t="shared" si="138"/>
        <v>0</v>
      </c>
      <c r="H222" s="53">
        <f t="shared" si="138"/>
        <v>0</v>
      </c>
      <c r="I222" s="53">
        <f t="shared" si="138"/>
        <v>0</v>
      </c>
      <c r="J222" s="53">
        <f t="shared" si="138"/>
        <v>0</v>
      </c>
      <c r="K222" s="53">
        <f t="shared" si="138"/>
        <v>0</v>
      </c>
      <c r="L222" s="19"/>
      <c r="M222" s="22"/>
    </row>
    <row r="223" spans="1:13" hidden="1" outlineLevel="2" x14ac:dyDescent="0.2">
      <c r="A223" s="62" t="str">
        <f ca="1">Language!A204</f>
        <v>Взносы на обязательное пенсионное страхование</v>
      </c>
      <c r="B223" s="19"/>
      <c r="C223" s="26"/>
      <c r="D223" s="46"/>
      <c r="E223" s="19"/>
      <c r="F223" s="99">
        <f t="shared" ref="F223:J223" si="139">F224*F226</f>
        <v>87500.000000000015</v>
      </c>
      <c r="G223" s="99">
        <f t="shared" si="139"/>
        <v>107100.00000000001</v>
      </c>
      <c r="H223" s="99">
        <f t="shared" si="139"/>
        <v>126700.00000000001</v>
      </c>
      <c r="I223" s="99">
        <f t="shared" si="139"/>
        <v>136500</v>
      </c>
      <c r="J223" s="99">
        <f t="shared" si="139"/>
        <v>136500</v>
      </c>
      <c r="K223" s="99">
        <f t="shared" ref="K223" si="140">K224*K226</f>
        <v>136500</v>
      </c>
      <c r="L223" s="62"/>
      <c r="M223" s="97">
        <f>SUM(F223:K223)</f>
        <v>730800</v>
      </c>
    </row>
    <row r="224" spans="1:13" hidden="1" outlineLevel="2" x14ac:dyDescent="0.2">
      <c r="A224" s="19" t="str">
        <f ca="1">Language!A205</f>
        <v xml:space="preserve">    ставка</v>
      </c>
      <c r="B224" s="260">
        <f>IF(B104=3,14%,0%)</f>
        <v>0.14000000000000001</v>
      </c>
      <c r="C224" s="26" t="s">
        <v>177</v>
      </c>
      <c r="D224" s="16" t="s">
        <v>176</v>
      </c>
      <c r="E224" s="19"/>
      <c r="F224" s="47">
        <f>B224</f>
        <v>0.14000000000000001</v>
      </c>
      <c r="G224" s="47">
        <f t="shared" ref="G224:K224" si="141">F224</f>
        <v>0.14000000000000001</v>
      </c>
      <c r="H224" s="47">
        <f t="shared" si="141"/>
        <v>0.14000000000000001</v>
      </c>
      <c r="I224" s="47">
        <f t="shared" si="141"/>
        <v>0.14000000000000001</v>
      </c>
      <c r="J224" s="47">
        <f t="shared" si="141"/>
        <v>0.14000000000000001</v>
      </c>
      <c r="K224" s="47">
        <f t="shared" si="141"/>
        <v>0.14000000000000001</v>
      </c>
      <c r="L224" s="19"/>
      <c r="M224" s="22"/>
    </row>
    <row r="225" spans="1:15" hidden="1" outlineLevel="2" x14ac:dyDescent="0.2">
      <c r="A225" s="19" t="str">
        <f ca="1">Language!A185</f>
        <v xml:space="preserve">    период уплаты</v>
      </c>
      <c r="B225" s="259">
        <v>90</v>
      </c>
      <c r="C225" s="26" t="str">
        <f ca="1">Language!A218</f>
        <v>дней</v>
      </c>
      <c r="D225" s="16"/>
      <c r="E225" s="19"/>
      <c r="F225" s="47"/>
      <c r="G225" s="47"/>
      <c r="H225" s="47"/>
      <c r="I225" s="47"/>
      <c r="J225" s="47"/>
      <c r="K225" s="47"/>
      <c r="L225" s="19"/>
      <c r="M225" s="22"/>
    </row>
    <row r="226" spans="1:15" hidden="1" outlineLevel="2" x14ac:dyDescent="0.2">
      <c r="A226" s="19" t="str">
        <f ca="1">Language!A207</f>
        <v xml:space="preserve">    облагаемая база</v>
      </c>
      <c r="B226" s="19"/>
      <c r="C226" s="26" t="str">
        <f ca="1">CUR_Main</f>
        <v>руб.</v>
      </c>
      <c r="D226" s="46"/>
      <c r="E226" s="19"/>
      <c r="F226" s="65">
        <f t="shared" ref="F226:J226" si="142">F841</f>
        <v>625000</v>
      </c>
      <c r="G226" s="65">
        <f t="shared" si="142"/>
        <v>765000</v>
      </c>
      <c r="H226" s="65">
        <f t="shared" si="142"/>
        <v>905000</v>
      </c>
      <c r="I226" s="65">
        <f t="shared" si="142"/>
        <v>975000</v>
      </c>
      <c r="J226" s="65">
        <f t="shared" si="142"/>
        <v>975000</v>
      </c>
      <c r="K226" s="65">
        <f t="shared" ref="K226" si="143">K841</f>
        <v>975000</v>
      </c>
      <c r="L226" s="19"/>
      <c r="M226" s="66">
        <f>SUM(F226:K226)</f>
        <v>5220000</v>
      </c>
    </row>
    <row r="227" spans="1:15" outlineLevel="1" x14ac:dyDescent="0.2">
      <c r="A227" s="63"/>
      <c r="B227" s="63"/>
      <c r="C227" s="67"/>
      <c r="D227" s="60"/>
      <c r="E227" s="63"/>
      <c r="F227" s="68"/>
      <c r="G227" s="68"/>
      <c r="H227" s="68"/>
      <c r="I227" s="68"/>
      <c r="J227" s="68"/>
      <c r="K227" s="68"/>
      <c r="L227" s="63"/>
      <c r="M227" s="64"/>
    </row>
    <row r="228" spans="1:15" outlineLevel="1" x14ac:dyDescent="0.2">
      <c r="A228" s="129" t="str">
        <f ca="1">Language!A217</f>
        <v>Суммарные налоговые выплаты</v>
      </c>
      <c r="B228" s="27"/>
      <c r="C228" s="26" t="str">
        <f ca="1">CUR_Main</f>
        <v>руб.</v>
      </c>
      <c r="D228" s="28"/>
      <c r="E228" s="27"/>
      <c r="F228" s="99">
        <f t="shared" ref="F228:J228" ca="1" si="144">F107+F108+F126+F136+F143+F147+F157+F162+F173+F201+F215+F204+F223</f>
        <v>2247500</v>
      </c>
      <c r="G228" s="99">
        <f t="shared" ca="1" si="144"/>
        <v>5147100</v>
      </c>
      <c r="H228" s="99">
        <f t="shared" ca="1" si="144"/>
        <v>7326700</v>
      </c>
      <c r="I228" s="99">
        <f t="shared" ca="1" si="144"/>
        <v>7336500</v>
      </c>
      <c r="J228" s="99">
        <f t="shared" ca="1" si="144"/>
        <v>7336500</v>
      </c>
      <c r="K228" s="99">
        <f t="shared" ref="K228" ca="1" si="145">K107+K108+K126+K136+K143+K147+K157+K162+K173+K201+K215+K204+K223</f>
        <v>7336500</v>
      </c>
      <c r="L228" s="27"/>
      <c r="M228" s="145">
        <f ca="1">SUM(F228:K228)</f>
        <v>36730800</v>
      </c>
    </row>
    <row r="229" spans="1:15" outlineLevel="1" x14ac:dyDescent="0.2">
      <c r="A229" s="63"/>
      <c r="B229" s="63"/>
      <c r="C229" s="67"/>
      <c r="D229" s="60"/>
      <c r="E229" s="63"/>
      <c r="F229" s="68"/>
      <c r="G229" s="68"/>
      <c r="H229" s="68"/>
      <c r="I229" s="68"/>
      <c r="J229" s="68"/>
      <c r="K229" s="68"/>
      <c r="L229" s="63"/>
      <c r="M229" s="64"/>
    </row>
    <row r="230" spans="1:15" outlineLevel="1" x14ac:dyDescent="0.2">
      <c r="A230" s="19"/>
      <c r="B230" s="19"/>
      <c r="C230" s="26"/>
      <c r="D230" s="46"/>
      <c r="E230" s="19"/>
      <c r="F230" s="47"/>
      <c r="G230" s="47"/>
      <c r="H230" s="47"/>
      <c r="I230" s="47"/>
      <c r="J230" s="47"/>
      <c r="K230" s="47"/>
      <c r="L230" s="19"/>
      <c r="M230" s="22"/>
    </row>
    <row r="231" spans="1:15" s="4" customFormat="1" ht="15.9" customHeight="1" thickBot="1" x14ac:dyDescent="0.25">
      <c r="A231" s="166" t="str">
        <f ca="1">Language!A352</f>
        <v xml:space="preserve">         СУЩЕСТВУЮЩИЕ АКТИВЫ ПРОЕКТА</v>
      </c>
      <c r="B231" s="166"/>
      <c r="C231" s="166"/>
      <c r="D231" s="166"/>
      <c r="E231" s="166"/>
      <c r="F231" s="178" t="str">
        <f t="shared" ref="F231:K231" si="146">PeriodTitle</f>
        <v>4/ 2020</v>
      </c>
      <c r="G231" s="178" t="str">
        <f t="shared" si="146"/>
        <v>5/ 2020</v>
      </c>
      <c r="H231" s="178" t="str">
        <f t="shared" si="146"/>
        <v>6/ 2020</v>
      </c>
      <c r="I231" s="178" t="str">
        <f t="shared" si="146"/>
        <v>7/ 2020</v>
      </c>
      <c r="J231" s="178" t="str">
        <f t="shared" si="146"/>
        <v>8/ 2020</v>
      </c>
      <c r="K231" s="178" t="str">
        <f t="shared" si="146"/>
        <v>9/ 2020</v>
      </c>
      <c r="L231" s="166"/>
      <c r="M231" s="195" t="str">
        <f ca="1">Language!$A$371</f>
        <v>ИТОГО</v>
      </c>
      <c r="N231" s="143"/>
      <c r="O231" s="143"/>
    </row>
    <row r="232" spans="1:15" ht="10.8" outlineLevel="1" thickTop="1" x14ac:dyDescent="0.2">
      <c r="N232" s="116"/>
      <c r="O232" s="116"/>
    </row>
    <row r="233" spans="1:15" outlineLevel="1" x14ac:dyDescent="0.2">
      <c r="A233" s="62" t="str">
        <f ca="1">Language!A364</f>
        <v>Земельные участки</v>
      </c>
      <c r="B233" s="19"/>
      <c r="C233" s="26"/>
      <c r="D233" s="19"/>
      <c r="N233" s="116"/>
      <c r="O233" s="116"/>
    </row>
    <row r="234" spans="1:15" outlineLevel="1" x14ac:dyDescent="0.2">
      <c r="A234" s="23" t="str">
        <f ca="1">Language!A$360</f>
        <v xml:space="preserve">    остаточная стоимость</v>
      </c>
      <c r="B234" s="19"/>
      <c r="C234" s="26" t="str">
        <f ca="1">CUR_Main</f>
        <v>руб.</v>
      </c>
      <c r="D234" s="19" t="s">
        <v>384</v>
      </c>
      <c r="E234" s="19">
        <f>F39*IF(B$37=1,1,F$88)</f>
        <v>0</v>
      </c>
      <c r="F234" s="48">
        <f>IF(SUM($F235:F235)&gt;0.01,0,E234)</f>
        <v>0</v>
      </c>
      <c r="G234" s="48">
        <f>IF(SUM($F235:G235)&gt;0.01,0,F234)</f>
        <v>0</v>
      </c>
      <c r="H234" s="48">
        <f>IF(SUM($F235:H235)&gt;0.01,0,G234)</f>
        <v>0</v>
      </c>
      <c r="I234" s="48">
        <f>IF(SUM($F235:I235)&gt;0.01,0,H234)</f>
        <v>0</v>
      </c>
      <c r="J234" s="48">
        <f>IF(SUM($F235:J235)&gt;0.01,0,I234)</f>
        <v>0</v>
      </c>
      <c r="K234" s="48">
        <f>IF(SUM($F235:K235)&gt;0.01,0,J234)</f>
        <v>0</v>
      </c>
      <c r="N234" s="116"/>
      <c r="O234" s="116"/>
    </row>
    <row r="235" spans="1:15" outlineLevel="1" collapsed="1" x14ac:dyDescent="0.2">
      <c r="A235" s="24" t="str">
        <f ca="1">Language!A$361</f>
        <v xml:space="preserve">    реализация актива (без НДС)</v>
      </c>
      <c r="B235" s="159"/>
      <c r="C235" s="26" t="str">
        <f ca="1">CUR_Main</f>
        <v>руб.</v>
      </c>
      <c r="D235" s="19"/>
      <c r="E235" s="19"/>
      <c r="F235" s="272">
        <v>0</v>
      </c>
      <c r="G235" s="272">
        <v>0</v>
      </c>
      <c r="H235" s="272">
        <v>0</v>
      </c>
      <c r="I235" s="272">
        <v>0</v>
      </c>
      <c r="J235" s="272">
        <v>0</v>
      </c>
      <c r="K235" s="272">
        <v>0</v>
      </c>
      <c r="M235" s="11">
        <f>SUM(F235:K235)</f>
        <v>0</v>
      </c>
      <c r="N235" s="116"/>
      <c r="O235" s="116"/>
    </row>
    <row r="236" spans="1:15" hidden="1" outlineLevel="2" x14ac:dyDescent="0.2">
      <c r="A236" s="24" t="str">
        <f ca="1">Language!A$362</f>
        <v xml:space="preserve">    прибыль/убыток от реализации актива</v>
      </c>
      <c r="B236" s="159"/>
      <c r="C236" s="26" t="str">
        <f ca="1">CUR_Main</f>
        <v>руб.</v>
      </c>
      <c r="D236" s="19"/>
      <c r="E236" s="19"/>
      <c r="F236" s="83">
        <f t="shared" ref="F236:K236" si="147">IF(F235=0,0,F235-E234)</f>
        <v>0</v>
      </c>
      <c r="G236" s="83">
        <f t="shared" si="147"/>
        <v>0</v>
      </c>
      <c r="H236" s="83">
        <f t="shared" si="147"/>
        <v>0</v>
      </c>
      <c r="I236" s="83">
        <f t="shared" si="147"/>
        <v>0</v>
      </c>
      <c r="J236" s="83">
        <f t="shared" si="147"/>
        <v>0</v>
      </c>
      <c r="K236" s="83">
        <f t="shared" si="147"/>
        <v>0</v>
      </c>
      <c r="M236" s="11">
        <f>SUM(F236:K236)</f>
        <v>0</v>
      </c>
      <c r="N236" s="116"/>
      <c r="O236" s="116"/>
    </row>
    <row r="237" spans="1:15" hidden="1" outlineLevel="2" x14ac:dyDescent="0.2">
      <c r="A237" s="24" t="str">
        <f ca="1">Language!A$363</f>
        <v xml:space="preserve">    НДС к выручке от реализации актива</v>
      </c>
      <c r="B237" s="268">
        <v>0</v>
      </c>
      <c r="C237" s="26" t="str">
        <f ca="1">CUR_Main</f>
        <v>руб.</v>
      </c>
      <c r="D237" s="19"/>
      <c r="E237" s="19"/>
      <c r="F237" s="48">
        <f t="shared" ref="F237:J237" si="148">F235*$B237</f>
        <v>0</v>
      </c>
      <c r="G237" s="48">
        <f t="shared" si="148"/>
        <v>0</v>
      </c>
      <c r="H237" s="48">
        <f t="shared" si="148"/>
        <v>0</v>
      </c>
      <c r="I237" s="48">
        <f t="shared" si="148"/>
        <v>0</v>
      </c>
      <c r="J237" s="48">
        <f t="shared" si="148"/>
        <v>0</v>
      </c>
      <c r="K237" s="48">
        <f t="shared" ref="K237" si="149">K235*$B237</f>
        <v>0</v>
      </c>
      <c r="M237" s="11">
        <f>SUM(F237:K237)</f>
        <v>0</v>
      </c>
      <c r="N237" s="116"/>
      <c r="O237" s="116"/>
    </row>
    <row r="238" spans="1:15" outlineLevel="1" x14ac:dyDescent="0.2">
      <c r="A238" s="35"/>
      <c r="B238" s="11" t="str">
        <f ca="1">Language!A$354</f>
        <v xml:space="preserve">  Амортизация</v>
      </c>
      <c r="N238" s="116"/>
      <c r="O238" s="116"/>
    </row>
    <row r="239" spans="1:15" outlineLevel="1" x14ac:dyDescent="0.2">
      <c r="A239" s="35" t="str">
        <f ca="1">Language!A356</f>
        <v>Здания и сооружения</v>
      </c>
      <c r="B239" s="271">
        <v>20</v>
      </c>
      <c r="C239" s="40" t="str">
        <f ca="1">Language!A$33</f>
        <v>лет</v>
      </c>
      <c r="F239" s="43"/>
      <c r="G239" s="43"/>
      <c r="H239" s="43"/>
      <c r="I239" s="43"/>
      <c r="J239" s="43"/>
      <c r="K239" s="43"/>
      <c r="N239" s="116"/>
      <c r="O239" s="116"/>
    </row>
    <row r="240" spans="1:15" outlineLevel="1" x14ac:dyDescent="0.2">
      <c r="A240" s="23" t="str">
        <f ca="1">Language!A$360</f>
        <v xml:space="preserve">    остаточная стоимость</v>
      </c>
      <c r="B240" s="159"/>
      <c r="C240" s="26" t="str">
        <f ca="1">CUR_Main</f>
        <v>руб.</v>
      </c>
      <c r="D240" s="19" t="s">
        <v>384</v>
      </c>
      <c r="E240" s="106">
        <f>E242</f>
        <v>0</v>
      </c>
      <c r="F240" s="106">
        <f>IF(SUM($F241:F241)&gt;0.01,0,F242-F244)</f>
        <v>0</v>
      </c>
      <c r="G240" s="106">
        <f>IF(SUM($F241:G241)&gt;0.01,0,G242-G244)</f>
        <v>0</v>
      </c>
      <c r="H240" s="106">
        <f>IF(SUM($F241:H241)&gt;0.01,0,H242-H244)</f>
        <v>0</v>
      </c>
      <c r="I240" s="106">
        <f>IF(SUM($F241:I241)&gt;0.01,0,I242-I244)</f>
        <v>0</v>
      </c>
      <c r="J240" s="106">
        <f>IF(SUM($F241:J241)&gt;0.01,0,J242-J244)</f>
        <v>0</v>
      </c>
      <c r="K240" s="106">
        <f>IF(SUM($F241:K241)&gt;0.01,0,K242-K244)</f>
        <v>0</v>
      </c>
      <c r="N240" s="116"/>
      <c r="O240" s="116"/>
    </row>
    <row r="241" spans="1:15" outlineLevel="1" collapsed="1" x14ac:dyDescent="0.2">
      <c r="A241" s="23" t="str">
        <f ca="1">Language!A$361</f>
        <v xml:space="preserve">    реализация актива (без НДС)</v>
      </c>
      <c r="B241" s="159"/>
      <c r="C241" s="26" t="str">
        <f ca="1">CUR_Main</f>
        <v>руб.</v>
      </c>
      <c r="D241" s="19"/>
      <c r="E241" s="19"/>
      <c r="F241" s="272">
        <v>0</v>
      </c>
      <c r="G241" s="272">
        <v>0</v>
      </c>
      <c r="H241" s="272">
        <v>0</v>
      </c>
      <c r="I241" s="272">
        <v>0</v>
      </c>
      <c r="J241" s="272">
        <v>0</v>
      </c>
      <c r="K241" s="272">
        <v>0</v>
      </c>
      <c r="M241" s="11">
        <f>SUM(F241:K241)</f>
        <v>0</v>
      </c>
      <c r="N241" s="116"/>
      <c r="O241" s="116"/>
    </row>
    <row r="242" spans="1:15" hidden="1" outlineLevel="2" x14ac:dyDescent="0.2">
      <c r="A242" s="23" t="str">
        <f ca="1">Language!A$357</f>
        <v xml:space="preserve">    первоначальная стоимость</v>
      </c>
      <c r="B242" s="139"/>
      <c r="C242" s="5" t="str">
        <f t="shared" ref="C242:C277" ca="1" si="150">CUR_Main</f>
        <v>руб.</v>
      </c>
      <c r="D242" t="s">
        <v>384</v>
      </c>
      <c r="E242" s="48">
        <f>F40*IF(B$37=1,1,F$88)</f>
        <v>0</v>
      </c>
      <c r="F242" s="48">
        <f>IF(SUM($F241:F241)&gt;0.01,0,E242)</f>
        <v>0</v>
      </c>
      <c r="G242" s="48">
        <f>IF(SUM($F241:G241)&gt;0.01,0,F242)</f>
        <v>0</v>
      </c>
      <c r="H242" s="48">
        <f>IF(SUM($F241:H241)&gt;0.01,0,G242)</f>
        <v>0</v>
      </c>
      <c r="I242" s="48">
        <f>IF(SUM($F241:I241)&gt;0.01,0,H242)</f>
        <v>0</v>
      </c>
      <c r="J242" s="48">
        <f>IF(SUM($F241:J241)&gt;0.01,0,I242)</f>
        <v>0</v>
      </c>
      <c r="K242" s="48">
        <f>IF(SUM($F241:K241)&gt;0.01,0,J242)</f>
        <v>0</v>
      </c>
      <c r="N242" s="116"/>
      <c r="O242" s="116"/>
    </row>
    <row r="243" spans="1:15" hidden="1" outlineLevel="2" x14ac:dyDescent="0.2">
      <c r="A243" s="23" t="str">
        <f ca="1">Language!A$358</f>
        <v xml:space="preserve">    амортизация (линейная),       для срока использования:</v>
      </c>
      <c r="B243" s="139">
        <f>B239</f>
        <v>20</v>
      </c>
      <c r="C243" s="40" t="str">
        <f ca="1">Language!A$33</f>
        <v>лет</v>
      </c>
      <c r="E243" s="48"/>
      <c r="F243" s="84">
        <f>IF(AND($B243&gt;0,SUM($E241:F241)&lt;=0.01),MIN(F242*100%/$B243*PRJ_Step/360,E240+F242-E242),0)</f>
        <v>0</v>
      </c>
      <c r="G243" s="84">
        <f>IF(AND($B243&gt;0,SUM($E241:G241)&lt;=0.01),MIN(G242*100%/$B243*PRJ_Step/360,F240+G242-F242),0)</f>
        <v>0</v>
      </c>
      <c r="H243" s="84">
        <f>IF(AND($B243&gt;0,SUM($E241:H241)&lt;=0.01),MIN(H242*100%/$B243*PRJ_Step/360,G240+H242-G242),0)</f>
        <v>0</v>
      </c>
      <c r="I243" s="84">
        <f>IF(AND($B243&gt;0,SUM($E241:I241)&lt;=0.01),MIN(I242*100%/$B243*PRJ_Step/360,H240+I242-H242),0)</f>
        <v>0</v>
      </c>
      <c r="J243" s="84">
        <f>IF(AND($B243&gt;0,SUM($E241:J241)&lt;=0.01),MIN(J242*100%/$B243*PRJ_Step/360,I240+J242-I242),0)</f>
        <v>0</v>
      </c>
      <c r="K243" s="84">
        <f>IF(AND($B243&gt;0,SUM($E241:K241)&lt;=0.01),MIN(K242*100%/$B243*PRJ_Step/360,J240+K242-J242),0)</f>
        <v>0</v>
      </c>
      <c r="M243" s="11">
        <f>SUM(F243:K243)</f>
        <v>0</v>
      </c>
      <c r="N243" s="116"/>
      <c r="O243" s="116"/>
    </row>
    <row r="244" spans="1:15" hidden="1" outlineLevel="2" x14ac:dyDescent="0.2">
      <c r="A244" s="23" t="str">
        <f ca="1">Language!A$359</f>
        <v xml:space="preserve">    накопленная амортизация</v>
      </c>
      <c r="B244" s="44"/>
      <c r="C244" s="5" t="str">
        <f t="shared" ca="1" si="150"/>
        <v>руб.</v>
      </c>
      <c r="D244" t="s">
        <v>384</v>
      </c>
      <c r="E244" s="48"/>
      <c r="F244" s="84">
        <f t="shared" ref="F244:K244" si="151">E244+F243</f>
        <v>0</v>
      </c>
      <c r="G244" s="84">
        <f t="shared" si="151"/>
        <v>0</v>
      </c>
      <c r="H244" s="84">
        <f t="shared" si="151"/>
        <v>0</v>
      </c>
      <c r="I244" s="84">
        <f t="shared" si="151"/>
        <v>0</v>
      </c>
      <c r="J244" s="84">
        <f t="shared" si="151"/>
        <v>0</v>
      </c>
      <c r="K244" s="84">
        <f t="shared" si="151"/>
        <v>0</v>
      </c>
      <c r="N244" s="116"/>
      <c r="O244" s="116"/>
    </row>
    <row r="245" spans="1:15" hidden="1" outlineLevel="2" x14ac:dyDescent="0.2">
      <c r="A245" s="23" t="str">
        <f ca="1">Language!A$362</f>
        <v xml:space="preserve">    прибыль/убыток от реализации актива</v>
      </c>
      <c r="B245" s="159"/>
      <c r="C245" s="26" t="str">
        <f t="shared" ca="1" si="150"/>
        <v>руб.</v>
      </c>
      <c r="D245" s="19"/>
      <c r="E245" s="19"/>
      <c r="F245" s="83">
        <f t="shared" ref="F245:K245" si="152">IF(F241=0,0,F241-E240)</f>
        <v>0</v>
      </c>
      <c r="G245" s="83">
        <f t="shared" si="152"/>
        <v>0</v>
      </c>
      <c r="H245" s="83">
        <f t="shared" si="152"/>
        <v>0</v>
      </c>
      <c r="I245" s="83">
        <f t="shared" si="152"/>
        <v>0</v>
      </c>
      <c r="J245" s="83">
        <f t="shared" si="152"/>
        <v>0</v>
      </c>
      <c r="K245" s="83">
        <f t="shared" si="152"/>
        <v>0</v>
      </c>
      <c r="M245" s="11">
        <f>SUM(F245:K245)</f>
        <v>0</v>
      </c>
      <c r="N245" s="116"/>
      <c r="O245" s="116"/>
    </row>
    <row r="246" spans="1:15" hidden="1" outlineLevel="2" x14ac:dyDescent="0.2">
      <c r="A246" s="24" t="str">
        <f ca="1">Language!A$363</f>
        <v xml:space="preserve">    НДС к выручке от реализации актива</v>
      </c>
      <c r="B246" s="268">
        <f>VAT</f>
        <v>0</v>
      </c>
      <c r="C246" s="26" t="str">
        <f t="shared" ca="1" si="150"/>
        <v>руб.</v>
      </c>
      <c r="D246" s="19"/>
      <c r="E246" s="19"/>
      <c r="F246">
        <f t="shared" ref="F246:J246" si="153">F241*$B246</f>
        <v>0</v>
      </c>
      <c r="G246">
        <f t="shared" si="153"/>
        <v>0</v>
      </c>
      <c r="H246">
        <f t="shared" si="153"/>
        <v>0</v>
      </c>
      <c r="I246">
        <f t="shared" si="153"/>
        <v>0</v>
      </c>
      <c r="J246">
        <f t="shared" si="153"/>
        <v>0</v>
      </c>
      <c r="K246">
        <f t="shared" ref="K246" si="154">K241*$B246</f>
        <v>0</v>
      </c>
      <c r="M246" s="11">
        <f>SUM(F246:K246)</f>
        <v>0</v>
      </c>
      <c r="N246" s="116"/>
      <c r="O246" s="116"/>
    </row>
    <row r="247" spans="1:15" outlineLevel="1" x14ac:dyDescent="0.2">
      <c r="B247" s="11" t="str">
        <f ca="1">Language!A$354</f>
        <v xml:space="preserve">  Амортизация</v>
      </c>
    </row>
    <row r="248" spans="1:15" outlineLevel="1" x14ac:dyDescent="0.2">
      <c r="A248" s="62" t="str">
        <f ca="1">Language!A365</f>
        <v>Нематериальные активы</v>
      </c>
      <c r="B248" s="271">
        <v>2</v>
      </c>
      <c r="C248" s="40" t="str">
        <f ca="1">Language!A$33</f>
        <v>лет</v>
      </c>
      <c r="D248" s="19"/>
      <c r="E248" s="19"/>
      <c r="F248" s="106"/>
      <c r="G248" s="106"/>
      <c r="H248" s="106"/>
      <c r="I248" s="106"/>
      <c r="J248" s="106"/>
      <c r="K248" s="106"/>
      <c r="N248" s="116"/>
      <c r="O248" s="116"/>
    </row>
    <row r="249" spans="1:15" outlineLevel="1" x14ac:dyDescent="0.2">
      <c r="A249" s="24" t="str">
        <f ca="1">Language!A$360</f>
        <v xml:space="preserve">    остаточная стоимость</v>
      </c>
      <c r="B249" s="159"/>
      <c r="C249" s="26" t="str">
        <f ca="1">CUR_Main</f>
        <v>руб.</v>
      </c>
      <c r="D249" s="19" t="s">
        <v>384</v>
      </c>
      <c r="E249" s="19">
        <f>E251</f>
        <v>0</v>
      </c>
      <c r="F249" s="106">
        <f>IF(SUM($F250:F250)&gt;0.01,0,F251-F253)</f>
        <v>0</v>
      </c>
      <c r="G249" s="106">
        <f>IF(SUM($F250:G250)&gt;0.01,0,G251-G253)</f>
        <v>0</v>
      </c>
      <c r="H249" s="106">
        <f>IF(SUM($F250:H250)&gt;0.01,0,H251-H253)</f>
        <v>0</v>
      </c>
      <c r="I249" s="106">
        <f>IF(SUM($F250:I250)&gt;0.01,0,I251-I253)</f>
        <v>0</v>
      </c>
      <c r="J249" s="106">
        <f>IF(SUM($F250:J250)&gt;0.01,0,J251-J253)</f>
        <v>0</v>
      </c>
      <c r="K249" s="106">
        <f>IF(SUM($F250:K250)&gt;0.01,0,K251-K253)</f>
        <v>0</v>
      </c>
      <c r="N249" s="116"/>
      <c r="O249" s="116"/>
    </row>
    <row r="250" spans="1:15" outlineLevel="1" collapsed="1" x14ac:dyDescent="0.2">
      <c r="A250" s="24" t="str">
        <f ca="1">Language!A$361</f>
        <v xml:space="preserve">    реализация актива (без НДС)</v>
      </c>
      <c r="B250" s="159"/>
      <c r="C250" s="26" t="str">
        <f ca="1">CUR_Main</f>
        <v>руб.</v>
      </c>
      <c r="D250" s="19"/>
      <c r="E250" s="19"/>
      <c r="F250" s="272">
        <v>0</v>
      </c>
      <c r="G250" s="272">
        <v>0</v>
      </c>
      <c r="H250" s="272">
        <v>0</v>
      </c>
      <c r="I250" s="272">
        <v>0</v>
      </c>
      <c r="J250" s="272">
        <v>0</v>
      </c>
      <c r="K250" s="272">
        <v>0</v>
      </c>
      <c r="M250" s="11">
        <f>SUM(F250:K250)</f>
        <v>0</v>
      </c>
      <c r="N250" s="116"/>
      <c r="O250" s="116"/>
    </row>
    <row r="251" spans="1:15" hidden="1" outlineLevel="2" x14ac:dyDescent="0.2">
      <c r="A251" s="24" t="str">
        <f ca="1">Language!A$357</f>
        <v xml:space="preserve">    первоначальная стоимость</v>
      </c>
      <c r="B251" s="139"/>
      <c r="C251" s="26" t="str">
        <f t="shared" ca="1" si="150"/>
        <v>руб.</v>
      </c>
      <c r="D251" s="19" t="s">
        <v>384</v>
      </c>
      <c r="E251" s="19">
        <f>F41*IF(B$37=1,1,F$88)</f>
        <v>0</v>
      </c>
      <c r="F251" s="48">
        <f>IF(SUM($F250:F250)&gt;0.01,0,E251)</f>
        <v>0</v>
      </c>
      <c r="G251" s="48">
        <f>IF(SUM($F250:G250)&gt;0.01,0,F251)</f>
        <v>0</v>
      </c>
      <c r="H251" s="48">
        <f>IF(SUM($F250:H250)&gt;0.01,0,G251)</f>
        <v>0</v>
      </c>
      <c r="I251" s="48">
        <f>IF(SUM($F250:I250)&gt;0.01,0,H251)</f>
        <v>0</v>
      </c>
      <c r="J251" s="48">
        <f>IF(SUM($F250:J250)&gt;0.01,0,I251)</f>
        <v>0</v>
      </c>
      <c r="K251" s="48">
        <f>IF(SUM($F250:K250)&gt;0.01,0,J251)</f>
        <v>0</v>
      </c>
      <c r="N251" s="116"/>
      <c r="O251" s="116"/>
    </row>
    <row r="252" spans="1:15" hidden="1" outlineLevel="2" x14ac:dyDescent="0.2">
      <c r="A252" s="24" t="str">
        <f ca="1">Language!A$358</f>
        <v xml:space="preserve">    амортизация (линейная),       для срока использования:</v>
      </c>
      <c r="B252" s="139">
        <f>B248</f>
        <v>2</v>
      </c>
      <c r="C252" s="115" t="str">
        <f ca="1">Language!A$33</f>
        <v>лет</v>
      </c>
      <c r="D252" s="19"/>
      <c r="E252" s="19"/>
      <c r="F252" s="53">
        <f>IF(AND($B252&gt;0,SUM($E250:F250)&lt;=0.01),MIN(F251*100%/$B252*PRJ_Step/360,E249+F251-E251),0)</f>
        <v>0</v>
      </c>
      <c r="G252" s="53">
        <f>IF(AND($B252&gt;0,SUM($E250:G250)&lt;=0.01),MIN(G251*100%/$B252*PRJ_Step/360,F249+G251-F251),0)</f>
        <v>0</v>
      </c>
      <c r="H252" s="53">
        <f>IF(AND($B252&gt;0,SUM($E250:H250)&lt;=0.01),MIN(H251*100%/$B252*PRJ_Step/360,G249+H251-G251),0)</f>
        <v>0</v>
      </c>
      <c r="I252" s="53">
        <f>IF(AND($B252&gt;0,SUM($E250:I250)&lt;=0.01),MIN(I251*100%/$B252*PRJ_Step/360,H249+I251-H251),0)</f>
        <v>0</v>
      </c>
      <c r="J252" s="53">
        <f>IF(AND($B252&gt;0,SUM($E250:J250)&lt;=0.01),MIN(J251*100%/$B252*PRJ_Step/360,I249+J251-I251),0)</f>
        <v>0</v>
      </c>
      <c r="K252" s="53">
        <f>IF(AND($B252&gt;0,SUM($E250:K250)&lt;=0.01),MIN(K251*100%/$B252*PRJ_Step/360,J249+K251-J251),0)</f>
        <v>0</v>
      </c>
      <c r="M252" s="11">
        <f>SUM(F252:K252)</f>
        <v>0</v>
      </c>
      <c r="N252" s="116"/>
      <c r="O252" s="116"/>
    </row>
    <row r="253" spans="1:15" hidden="1" outlineLevel="2" x14ac:dyDescent="0.2">
      <c r="A253" s="24" t="str">
        <f ca="1">Language!A$359</f>
        <v xml:space="preserve">    накопленная амортизация</v>
      </c>
      <c r="B253" s="159"/>
      <c r="C253" s="26" t="str">
        <f t="shared" ca="1" si="150"/>
        <v>руб.</v>
      </c>
      <c r="D253" s="19" t="s">
        <v>384</v>
      </c>
      <c r="E253" s="19"/>
      <c r="F253" s="53">
        <f t="shared" ref="F253:K253" si="155">E253+F252</f>
        <v>0</v>
      </c>
      <c r="G253" s="53">
        <f t="shared" si="155"/>
        <v>0</v>
      </c>
      <c r="H253" s="53">
        <f t="shared" si="155"/>
        <v>0</v>
      </c>
      <c r="I253" s="53">
        <f t="shared" si="155"/>
        <v>0</v>
      </c>
      <c r="J253" s="53">
        <f t="shared" si="155"/>
        <v>0</v>
      </c>
      <c r="K253" s="53">
        <f t="shared" si="155"/>
        <v>0</v>
      </c>
      <c r="N253" s="116"/>
      <c r="O253" s="116"/>
    </row>
    <row r="254" spans="1:15" hidden="1" outlineLevel="2" x14ac:dyDescent="0.2">
      <c r="A254" s="24" t="str">
        <f ca="1">Language!A$362</f>
        <v xml:space="preserve">    прибыль/убыток от реализации актива</v>
      </c>
      <c r="B254" s="159"/>
      <c r="C254" s="26" t="str">
        <f t="shared" ca="1" si="150"/>
        <v>руб.</v>
      </c>
      <c r="D254" s="19"/>
      <c r="E254" s="19"/>
      <c r="F254" s="83">
        <f t="shared" ref="F254:K254" si="156">IF(F250=0,0,F250-E249)</f>
        <v>0</v>
      </c>
      <c r="G254" s="83">
        <f t="shared" si="156"/>
        <v>0</v>
      </c>
      <c r="H254" s="83">
        <f t="shared" si="156"/>
        <v>0</v>
      </c>
      <c r="I254" s="83">
        <f t="shared" si="156"/>
        <v>0</v>
      </c>
      <c r="J254" s="83">
        <f t="shared" si="156"/>
        <v>0</v>
      </c>
      <c r="K254" s="83">
        <f t="shared" si="156"/>
        <v>0</v>
      </c>
      <c r="M254" s="11">
        <f>SUM(F254:K254)</f>
        <v>0</v>
      </c>
      <c r="N254" s="116"/>
      <c r="O254" s="116"/>
    </row>
    <row r="255" spans="1:15" hidden="1" outlineLevel="2" x14ac:dyDescent="0.2">
      <c r="A255" s="24" t="str">
        <f ca="1">Language!A$363</f>
        <v xml:space="preserve">    НДС к выручке от реализации актива</v>
      </c>
      <c r="B255" s="268">
        <f>VAT</f>
        <v>0</v>
      </c>
      <c r="C255" s="26" t="str">
        <f t="shared" ca="1" si="150"/>
        <v>руб.</v>
      </c>
      <c r="D255" s="19"/>
      <c r="E255" s="19"/>
      <c r="F255">
        <f t="shared" ref="F255:J255" si="157">F250*$B255</f>
        <v>0</v>
      </c>
      <c r="G255">
        <f t="shared" si="157"/>
        <v>0</v>
      </c>
      <c r="H255">
        <f t="shared" si="157"/>
        <v>0</v>
      </c>
      <c r="I255">
        <f t="shared" si="157"/>
        <v>0</v>
      </c>
      <c r="J255">
        <f t="shared" si="157"/>
        <v>0</v>
      </c>
      <c r="K255">
        <f t="shared" ref="K255" si="158">K250*$B255</f>
        <v>0</v>
      </c>
      <c r="M255" s="11">
        <f>SUM(F255:K255)</f>
        <v>0</v>
      </c>
      <c r="N255" s="116"/>
      <c r="O255" s="116"/>
    </row>
    <row r="256" spans="1:15" s="48" customFormat="1" outlineLevel="1" x14ac:dyDescent="0.2">
      <c r="A256" s="128"/>
      <c r="B256" s="11" t="str">
        <f ca="1">Language!A$354</f>
        <v xml:space="preserve">  Амортизация</v>
      </c>
      <c r="C256" s="100"/>
      <c r="D256" s="45"/>
      <c r="E256" s="45"/>
      <c r="M256" s="41"/>
      <c r="N256" s="303"/>
      <c r="O256" s="303"/>
    </row>
    <row r="257" spans="1:15" outlineLevel="1" x14ac:dyDescent="0.2">
      <c r="A257" s="62" t="str">
        <f ca="1">Language!A366</f>
        <v>Оборудование и другие активы</v>
      </c>
      <c r="B257" s="271">
        <v>5</v>
      </c>
      <c r="C257" s="40" t="str">
        <f ca="1">Language!A$33</f>
        <v>лет</v>
      </c>
      <c r="D257" s="19"/>
      <c r="E257" s="19"/>
      <c r="F257" s="43"/>
      <c r="G257" s="43"/>
      <c r="H257" s="43"/>
      <c r="I257" s="43"/>
      <c r="J257" s="43"/>
      <c r="K257" s="43"/>
      <c r="N257" s="116"/>
      <c r="O257" s="116"/>
    </row>
    <row r="258" spans="1:15" outlineLevel="1" x14ac:dyDescent="0.2">
      <c r="A258" s="24" t="str">
        <f ca="1">Language!A$360</f>
        <v xml:space="preserve">    остаточная стоимость</v>
      </c>
      <c r="B258" s="159"/>
      <c r="C258" s="26" t="str">
        <f ca="1">CUR_Main</f>
        <v>руб.</v>
      </c>
      <c r="D258" s="19" t="s">
        <v>384</v>
      </c>
      <c r="E258" s="19">
        <f>E260</f>
        <v>0</v>
      </c>
      <c r="F258" s="43">
        <f>IF(SUM($F259:F259)&gt;0.01,0,F260-F262)</f>
        <v>0</v>
      </c>
      <c r="G258" s="43">
        <f>IF(SUM($F259:G259)&gt;0.01,0,G260-G262)</f>
        <v>0</v>
      </c>
      <c r="H258" s="43">
        <f>IF(SUM($F259:H259)&gt;0.01,0,H260-H262)</f>
        <v>0</v>
      </c>
      <c r="I258" s="43">
        <f>IF(SUM($F259:I259)&gt;0.01,0,I260-I262)</f>
        <v>0</v>
      </c>
      <c r="J258" s="43">
        <f>IF(SUM($F259:J259)&gt;0.01,0,J260-J262)</f>
        <v>0</v>
      </c>
      <c r="K258" s="43">
        <f>IF(SUM($F259:K259)&gt;0.01,0,K260-K262)</f>
        <v>0</v>
      </c>
      <c r="N258" s="116"/>
      <c r="O258" s="116"/>
    </row>
    <row r="259" spans="1:15" outlineLevel="1" collapsed="1" x14ac:dyDescent="0.2">
      <c r="A259" s="24" t="str">
        <f ca="1">Language!A$361</f>
        <v xml:space="preserve">    реализация актива (без НДС)</v>
      </c>
      <c r="B259" s="159"/>
      <c r="C259" s="26" t="str">
        <f ca="1">CUR_Main</f>
        <v>руб.</v>
      </c>
      <c r="D259" s="19"/>
      <c r="E259" s="19"/>
      <c r="F259" s="276">
        <v>0</v>
      </c>
      <c r="G259" s="276"/>
      <c r="H259" s="276"/>
      <c r="I259" s="276"/>
      <c r="J259" s="276"/>
      <c r="K259" s="276"/>
      <c r="M259" s="11">
        <f>SUM(F259:K259)</f>
        <v>0</v>
      </c>
      <c r="N259" s="116"/>
      <c r="O259" s="116"/>
    </row>
    <row r="260" spans="1:15" hidden="1" outlineLevel="2" x14ac:dyDescent="0.2">
      <c r="A260" s="24" t="str">
        <f ca="1">Language!A$357</f>
        <v xml:space="preserve">    первоначальная стоимость</v>
      </c>
      <c r="B260" s="139"/>
      <c r="C260" s="26" t="str">
        <f t="shared" ca="1" si="150"/>
        <v>руб.</v>
      </c>
      <c r="D260" s="19" t="s">
        <v>384</v>
      </c>
      <c r="E260" s="19">
        <f>F42*IF(B$37=1,1,F$88)</f>
        <v>0</v>
      </c>
      <c r="F260">
        <f>IF(SUM($F259:F259)&gt;0.01,0,E260)</f>
        <v>0</v>
      </c>
      <c r="G260">
        <f>IF(SUM($F259:G259)&gt;0.01,0,F260)</f>
        <v>0</v>
      </c>
      <c r="H260">
        <f>IF(SUM($F259:H259)&gt;0.01,0,G260)</f>
        <v>0</v>
      </c>
      <c r="I260">
        <f>IF(SUM($F259:I259)&gt;0.01,0,H260)</f>
        <v>0</v>
      </c>
      <c r="J260">
        <f>IF(SUM($F259:J259)&gt;0.01,0,I260)</f>
        <v>0</v>
      </c>
      <c r="K260">
        <f>IF(SUM($F259:K259)&gt;0.01,0,J260)</f>
        <v>0</v>
      </c>
      <c r="N260" s="116"/>
      <c r="O260" s="116"/>
    </row>
    <row r="261" spans="1:15" hidden="1" outlineLevel="2" x14ac:dyDescent="0.2">
      <c r="A261" s="24" t="str">
        <f ca="1">Language!A$358</f>
        <v xml:space="preserve">    амортизация (линейная),       для срока использования:</v>
      </c>
      <c r="B261" s="139">
        <f>B257</f>
        <v>5</v>
      </c>
      <c r="C261" s="115" t="str">
        <f ca="1">Language!A$33</f>
        <v>лет</v>
      </c>
      <c r="D261" s="19"/>
      <c r="E261" s="19"/>
      <c r="F261" s="53">
        <f>IF(AND($B261&gt;0,SUM($E259:F259)&lt;=0.01),MIN(F260*100%/$B261*PRJ_Step/360,E258+F260-E260),0)</f>
        <v>0</v>
      </c>
      <c r="G261" s="53">
        <f>IF(AND($B261&gt;0,SUM($E259:G259)&lt;=0.01),MIN(G260*100%/$B261*PRJ_Step/360,F258+G260-F260),0)</f>
        <v>0</v>
      </c>
      <c r="H261" s="53">
        <f>IF(AND($B261&gt;0,SUM($E259:H259)&lt;=0.01),MIN(H260*100%/$B261*PRJ_Step/360,G258+H260-G260),0)</f>
        <v>0</v>
      </c>
      <c r="I261" s="53">
        <f>IF(AND($B261&gt;0,SUM($E259:I259)&lt;=0.01),MIN(I260*100%/$B261*PRJ_Step/360,H258+I260-H260),0)</f>
        <v>0</v>
      </c>
      <c r="J261" s="53">
        <f>IF(AND($B261&gt;0,SUM($E259:J259)&lt;=0.01),MIN(J260*100%/$B261*PRJ_Step/360,I258+J260-I260),0)</f>
        <v>0</v>
      </c>
      <c r="K261" s="53">
        <f>IF(AND($B261&gt;0,SUM($E259:K259)&lt;=0.01),MIN(K260*100%/$B261*PRJ_Step/360,J258+K260-J260),0)</f>
        <v>0</v>
      </c>
      <c r="M261" s="11">
        <f>SUM(F261:K261)</f>
        <v>0</v>
      </c>
      <c r="N261" s="116"/>
      <c r="O261" s="116"/>
    </row>
    <row r="262" spans="1:15" hidden="1" outlineLevel="2" x14ac:dyDescent="0.2">
      <c r="A262" s="24" t="str">
        <f ca="1">Language!A$359</f>
        <v xml:space="preserve">    накопленная амортизация</v>
      </c>
      <c r="B262" s="159"/>
      <c r="C262" s="26" t="str">
        <f t="shared" ca="1" si="150"/>
        <v>руб.</v>
      </c>
      <c r="D262" s="19" t="s">
        <v>384</v>
      </c>
      <c r="E262" s="19"/>
      <c r="F262" s="53">
        <f t="shared" ref="F262:K262" si="159">E262+F261</f>
        <v>0</v>
      </c>
      <c r="G262" s="53">
        <f t="shared" si="159"/>
        <v>0</v>
      </c>
      <c r="H262" s="53">
        <f t="shared" si="159"/>
        <v>0</v>
      </c>
      <c r="I262" s="53">
        <f t="shared" si="159"/>
        <v>0</v>
      </c>
      <c r="J262" s="53">
        <f t="shared" si="159"/>
        <v>0</v>
      </c>
      <c r="K262" s="53">
        <f t="shared" si="159"/>
        <v>0</v>
      </c>
      <c r="N262" s="116"/>
      <c r="O262" s="116"/>
    </row>
    <row r="263" spans="1:15" hidden="1" outlineLevel="2" x14ac:dyDescent="0.2">
      <c r="A263" s="24" t="str">
        <f ca="1">Language!A$362</f>
        <v xml:space="preserve">    прибыль/убыток от реализации актива</v>
      </c>
      <c r="B263" s="159"/>
      <c r="C263" s="26" t="str">
        <f t="shared" ca="1" si="150"/>
        <v>руб.</v>
      </c>
      <c r="D263" s="19"/>
      <c r="E263" s="19"/>
      <c r="F263" s="111">
        <f t="shared" ref="F263:K263" si="160">IF(F259=0,0,F259-E258)</f>
        <v>0</v>
      </c>
      <c r="G263" s="111">
        <f t="shared" si="160"/>
        <v>0</v>
      </c>
      <c r="H263" s="111">
        <f t="shared" si="160"/>
        <v>0</v>
      </c>
      <c r="I263" s="111">
        <f t="shared" si="160"/>
        <v>0</v>
      </c>
      <c r="J263" s="111">
        <f t="shared" si="160"/>
        <v>0</v>
      </c>
      <c r="K263" s="111">
        <f t="shared" si="160"/>
        <v>0</v>
      </c>
      <c r="M263" s="11">
        <f>SUM(F263:K263)</f>
        <v>0</v>
      </c>
      <c r="N263" s="116"/>
      <c r="O263" s="116"/>
    </row>
    <row r="264" spans="1:15" hidden="1" outlineLevel="2" x14ac:dyDescent="0.2">
      <c r="A264" s="24" t="str">
        <f ca="1">Language!A$363</f>
        <v xml:space="preserve">    НДС к выручке от реализации актива</v>
      </c>
      <c r="B264" s="268">
        <f>VAT</f>
        <v>0</v>
      </c>
      <c r="C264" s="26" t="str">
        <f t="shared" ca="1" si="150"/>
        <v>руб.</v>
      </c>
      <c r="D264" s="19"/>
      <c r="E264" s="19"/>
      <c r="F264">
        <f t="shared" ref="F264:J264" si="161">F259*$B264</f>
        <v>0</v>
      </c>
      <c r="G264">
        <f t="shared" si="161"/>
        <v>0</v>
      </c>
      <c r="H264">
        <f t="shared" si="161"/>
        <v>0</v>
      </c>
      <c r="I264">
        <f t="shared" si="161"/>
        <v>0</v>
      </c>
      <c r="J264">
        <f t="shared" si="161"/>
        <v>0</v>
      </c>
      <c r="K264">
        <f t="shared" ref="K264" si="162">K259*$B264</f>
        <v>0</v>
      </c>
      <c r="M264" s="11">
        <f>SUM(F264:K264)</f>
        <v>0</v>
      </c>
      <c r="N264" s="116"/>
      <c r="O264" s="116"/>
    </row>
    <row r="265" spans="1:15" s="48" customFormat="1" outlineLevel="1" x14ac:dyDescent="0.2">
      <c r="A265" s="128"/>
      <c r="B265" s="11" t="str">
        <f ca="1">Language!A$354</f>
        <v xml:space="preserve">  Амортизация</v>
      </c>
      <c r="C265" s="100"/>
      <c r="D265" s="45"/>
      <c r="E265" s="45"/>
      <c r="M265" s="41"/>
      <c r="N265" s="303"/>
      <c r="O265" s="303"/>
    </row>
    <row r="266" spans="1:15" outlineLevel="1" x14ac:dyDescent="0.2">
      <c r="A266" s="35" t="str">
        <f ca="1">Language!A$409</f>
        <v>Расходы будущих периодов</v>
      </c>
      <c r="B266" s="271">
        <v>2</v>
      </c>
      <c r="C266" s="40" t="str">
        <f ca="1">Language!A$33</f>
        <v>лет</v>
      </c>
      <c r="D266" s="19"/>
      <c r="E266" s="19"/>
      <c r="F266" s="43"/>
      <c r="G266" s="43"/>
      <c r="H266" s="43"/>
      <c r="I266" s="43"/>
      <c r="J266" s="43"/>
      <c r="K266" s="43"/>
      <c r="N266" s="116"/>
      <c r="O266" s="116"/>
    </row>
    <row r="267" spans="1:15" outlineLevel="1" collapsed="1" x14ac:dyDescent="0.2">
      <c r="A267" s="24" t="str">
        <f ca="1">Language!A$360</f>
        <v xml:space="preserve">    остаточная стоимость</v>
      </c>
      <c r="B267" s="159"/>
      <c r="C267" s="26" t="str">
        <f ca="1">CUR_Main</f>
        <v>руб.</v>
      </c>
      <c r="D267" s="19" t="s">
        <v>384</v>
      </c>
      <c r="E267" s="19">
        <f>E268</f>
        <v>0</v>
      </c>
      <c r="F267" s="43">
        <f t="shared" ref="F267:J267" si="163">F268-F270</f>
        <v>0</v>
      </c>
      <c r="G267" s="43">
        <f t="shared" si="163"/>
        <v>0</v>
      </c>
      <c r="H267" s="43">
        <f t="shared" si="163"/>
        <v>0</v>
      </c>
      <c r="I267" s="43">
        <f t="shared" si="163"/>
        <v>0</v>
      </c>
      <c r="J267" s="43">
        <f t="shared" si="163"/>
        <v>0</v>
      </c>
      <c r="K267" s="43">
        <f t="shared" ref="K267" si="164">K268-K270</f>
        <v>0</v>
      </c>
      <c r="N267" s="116"/>
      <c r="O267" s="116"/>
    </row>
    <row r="268" spans="1:15" ht="11.25" hidden="1" customHeight="1" outlineLevel="2" x14ac:dyDescent="0.2">
      <c r="A268" s="24" t="str">
        <f ca="1">Language!A$357</f>
        <v xml:space="preserve">    первоначальная стоимость</v>
      </c>
      <c r="B268" s="139"/>
      <c r="C268" s="26" t="str">
        <f t="shared" ca="1" si="150"/>
        <v>руб.</v>
      </c>
      <c r="D268" s="19" t="s">
        <v>384</v>
      </c>
      <c r="E268" s="19">
        <f>F55*IF(B$37=1,1,F$88)</f>
        <v>0</v>
      </c>
      <c r="F268" s="43">
        <f t="shared" ref="F268:K268" si="165">E268</f>
        <v>0</v>
      </c>
      <c r="G268" s="43">
        <f t="shared" si="165"/>
        <v>0</v>
      </c>
      <c r="H268" s="43">
        <f t="shared" si="165"/>
        <v>0</v>
      </c>
      <c r="I268" s="43">
        <f t="shared" si="165"/>
        <v>0</v>
      </c>
      <c r="J268" s="43">
        <f t="shared" si="165"/>
        <v>0</v>
      </c>
      <c r="K268" s="43">
        <f t="shared" si="165"/>
        <v>0</v>
      </c>
      <c r="N268" s="116"/>
      <c r="O268" s="116"/>
    </row>
    <row r="269" spans="1:15" ht="11.25" hidden="1" customHeight="1" outlineLevel="2" x14ac:dyDescent="0.2">
      <c r="A269" s="24" t="str">
        <f ca="1">Language!A$358</f>
        <v xml:space="preserve">    амортизация (линейная),       для срока использования:</v>
      </c>
      <c r="B269" s="139">
        <f>B266</f>
        <v>2</v>
      </c>
      <c r="C269" s="115" t="str">
        <f ca="1">Language!A$33</f>
        <v>лет</v>
      </c>
      <c r="D269" s="19"/>
      <c r="E269" s="19"/>
      <c r="F269" s="53">
        <f t="shared" ref="F269:K269" si="166">IF($B269&gt;0,MIN(F268*100%/$B269*PRJ_Step/360,E267+F268-E268),0)</f>
        <v>0</v>
      </c>
      <c r="G269" s="53">
        <f t="shared" si="166"/>
        <v>0</v>
      </c>
      <c r="H269" s="53">
        <f t="shared" si="166"/>
        <v>0</v>
      </c>
      <c r="I269" s="53">
        <f t="shared" si="166"/>
        <v>0</v>
      </c>
      <c r="J269" s="53">
        <f t="shared" si="166"/>
        <v>0</v>
      </c>
      <c r="K269" s="53">
        <f t="shared" si="166"/>
        <v>0</v>
      </c>
      <c r="M269" s="11">
        <f>SUM(F269:K269)</f>
        <v>0</v>
      </c>
      <c r="N269" s="116"/>
      <c r="O269" s="116"/>
    </row>
    <row r="270" spans="1:15" ht="11.25" hidden="1" customHeight="1" outlineLevel="2" x14ac:dyDescent="0.2">
      <c r="A270" s="24" t="str">
        <f ca="1">Language!A$359</f>
        <v xml:space="preserve">    накопленная амортизация</v>
      </c>
      <c r="B270" s="159"/>
      <c r="C270" s="26" t="str">
        <f ca="1">CUR_Main</f>
        <v>руб.</v>
      </c>
      <c r="D270" s="19" t="s">
        <v>384</v>
      </c>
      <c r="E270" s="19"/>
      <c r="F270" s="53">
        <f t="shared" ref="F270:K270" si="167">E270+F269</f>
        <v>0</v>
      </c>
      <c r="G270" s="53">
        <f t="shared" si="167"/>
        <v>0</v>
      </c>
      <c r="H270" s="53">
        <f t="shared" si="167"/>
        <v>0</v>
      </c>
      <c r="I270" s="53">
        <f t="shared" si="167"/>
        <v>0</v>
      </c>
      <c r="J270" s="53">
        <f t="shared" si="167"/>
        <v>0</v>
      </c>
      <c r="K270" s="53">
        <f t="shared" si="167"/>
        <v>0</v>
      </c>
      <c r="N270" s="116"/>
      <c r="O270" s="116"/>
    </row>
    <row r="271" spans="1:15" outlineLevel="1" x14ac:dyDescent="0.2"/>
    <row r="272" spans="1:15" outlineLevel="1" x14ac:dyDescent="0.2">
      <c r="A272" s="35" t="str">
        <f ca="1">Language!A$406</f>
        <v>Финансовые вложения</v>
      </c>
      <c r="B272" s="19"/>
      <c r="C272" s="26"/>
      <c r="N272" s="116"/>
      <c r="O272" s="116"/>
    </row>
    <row r="273" spans="1:15" outlineLevel="1" x14ac:dyDescent="0.2">
      <c r="A273" s="24" t="str">
        <f ca="1">Language!A$360</f>
        <v xml:space="preserve">    остаточная стоимость</v>
      </c>
      <c r="B273" s="19"/>
      <c r="C273" s="26" t="str">
        <f t="shared" ca="1" si="150"/>
        <v>руб.</v>
      </c>
      <c r="D273" s="19" t="s">
        <v>384</v>
      </c>
      <c r="E273" s="19">
        <f>F49*IF(B$37=1,1,F$88)</f>
        <v>0</v>
      </c>
      <c r="F273">
        <f>IF(SUM($F275:F275)&gt;0.01,0,E273)</f>
        <v>0</v>
      </c>
      <c r="G273">
        <f>IF(SUM($F275:G275)&gt;0.01,0,F273)</f>
        <v>0</v>
      </c>
      <c r="H273">
        <f>IF(SUM($F275:H275)&gt;0.01,0,G273)</f>
        <v>0</v>
      </c>
      <c r="I273">
        <f>IF(SUM($F275:I275)&gt;0.01,0,H273)</f>
        <v>0</v>
      </c>
      <c r="J273">
        <f>IF(SUM($F275:J275)&gt;0.01,0,I273)</f>
        <v>0</v>
      </c>
      <c r="K273">
        <f>IF(SUM($F275:K275)&gt;0.01,0,J273)</f>
        <v>0</v>
      </c>
      <c r="N273" s="116"/>
      <c r="O273" s="116"/>
    </row>
    <row r="274" spans="1:15" outlineLevel="1" x14ac:dyDescent="0.2">
      <c r="A274" s="24" t="str">
        <f ca="1">Language!A369</f>
        <v xml:space="preserve">    доходность финансовых вложений</v>
      </c>
      <c r="B274" s="268">
        <v>0.1</v>
      </c>
      <c r="C274" s="26" t="str">
        <f t="shared" ca="1" si="150"/>
        <v>руб.</v>
      </c>
      <c r="D274" s="19"/>
      <c r="E274" s="19"/>
      <c r="F274" s="272">
        <f t="shared" ref="F274:J274" si="168">F273*$B274*PRJ_Step/360</f>
        <v>0</v>
      </c>
      <c r="G274" s="272">
        <f t="shared" si="168"/>
        <v>0</v>
      </c>
      <c r="H274" s="272">
        <f t="shared" si="168"/>
        <v>0</v>
      </c>
      <c r="I274" s="272">
        <f t="shared" si="168"/>
        <v>0</v>
      </c>
      <c r="J274" s="272">
        <f t="shared" si="168"/>
        <v>0</v>
      </c>
      <c r="K274" s="272">
        <f t="shared" ref="K274" si="169">K273*$B274*PRJ_Step/360</f>
        <v>0</v>
      </c>
      <c r="M274" s="11">
        <f>SUM(F274:K274)</f>
        <v>0</v>
      </c>
      <c r="N274" s="116"/>
      <c r="O274" s="116"/>
    </row>
    <row r="275" spans="1:15" outlineLevel="1" collapsed="1" x14ac:dyDescent="0.2">
      <c r="A275" s="23" t="str">
        <f ca="1">Language!A$361</f>
        <v xml:space="preserve">    реализация актива (без НДС)</v>
      </c>
      <c r="B275" s="159"/>
      <c r="C275" s="26" t="str">
        <f t="shared" ca="1" si="150"/>
        <v>руб.</v>
      </c>
      <c r="D275" s="19"/>
      <c r="E275" s="19"/>
      <c r="F275" s="272">
        <v>0</v>
      </c>
      <c r="G275" s="272">
        <v>0</v>
      </c>
      <c r="H275" s="272">
        <v>0</v>
      </c>
      <c r="I275" s="272">
        <v>0</v>
      </c>
      <c r="J275" s="272">
        <v>0</v>
      </c>
      <c r="K275" s="272">
        <v>0</v>
      </c>
      <c r="M275" s="11">
        <f>SUM(F275:K275)</f>
        <v>0</v>
      </c>
      <c r="N275" s="116"/>
      <c r="O275" s="116"/>
    </row>
    <row r="276" spans="1:15" hidden="1" outlineLevel="2" x14ac:dyDescent="0.2">
      <c r="A276" s="23" t="str">
        <f ca="1">Language!A$362</f>
        <v xml:space="preserve">    прибыль/убыток от реализации актива</v>
      </c>
      <c r="B276" s="44"/>
      <c r="C276" s="5" t="str">
        <f t="shared" ca="1" si="150"/>
        <v>руб.</v>
      </c>
      <c r="F276" s="111">
        <f t="shared" ref="F276:K276" si="170">IF(F275=0,0,F275-E273)</f>
        <v>0</v>
      </c>
      <c r="G276" s="111">
        <f t="shared" si="170"/>
        <v>0</v>
      </c>
      <c r="H276" s="111">
        <f t="shared" si="170"/>
        <v>0</v>
      </c>
      <c r="I276" s="111">
        <f t="shared" si="170"/>
        <v>0</v>
      </c>
      <c r="J276" s="111">
        <f t="shared" si="170"/>
        <v>0</v>
      </c>
      <c r="K276" s="111">
        <f t="shared" si="170"/>
        <v>0</v>
      </c>
      <c r="M276" s="11">
        <f>SUM(F276:K276)</f>
        <v>0</v>
      </c>
      <c r="N276" s="116"/>
      <c r="O276" s="116"/>
    </row>
    <row r="277" spans="1:15" hidden="1" outlineLevel="2" x14ac:dyDescent="0.2">
      <c r="A277" s="23" t="str">
        <f ca="1">Language!A$363</f>
        <v xml:space="preserve">    НДС к выручке от реализации актива</v>
      </c>
      <c r="B277" s="273">
        <f>VAT</f>
        <v>0</v>
      </c>
      <c r="C277" s="5" t="str">
        <f t="shared" ca="1" si="150"/>
        <v>руб.</v>
      </c>
      <c r="F277">
        <f t="shared" ref="F277:J277" si="171">F275*$B277</f>
        <v>0</v>
      </c>
      <c r="G277">
        <f t="shared" si="171"/>
        <v>0</v>
      </c>
      <c r="H277">
        <f t="shared" si="171"/>
        <v>0</v>
      </c>
      <c r="I277">
        <f t="shared" si="171"/>
        <v>0</v>
      </c>
      <c r="J277">
        <f t="shared" si="171"/>
        <v>0</v>
      </c>
      <c r="K277">
        <f t="shared" ref="K277" si="172">K275*$B277</f>
        <v>0</v>
      </c>
      <c r="M277" s="11">
        <f>SUM(F277:K277)</f>
        <v>0</v>
      </c>
      <c r="N277" s="116"/>
      <c r="O277" s="116"/>
    </row>
    <row r="278" spans="1:15" outlineLevel="1" x14ac:dyDescent="0.2">
      <c r="A278" s="35"/>
      <c r="N278" s="116"/>
      <c r="O278" s="116"/>
    </row>
    <row r="279" spans="1:15" outlineLevel="1" x14ac:dyDescent="0.2">
      <c r="A279" s="140"/>
      <c r="B279" s="63"/>
      <c r="C279" s="63"/>
      <c r="D279" s="63"/>
      <c r="E279" s="63"/>
      <c r="F279" s="63"/>
      <c r="G279" s="63"/>
      <c r="H279" s="63"/>
      <c r="I279" s="63"/>
      <c r="J279" s="63"/>
      <c r="K279" s="63"/>
      <c r="L279" s="63"/>
      <c r="M279" s="64"/>
      <c r="N279" s="116"/>
      <c r="O279" s="116"/>
    </row>
    <row r="280" spans="1:15" outlineLevel="1" x14ac:dyDescent="0.2">
      <c r="A280" s="35"/>
      <c r="N280" s="116"/>
      <c r="O280" s="116"/>
    </row>
    <row r="281" spans="1:15" s="4" customFormat="1" ht="15.9" customHeight="1" thickBot="1" x14ac:dyDescent="0.25">
      <c r="A281" s="166" t="str">
        <f ca="1">Language!A370</f>
        <v xml:space="preserve">         ИНВЕСТИЦИИ ПРОЕКТА</v>
      </c>
      <c r="B281" s="166"/>
      <c r="C281" s="166"/>
      <c r="D281" s="166"/>
      <c r="E281" s="166"/>
      <c r="F281" s="178" t="str">
        <f t="shared" ref="F281:K281" si="173">PeriodTitle</f>
        <v>4/ 2020</v>
      </c>
      <c r="G281" s="178" t="str">
        <f t="shared" si="173"/>
        <v>5/ 2020</v>
      </c>
      <c r="H281" s="178" t="str">
        <f t="shared" si="173"/>
        <v>6/ 2020</v>
      </c>
      <c r="I281" s="178" t="str">
        <f t="shared" si="173"/>
        <v>7/ 2020</v>
      </c>
      <c r="J281" s="178" t="str">
        <f t="shared" si="173"/>
        <v>8/ 2020</v>
      </c>
      <c r="K281" s="178" t="str">
        <f t="shared" si="173"/>
        <v>9/ 2020</v>
      </c>
      <c r="L281" s="166"/>
      <c r="M281" s="195" t="str">
        <f ca="1">Language!$A$371</f>
        <v>ИТОГО</v>
      </c>
      <c r="N281" s="143"/>
      <c r="O281" s="143"/>
    </row>
    <row r="282" spans="1:15" ht="10.8" outlineLevel="1" thickTop="1" x14ac:dyDescent="0.2">
      <c r="A282" s="35"/>
      <c r="N282" s="116"/>
      <c r="O282" s="116"/>
    </row>
    <row r="283" spans="1:15" outlineLevel="1" x14ac:dyDescent="0.2">
      <c r="A283" s="35" t="str">
        <f ca="1">Language!A$378</f>
        <v>Земельные участки</v>
      </c>
      <c r="D283">
        <v>1</v>
      </c>
      <c r="E283" s="48">
        <v>13</v>
      </c>
      <c r="N283" s="116"/>
      <c r="O283" s="116"/>
    </row>
    <row r="284" spans="1:15" s="23" customFormat="1" outlineLevel="1" x14ac:dyDescent="0.2">
      <c r="A284" s="274" t="s">
        <v>185</v>
      </c>
      <c r="B284" s="36" t="str">
        <f ca="1">Language!A$73</f>
        <v>Валюта</v>
      </c>
      <c r="F284" s="42"/>
      <c r="G284" s="42"/>
      <c r="H284" s="42"/>
      <c r="I284" s="42"/>
      <c r="J284" s="42"/>
      <c r="K284" s="42"/>
      <c r="M284" s="39"/>
    </row>
    <row r="285" spans="1:15" s="23" customFormat="1" outlineLevel="1" collapsed="1" x14ac:dyDescent="0.2">
      <c r="A285" t="str">
        <f ca="1">Language!A$380</f>
        <v xml:space="preserve">    величина платежей</v>
      </c>
      <c r="B285" s="255">
        <v>1</v>
      </c>
      <c r="C285" s="40" t="str">
        <f ca="1">CHOOSE(B285,CUR_Main,CUR_Foreign)</f>
        <v>руб.</v>
      </c>
      <c r="D285" s="16" t="str">
        <f>TEXT(B285,"0")&amp;"_00"</f>
        <v>1_00</v>
      </c>
      <c r="F285" s="276">
        <v>0</v>
      </c>
      <c r="G285" s="276">
        <v>0</v>
      </c>
      <c r="H285" s="276">
        <v>0</v>
      </c>
      <c r="I285" s="276">
        <v>0</v>
      </c>
      <c r="J285" s="276">
        <v>0</v>
      </c>
      <c r="K285" s="276">
        <v>0</v>
      </c>
      <c r="M285" s="54">
        <f>SUM(F285:K285)</f>
        <v>0</v>
      </c>
    </row>
    <row r="286" spans="1:15" s="23" customFormat="1" hidden="1" outlineLevel="2" x14ac:dyDescent="0.2">
      <c r="A286" t="str">
        <f ca="1">Language!A$383</f>
        <v xml:space="preserve">    ранее осуществленные инвестиции (без НДС)</v>
      </c>
      <c r="B286" s="275">
        <f>F45*IF(B$37=1,1,F$88)</f>
        <v>0</v>
      </c>
      <c r="C286" s="40" t="str">
        <f ca="1">CUR_Main</f>
        <v>руб.</v>
      </c>
      <c r="D286" s="23" t="s">
        <v>2621</v>
      </c>
      <c r="M286" s="11"/>
    </row>
    <row r="287" spans="1:15" s="23" customFormat="1" hidden="1" outlineLevel="2" x14ac:dyDescent="0.2">
      <c r="A287" t="str">
        <f ca="1">Language!A$384</f>
        <v xml:space="preserve">    поставить на баланс с</v>
      </c>
      <c r="B287" s="271">
        <f ca="1">MATCH(OFFSET(M290,0,-2),F290:K290,0)</f>
        <v>1</v>
      </c>
      <c r="C287" s="40" t="str">
        <f ca="1">Language!A$376</f>
        <v>периода</v>
      </c>
      <c r="M287" s="11"/>
    </row>
    <row r="288" spans="1:15" s="23" customFormat="1" hidden="1" outlineLevel="2" x14ac:dyDescent="0.2">
      <c r="A288" t="str">
        <f ca="1">Language!A$385</f>
        <v xml:space="preserve">    сумма платежей без НДС</v>
      </c>
      <c r="C288" s="40" t="str">
        <f t="shared" ref="C288:C296" ca="1" si="174">CUR_Main</f>
        <v>руб.</v>
      </c>
      <c r="D288" s="23" t="s">
        <v>188</v>
      </c>
      <c r="F288" s="84">
        <f t="shared" ref="F288:J288" si="175">F285*IF($B285=1,1,F$88)</f>
        <v>0</v>
      </c>
      <c r="G288" s="84">
        <f t="shared" si="175"/>
        <v>0</v>
      </c>
      <c r="H288" s="84">
        <f t="shared" si="175"/>
        <v>0</v>
      </c>
      <c r="I288" s="84">
        <f t="shared" si="175"/>
        <v>0</v>
      </c>
      <c r="J288" s="84">
        <f t="shared" si="175"/>
        <v>0</v>
      </c>
      <c r="K288" s="84">
        <f t="shared" ref="K288" si="176">K285*IF($B285=1,1,K$88)</f>
        <v>0</v>
      </c>
      <c r="M288" s="54">
        <f>SUM(F288:K288)</f>
        <v>0</v>
      </c>
    </row>
    <row r="289" spans="1:15" s="23" customFormat="1" hidden="1" outlineLevel="2" x14ac:dyDescent="0.2">
      <c r="A289" t="str">
        <f ca="1">Language!A$386</f>
        <v xml:space="preserve">    общая стоимость актива (без НДС)</v>
      </c>
      <c r="B289" s="55">
        <f>M288+B286</f>
        <v>0</v>
      </c>
      <c r="C289" s="40" t="str">
        <f t="shared" ca="1" si="174"/>
        <v>руб.</v>
      </c>
      <c r="M289" s="11"/>
    </row>
    <row r="290" spans="1:15" s="23" customFormat="1" hidden="1" outlineLevel="2" x14ac:dyDescent="0.2">
      <c r="A290" t="str">
        <f ca="1">Language!A$387</f>
        <v xml:space="preserve">    полная сумма вложений в актив (без НДС)</v>
      </c>
      <c r="C290" s="40" t="str">
        <f t="shared" ca="1" si="174"/>
        <v>руб.</v>
      </c>
      <c r="D290" s="23" t="s">
        <v>2270</v>
      </c>
      <c r="F290" s="53">
        <f>B286+F288</f>
        <v>0</v>
      </c>
      <c r="G290" s="53">
        <f t="shared" ref="G290:K290" si="177">F290+G288</f>
        <v>0</v>
      </c>
      <c r="H290" s="53">
        <f t="shared" si="177"/>
        <v>0</v>
      </c>
      <c r="I290" s="53">
        <f t="shared" si="177"/>
        <v>0</v>
      </c>
      <c r="J290" s="53">
        <f t="shared" si="177"/>
        <v>0</v>
      </c>
      <c r="K290" s="53">
        <f t="shared" si="177"/>
        <v>0</v>
      </c>
      <c r="M290" s="54"/>
    </row>
    <row r="291" spans="1:15" s="23" customFormat="1" hidden="1" outlineLevel="2" x14ac:dyDescent="0.2">
      <c r="A291" t="str">
        <f ca="1">Language!A$388</f>
        <v xml:space="preserve">    полная балансовая стоимость</v>
      </c>
      <c r="C291" s="40" t="str">
        <f t="shared" ca="1" si="174"/>
        <v>руб.</v>
      </c>
      <c r="D291" s="23" t="s">
        <v>2271</v>
      </c>
      <c r="F291" s="53">
        <f ca="1">IF($B287&lt;=F$29,IF(SUM($E295:F295)&gt;0.01,0,$B289),0)</f>
        <v>0</v>
      </c>
      <c r="G291" s="53">
        <f ca="1">IF($B287&lt;=G$29,IF(SUM($E295:G295)&gt;0.01,0,$B289),0)</f>
        <v>0</v>
      </c>
      <c r="H291" s="53">
        <f ca="1">IF($B287&lt;=H$29,IF(SUM($E295:H295)&gt;0.01,0,$B289),0)</f>
        <v>0</v>
      </c>
      <c r="I291" s="53">
        <f ca="1">IF($B287&lt;=I$29,IF(SUM($E295:I295)&gt;0.01,0,$B289),0)</f>
        <v>0</v>
      </c>
      <c r="J291" s="53">
        <f ca="1">IF($B287&lt;=J$29,IF(SUM($E295:J295)&gt;0.01,0,$B289),0)</f>
        <v>0</v>
      </c>
      <c r="K291" s="53">
        <f ca="1">IF($B287&lt;=K$29,IF(SUM($E295:K295)&gt;0.01,0,$B289),0)</f>
        <v>0</v>
      </c>
      <c r="M291" s="11"/>
    </row>
    <row r="292" spans="1:15" s="23" customFormat="1" hidden="1" outlineLevel="2" x14ac:dyDescent="0.2">
      <c r="A292" t="str">
        <f ca="1">Language!A$389</f>
        <v xml:space="preserve">    незавершенные инвестиции</v>
      </c>
      <c r="C292" s="40" t="str">
        <f t="shared" ca="1" si="174"/>
        <v>руб.</v>
      </c>
      <c r="D292" s="23" t="s">
        <v>2274</v>
      </c>
      <c r="F292" s="53">
        <f t="shared" ref="F292:J292" ca="1" si="178">IF($B287&gt;F$29,F290,0)</f>
        <v>0</v>
      </c>
      <c r="G292" s="53">
        <f t="shared" ca="1" si="178"/>
        <v>0</v>
      </c>
      <c r="H292" s="53">
        <f t="shared" ca="1" si="178"/>
        <v>0</v>
      </c>
      <c r="I292" s="53">
        <f t="shared" ca="1" si="178"/>
        <v>0</v>
      </c>
      <c r="J292" s="53">
        <f t="shared" ca="1" si="178"/>
        <v>0</v>
      </c>
      <c r="K292" s="53">
        <f t="shared" ref="K292" ca="1" si="179">IF($B287&gt;K$29,K290,0)</f>
        <v>0</v>
      </c>
      <c r="M292" s="11"/>
    </row>
    <row r="293" spans="1:15" s="23" customFormat="1" hidden="1" outlineLevel="2" x14ac:dyDescent="0.2">
      <c r="A293" t="str">
        <f ca="1">Language!A$390</f>
        <v xml:space="preserve">    кредиторская задолженность</v>
      </c>
      <c r="C293" s="40" t="str">
        <f t="shared" ca="1" si="174"/>
        <v>руб.</v>
      </c>
      <c r="D293" s="23" t="s">
        <v>2275</v>
      </c>
      <c r="F293" s="53">
        <f ca="1">IF(OR($B287&lt;=F$29,AND(SUM($F295:F295)&gt;0,$B287&gt;F$29)),$B289-F290,0)</f>
        <v>0</v>
      </c>
      <c r="G293" s="53">
        <f ca="1">IF(OR($B287&lt;=G$29,AND(SUM($F295:G295)&gt;0,$B287&gt;G$29)),$B289-G290,0)</f>
        <v>0</v>
      </c>
      <c r="H293" s="53">
        <f ca="1">IF(OR($B287&lt;=H$29,AND(SUM($F295:H295)&gt;0,$B287&gt;H$29)),$B289-H290,0)</f>
        <v>0</v>
      </c>
      <c r="I293" s="53">
        <f ca="1">IF(OR($B287&lt;=I$29,AND(SUM($F295:I295)&gt;0,$B287&gt;I$29)),$B289-I290,0)</f>
        <v>0</v>
      </c>
      <c r="J293" s="53">
        <f ca="1">IF(OR($B287&lt;=J$29,AND(SUM($F295:J295)&gt;0,$B287&gt;J$29)),$B289-J290,0)</f>
        <v>0</v>
      </c>
      <c r="K293" s="53">
        <f ca="1">IF(OR($B287&lt;=K$29,AND(SUM($F295:K295)&gt;0,$B287&gt;K$29)),$B289-K290,0)</f>
        <v>0</v>
      </c>
      <c r="M293" s="11"/>
    </row>
    <row r="294" spans="1:15" s="23" customFormat="1" hidden="1" outlineLevel="2" x14ac:dyDescent="0.2">
      <c r="A294" t="str">
        <f ca="1">Language!A$391</f>
        <v xml:space="preserve">    остаточная стоимость</v>
      </c>
      <c r="C294" s="40" t="str">
        <f t="shared" ca="1" si="174"/>
        <v>руб.</v>
      </c>
      <c r="D294" s="133" t="s">
        <v>2273</v>
      </c>
      <c r="F294" s="43">
        <f ca="1">IF(SUM($E295:F295)&gt;0.01,0,F291)</f>
        <v>0</v>
      </c>
      <c r="G294" s="43">
        <f ca="1">IF(SUM($E295:G295)&gt;0.01,0,G291)</f>
        <v>0</v>
      </c>
      <c r="H294" s="43">
        <f ca="1">IF(SUM($E295:H295)&gt;0.01,0,H291)</f>
        <v>0</v>
      </c>
      <c r="I294" s="43">
        <f ca="1">IF(SUM($E295:I295)&gt;0.01,0,I291)</f>
        <v>0</v>
      </c>
      <c r="J294" s="43">
        <f ca="1">IF(SUM($E295:J295)&gt;0.01,0,J291)</f>
        <v>0</v>
      </c>
      <c r="K294" s="43">
        <f ca="1">IF(SUM($E295:K295)&gt;0.01,0,K291)</f>
        <v>0</v>
      </c>
      <c r="M294" s="11"/>
    </row>
    <row r="295" spans="1:15" s="23" customFormat="1" hidden="1" outlineLevel="2" x14ac:dyDescent="0.2">
      <c r="A295" s="63" t="str">
        <f ca="1">Language!A$361</f>
        <v xml:space="preserve">    реализация актива (без НДС)</v>
      </c>
      <c r="B295" s="112"/>
      <c r="C295" s="114" t="str">
        <f t="shared" ca="1" si="174"/>
        <v>руб.</v>
      </c>
      <c r="D295" s="23" t="s">
        <v>2268</v>
      </c>
      <c r="E295" s="112"/>
      <c r="F295" s="272">
        <v>0</v>
      </c>
      <c r="G295" s="272">
        <v>0</v>
      </c>
      <c r="H295" s="272">
        <v>0</v>
      </c>
      <c r="I295" s="272">
        <v>0</v>
      </c>
      <c r="J295" s="272">
        <v>0</v>
      </c>
      <c r="K295" s="272">
        <v>0</v>
      </c>
      <c r="M295" s="54">
        <f>SUM(F295:K295)</f>
        <v>0</v>
      </c>
    </row>
    <row r="296" spans="1:15" s="23" customFormat="1" hidden="1" outlineLevel="2" x14ac:dyDescent="0.2">
      <c r="A296" s="19" t="str">
        <f ca="1">Language!A$362</f>
        <v xml:space="preserve">    прибыль/убыток от реализации актива</v>
      </c>
      <c r="B296" s="24"/>
      <c r="C296" s="115" t="str">
        <f t="shared" ca="1" si="174"/>
        <v>руб.</v>
      </c>
      <c r="D296" s="23" t="s">
        <v>2269</v>
      </c>
      <c r="E296" s="24"/>
      <c r="F296" s="111">
        <f t="shared" ref="F296:K296" si="180">IF(F295=0,0,F295-E294)</f>
        <v>0</v>
      </c>
      <c r="G296" s="111">
        <f t="shared" si="180"/>
        <v>0</v>
      </c>
      <c r="H296" s="111">
        <f t="shared" si="180"/>
        <v>0</v>
      </c>
      <c r="I296" s="111">
        <f t="shared" si="180"/>
        <v>0</v>
      </c>
      <c r="J296" s="111">
        <f t="shared" si="180"/>
        <v>0</v>
      </c>
      <c r="K296" s="111">
        <f t="shared" si="180"/>
        <v>0</v>
      </c>
      <c r="M296" s="54">
        <f>SUM(F296:K296)</f>
        <v>0</v>
      </c>
    </row>
    <row r="297" spans="1:15" outlineLevel="1" x14ac:dyDescent="0.2">
      <c r="A297" s="35"/>
      <c r="N297" s="116"/>
      <c r="O297" s="116"/>
    </row>
    <row r="298" spans="1:15" outlineLevel="1" x14ac:dyDescent="0.2">
      <c r="A298" s="35" t="str">
        <f ca="1">Language!A$392</f>
        <v>Здания и сооружения</v>
      </c>
      <c r="D298">
        <v>2</v>
      </c>
      <c r="E298" s="48">
        <v>21</v>
      </c>
    </row>
    <row r="299" spans="1:15" s="23" customFormat="1" outlineLevel="1" x14ac:dyDescent="0.2">
      <c r="A299" s="274" t="s">
        <v>185</v>
      </c>
      <c r="B299" s="36" t="str">
        <f ca="1">Language!A$73</f>
        <v>Валюта</v>
      </c>
      <c r="F299" s="42"/>
      <c r="G299" s="42"/>
      <c r="H299" s="42"/>
      <c r="I299" s="42"/>
      <c r="J299" s="42"/>
      <c r="K299" s="42"/>
      <c r="M299" s="39"/>
      <c r="N299" s="116"/>
      <c r="O299" s="116"/>
    </row>
    <row r="300" spans="1:15" s="23" customFormat="1" outlineLevel="1" collapsed="1" x14ac:dyDescent="0.2">
      <c r="A300" t="str">
        <f ca="1">Language!A$381</f>
        <v xml:space="preserve">    величина платежей (с НДС)</v>
      </c>
      <c r="B300" s="255">
        <v>1</v>
      </c>
      <c r="C300" s="40" t="str">
        <f ca="1">CHOOSE(B300,CUR_Main,CUR_Foreign)</f>
        <v>руб.</v>
      </c>
      <c r="D300" s="16" t="str">
        <f>TEXT(B300,"0")&amp;"_00"</f>
        <v>1_00</v>
      </c>
      <c r="F300" s="276">
        <v>0</v>
      </c>
      <c r="G300" s="276">
        <v>0</v>
      </c>
      <c r="H300" s="276">
        <v>0</v>
      </c>
      <c r="I300" s="276">
        <v>0</v>
      </c>
      <c r="J300" s="276">
        <v>0</v>
      </c>
      <c r="K300" s="276">
        <v>0</v>
      </c>
      <c r="M300" s="54">
        <f>SUM(F300:K300)</f>
        <v>0</v>
      </c>
      <c r="N300" s="116"/>
      <c r="O300" s="116"/>
    </row>
    <row r="301" spans="1:15" s="23" customFormat="1" hidden="1" outlineLevel="2" x14ac:dyDescent="0.2">
      <c r="A301" t="str">
        <f ca="1">Language!A$383</f>
        <v xml:space="preserve">    ранее осуществленные инвестиции (без НДС)</v>
      </c>
      <c r="B301" s="275">
        <f>F46*IF(B$37=1,1,F$88)</f>
        <v>0</v>
      </c>
      <c r="C301" s="40" t="str">
        <f ca="1">CUR_Main</f>
        <v>руб.</v>
      </c>
      <c r="D301" s="23" t="s">
        <v>2621</v>
      </c>
      <c r="M301" s="11"/>
      <c r="N301" s="116"/>
      <c r="O301" s="116"/>
    </row>
    <row r="302" spans="1:15" s="23" customFormat="1" hidden="1" outlineLevel="2" x14ac:dyDescent="0.2">
      <c r="A302" t="str">
        <f ca="1">Language!A$384</f>
        <v xml:space="preserve">    поставить на баланс с</v>
      </c>
      <c r="B302" s="271">
        <f ca="1">MATCH(OFFSET(M309,0,-2),F309:K309,0)</f>
        <v>1</v>
      </c>
      <c r="C302" s="40" t="str">
        <f ca="1">Language!A$376</f>
        <v>периода</v>
      </c>
      <c r="M302" s="11"/>
      <c r="N302" s="116"/>
      <c r="O302" s="116"/>
    </row>
    <row r="303" spans="1:15" s="23" customFormat="1" hidden="1" outlineLevel="2" x14ac:dyDescent="0.2">
      <c r="A303" t="str">
        <f ca="1">Language!A$393</f>
        <v xml:space="preserve">    амортизация (линейная),       для срока использования:</v>
      </c>
      <c r="B303" s="271">
        <v>20</v>
      </c>
      <c r="C303" s="40" t="str">
        <f ca="1">Language!A$33</f>
        <v>лет</v>
      </c>
      <c r="D303" s="132" t="s">
        <v>2224</v>
      </c>
      <c r="F303" s="53">
        <f ca="1">IF(AND($B303&gt;0,SUM($E317:F317)&lt;=0.01),MIN(F310*100%/$B303*PRJ_Step/360,E314+F310-E310),0)</f>
        <v>0</v>
      </c>
      <c r="G303" s="53">
        <f ca="1">IF(AND($B303&gt;0,SUM($E317:G317)&lt;=0.01),MIN(G310*100%/$B303*PRJ_Step/360,F314+G310-F310),0)</f>
        <v>0</v>
      </c>
      <c r="H303" s="53">
        <f ca="1">IF(AND($B303&gt;0,SUM($E317:H317)&lt;=0.01),MIN(H310*100%/$B303*PRJ_Step/360,G314+H310-G310),0)</f>
        <v>0</v>
      </c>
      <c r="I303" s="53">
        <f ca="1">IF(AND($B303&gt;0,SUM($E317:I317)&lt;=0.01),MIN(I310*100%/$B303*PRJ_Step/360,H314+I310-H310),0)</f>
        <v>0</v>
      </c>
      <c r="J303" s="53">
        <f ca="1">IF(AND($B303&gt;0,SUM($E317:J317)&lt;=0.01),MIN(J310*100%/$B303*PRJ_Step/360,I314+J310-I310),0)</f>
        <v>0</v>
      </c>
      <c r="K303" s="53">
        <f ca="1">IF(AND($B303&gt;0,SUM($E317:K317)&lt;=0.01),MIN(K310*100%/$B303*PRJ_Step/360,J314+K310-J310),0)</f>
        <v>0</v>
      </c>
      <c r="M303" s="54">
        <f ca="1">SUM(F303:K303)</f>
        <v>0</v>
      </c>
    </row>
    <row r="304" spans="1:15" s="23" customFormat="1" hidden="1" outlineLevel="2" x14ac:dyDescent="0.2">
      <c r="A304" t="str">
        <f ca="1">Language!A$394</f>
        <v xml:space="preserve">    амортизация (ускоренная),    для срока использования:</v>
      </c>
      <c r="B304" s="271">
        <v>0</v>
      </c>
      <c r="C304" s="40" t="str">
        <f ca="1">Language!A$33</f>
        <v>лет</v>
      </c>
      <c r="D304" s="23" t="s">
        <v>2264</v>
      </c>
      <c r="F304" s="84">
        <f ca="1">IF(SUM($E317:F317)&lt;=0.01,IF(OR($B304=0,E314+F310-E310=0),0,IF($B303&gt;0,0,IF(E314+F310-E310&gt;0.2*F310,MIN((E314+F310-E310)*2/$B304*PRJ_Step/360,E314+F310-E310),MIN(E314+F310-E310,F310*PRJ_Step/360/IF($B304&lt;4,1,IF($B304&gt;5,3,2)))))),0)</f>
        <v>0</v>
      </c>
      <c r="G304" s="84">
        <f ca="1">IF(SUM($E317:G317)&lt;=0.01,IF(OR($B304=0,F314+G310-F310=0),0,IF($B303&gt;0,0,IF(F314+G310-F310&gt;0.2*G310,MIN((F314+G310-F310)*2/$B304*PRJ_Step/360,F314+G310-F310),MIN(F314+G310-F310,G310*PRJ_Step/360/IF($B304&lt;4,1,IF($B304&gt;5,3,2)))))),0)</f>
        <v>0</v>
      </c>
      <c r="H304" s="84">
        <f ca="1">IF(SUM($E317:H317)&lt;=0.01,IF(OR($B304=0,G314+H310-G310=0),0,IF($B303&gt;0,0,IF(G314+H310-G310&gt;0.2*H310,MIN((G314+H310-G310)*2/$B304*PRJ_Step/360,G314+H310-G310),MIN(G314+H310-G310,H310*PRJ_Step/360/IF($B304&lt;4,1,IF($B304&gt;5,3,2)))))),0)</f>
        <v>0</v>
      </c>
      <c r="I304" s="84">
        <f ca="1">IF(SUM($E317:I317)&lt;=0.01,IF(OR($B304=0,H314+I310-H310=0),0,IF($B303&gt;0,0,IF(H314+I310-H310&gt;0.2*I310,MIN((H314+I310-H310)*2/$B304*PRJ_Step/360,H314+I310-H310),MIN(H314+I310-H310,I310*PRJ_Step/360/IF($B304&lt;4,1,IF($B304&gt;5,3,2)))))),0)</f>
        <v>0</v>
      </c>
      <c r="J304" s="84">
        <f ca="1">IF(SUM($E317:J317)&lt;=0.01,IF(OR($B304=0,I314+J310-I310=0),0,IF($B303&gt;0,0,IF(I314+J310-I310&gt;0.2*J310,MIN((I314+J310-I310)*2/$B304*PRJ_Step/360,I314+J310-I310),MIN(I314+J310-I310,J310*PRJ_Step/360/IF($B304&lt;4,1,IF($B304&gt;5,3,2)))))),0)</f>
        <v>0</v>
      </c>
      <c r="K304" s="84">
        <f ca="1">IF(SUM($E317:K317)&lt;=0.01,IF(OR($B304=0,J314+K310-J310=0),0,IF($B303&gt;0,0,IF(J314+K310-J310&gt;0.2*K310,MIN((J314+K310-J310)*2/$B304*PRJ_Step/360,J314+K310-J310),MIN(J314+K310-J310,K310*PRJ_Step/360/IF($B304&lt;4,1,IF($B304&gt;5,3,2)))))),0)</f>
        <v>0</v>
      </c>
      <c r="M304" s="54">
        <f ca="1">SUM(F304:K304)</f>
        <v>0</v>
      </c>
    </row>
    <row r="305" spans="1:15" s="23" customFormat="1" hidden="1" outlineLevel="2" x14ac:dyDescent="0.2">
      <c r="A305" t="str">
        <f ca="1">Language!A$395</f>
        <v xml:space="preserve">    выплаченный НДС</v>
      </c>
      <c r="B305" s="273">
        <f>VAT</f>
        <v>0</v>
      </c>
      <c r="C305" s="40" t="str">
        <f ca="1">CUR_Main</f>
        <v>руб.</v>
      </c>
      <c r="D305" s="23" t="s">
        <v>2265</v>
      </c>
      <c r="F305" s="111">
        <f t="shared" ref="F305:J305" si="181">F307*$B305</f>
        <v>0</v>
      </c>
      <c r="G305" s="111">
        <f t="shared" si="181"/>
        <v>0</v>
      </c>
      <c r="H305" s="111">
        <f t="shared" si="181"/>
        <v>0</v>
      </c>
      <c r="I305" s="111">
        <f t="shared" si="181"/>
        <v>0</v>
      </c>
      <c r="J305" s="111">
        <f t="shared" si="181"/>
        <v>0</v>
      </c>
      <c r="K305" s="111">
        <f t="shared" ref="K305" si="182">K307*$B305</f>
        <v>0</v>
      </c>
      <c r="M305" s="54">
        <f>SUM(F305:K305)</f>
        <v>0</v>
      </c>
    </row>
    <row r="306" spans="1:15" s="23" customFormat="1" hidden="1" outlineLevel="2" x14ac:dyDescent="0.2">
      <c r="A306" t="str">
        <f ca="1">Language!A$396</f>
        <v xml:space="preserve">    вариант зачета НДС</v>
      </c>
      <c r="B306" s="255">
        <v>2</v>
      </c>
      <c r="C306" s="85" t="str">
        <f ca="1">CHOOSE(B306,Language!A$372,Language!A$373)</f>
        <v>после постановки актива на баланс</v>
      </c>
      <c r="F306" s="111"/>
      <c r="G306" s="111"/>
      <c r="H306" s="111"/>
      <c r="I306" s="111"/>
      <c r="J306" s="111"/>
      <c r="K306" s="111"/>
      <c r="M306" s="54"/>
    </row>
    <row r="307" spans="1:15" s="23" customFormat="1" hidden="1" outlineLevel="2" x14ac:dyDescent="0.2">
      <c r="A307" t="str">
        <f ca="1">Language!A$385</f>
        <v xml:space="preserve">    сумма платежей без НДС</v>
      </c>
      <c r="C307" s="40" t="str">
        <f t="shared" ref="C307:C319" ca="1" si="183">CUR_Main</f>
        <v>руб.</v>
      </c>
      <c r="D307" s="23" t="s">
        <v>188</v>
      </c>
      <c r="F307" s="84">
        <f t="shared" ref="F307:J307" si="184">F300*IF($B300=1,1,F$88)/(1+$B305)</f>
        <v>0</v>
      </c>
      <c r="G307" s="84">
        <f t="shared" si="184"/>
        <v>0</v>
      </c>
      <c r="H307" s="84">
        <f t="shared" si="184"/>
        <v>0</v>
      </c>
      <c r="I307" s="84">
        <f t="shared" si="184"/>
        <v>0</v>
      </c>
      <c r="J307" s="84">
        <f t="shared" si="184"/>
        <v>0</v>
      </c>
      <c r="K307" s="84">
        <f t="shared" ref="K307" si="185">K300*IF($B300=1,1,K$88)/(1+$B305)</f>
        <v>0</v>
      </c>
      <c r="M307" s="54">
        <f>SUM(F307:K307)</f>
        <v>0</v>
      </c>
    </row>
    <row r="308" spans="1:15" s="23" customFormat="1" hidden="1" outlineLevel="2" x14ac:dyDescent="0.2">
      <c r="A308" t="str">
        <f ca="1">Language!A$386</f>
        <v xml:space="preserve">    общая стоимость актива (без НДС)</v>
      </c>
      <c r="B308" s="55">
        <f>M307+B301</f>
        <v>0</v>
      </c>
      <c r="C308" s="40" t="str">
        <f t="shared" ca="1" si="183"/>
        <v>руб.</v>
      </c>
      <c r="M308" s="11"/>
    </row>
    <row r="309" spans="1:15" s="23" customFormat="1" hidden="1" outlineLevel="2" x14ac:dyDescent="0.2">
      <c r="A309" t="str">
        <f ca="1">Language!A$387</f>
        <v xml:space="preserve">    полная сумма вложений в актив (без НДС)</v>
      </c>
      <c r="C309" s="40" t="str">
        <f t="shared" ca="1" si="183"/>
        <v>руб.</v>
      </c>
      <c r="D309" s="23" t="s">
        <v>2270</v>
      </c>
      <c r="F309" s="84">
        <f>B301+F307</f>
        <v>0</v>
      </c>
      <c r="G309" s="84">
        <f t="shared" ref="G309:K309" si="186">F309+G307</f>
        <v>0</v>
      </c>
      <c r="H309" s="84">
        <f t="shared" si="186"/>
        <v>0</v>
      </c>
      <c r="I309" s="84">
        <f t="shared" si="186"/>
        <v>0</v>
      </c>
      <c r="J309" s="84">
        <f t="shared" si="186"/>
        <v>0</v>
      </c>
      <c r="K309" s="84">
        <f t="shared" si="186"/>
        <v>0</v>
      </c>
      <c r="M309" s="54"/>
    </row>
    <row r="310" spans="1:15" s="23" customFormat="1" hidden="1" outlineLevel="2" x14ac:dyDescent="0.2">
      <c r="A310" t="str">
        <f ca="1">Language!A$388</f>
        <v xml:space="preserve">    полная балансовая стоимость</v>
      </c>
      <c r="C310" s="40" t="str">
        <f t="shared" ca="1" si="183"/>
        <v>руб.</v>
      </c>
      <c r="D310" s="23" t="s">
        <v>2271</v>
      </c>
      <c r="F310" s="84">
        <f ca="1">IF($B302&lt;=F$29,IF(SUM($E317:F317)&gt;0.01,0,$B308),0)</f>
        <v>0</v>
      </c>
      <c r="G310" s="84">
        <f ca="1">IF($B302&lt;=G$29,IF(SUM($E317:G317)&gt;0.01,0,$B308),0)</f>
        <v>0</v>
      </c>
      <c r="H310" s="84">
        <f ca="1">IF($B302&lt;=H$29,IF(SUM($E317:H317)&gt;0.01,0,$B308),0)</f>
        <v>0</v>
      </c>
      <c r="I310" s="84">
        <f ca="1">IF($B302&lt;=I$29,IF(SUM($E317:I317)&gt;0.01,0,$B308),0)</f>
        <v>0</v>
      </c>
      <c r="J310" s="84">
        <f ca="1">IF($B302&lt;=J$29,IF(SUM($E317:J317)&gt;0.01,0,$B308),0)</f>
        <v>0</v>
      </c>
      <c r="K310" s="84">
        <f ca="1">IF($B302&lt;=K$29,IF(SUM($E317:K317)&gt;0.01,0,$B308),0)</f>
        <v>0</v>
      </c>
      <c r="M310" s="11"/>
    </row>
    <row r="311" spans="1:15" s="23" customFormat="1" hidden="1" outlineLevel="2" x14ac:dyDescent="0.2">
      <c r="A311" t="str">
        <f ca="1">Language!A$389</f>
        <v xml:space="preserve">    незавершенные инвестиции</v>
      </c>
      <c r="C311" s="40" t="str">
        <f t="shared" ca="1" si="183"/>
        <v>руб.</v>
      </c>
      <c r="D311" s="23" t="s">
        <v>2274</v>
      </c>
      <c r="F311" s="84">
        <f t="shared" ref="F311:J311" ca="1" si="187">IF($B302&gt;F$29,F309,0)</f>
        <v>0</v>
      </c>
      <c r="G311" s="84">
        <f t="shared" ca="1" si="187"/>
        <v>0</v>
      </c>
      <c r="H311" s="84">
        <f t="shared" ca="1" si="187"/>
        <v>0</v>
      </c>
      <c r="I311" s="84">
        <f t="shared" ca="1" si="187"/>
        <v>0</v>
      </c>
      <c r="J311" s="84">
        <f t="shared" ca="1" si="187"/>
        <v>0</v>
      </c>
      <c r="K311" s="84">
        <f t="shared" ref="K311" ca="1" si="188">IF($B302&gt;K$29,K309,0)</f>
        <v>0</v>
      </c>
      <c r="M311" s="11"/>
    </row>
    <row r="312" spans="1:15" s="23" customFormat="1" hidden="1" outlineLevel="2" x14ac:dyDescent="0.2">
      <c r="A312" t="str">
        <f ca="1">Language!A$390</f>
        <v xml:space="preserve">    кредиторская задолженность</v>
      </c>
      <c r="C312" s="40" t="str">
        <f t="shared" ca="1" si="183"/>
        <v>руб.</v>
      </c>
      <c r="D312" s="23" t="s">
        <v>2275</v>
      </c>
      <c r="F312" s="84">
        <f ca="1">IF(OR($B302&lt;=F$29,AND(SUM($F317:F317)&gt;0,$B302&gt;F$29)),$B308-F309,0)</f>
        <v>0</v>
      </c>
      <c r="G312" s="84">
        <f ca="1">IF(OR($B302&lt;=G$29,AND(SUM($F317:G317)&gt;0,$B302&gt;G$29)),$B308-G309,0)</f>
        <v>0</v>
      </c>
      <c r="H312" s="84">
        <f ca="1">IF(OR($B302&lt;=H$29,AND(SUM($F317:H317)&gt;0,$B302&gt;H$29)),$B308-H309,0)</f>
        <v>0</v>
      </c>
      <c r="I312" s="84">
        <f ca="1">IF(OR($B302&lt;=I$29,AND(SUM($F317:I317)&gt;0,$B302&gt;I$29)),$B308-I309,0)</f>
        <v>0</v>
      </c>
      <c r="J312" s="84">
        <f ca="1">IF(OR($B302&lt;=J$29,AND(SUM($F317:J317)&gt;0,$B302&gt;J$29)),$B308-J309,0)</f>
        <v>0</v>
      </c>
      <c r="K312" s="84">
        <f ca="1">IF(OR($B302&lt;=K$29,AND(SUM($F317:K317)&gt;0,$B302&gt;K$29)),$B308-K309,0)</f>
        <v>0</v>
      </c>
      <c r="M312" s="11"/>
    </row>
    <row r="313" spans="1:15" s="23" customFormat="1" hidden="1" outlineLevel="2" x14ac:dyDescent="0.2">
      <c r="A313" t="str">
        <f ca="1">Language!A$397</f>
        <v xml:space="preserve">    накопленная амортизация</v>
      </c>
      <c r="C313" s="40" t="str">
        <f t="shared" ca="1" si="183"/>
        <v>руб.</v>
      </c>
      <c r="D313" s="23" t="s">
        <v>2272</v>
      </c>
      <c r="F313" s="84">
        <f t="shared" ref="F313:K313" ca="1" si="189">E313+F304+F303</f>
        <v>0</v>
      </c>
      <c r="G313" s="84">
        <f t="shared" ca="1" si="189"/>
        <v>0</v>
      </c>
      <c r="H313" s="84">
        <f t="shared" ca="1" si="189"/>
        <v>0</v>
      </c>
      <c r="I313" s="84">
        <f t="shared" ca="1" si="189"/>
        <v>0</v>
      </c>
      <c r="J313" s="84">
        <f t="shared" ca="1" si="189"/>
        <v>0</v>
      </c>
      <c r="K313" s="84">
        <f t="shared" ca="1" si="189"/>
        <v>0</v>
      </c>
      <c r="M313" s="11"/>
    </row>
    <row r="314" spans="1:15" s="23" customFormat="1" hidden="1" outlineLevel="2" x14ac:dyDescent="0.2">
      <c r="A314" t="str">
        <f ca="1">Language!A$391</f>
        <v xml:space="preserve">    остаточная стоимость</v>
      </c>
      <c r="C314" s="40" t="str">
        <f t="shared" ca="1" si="183"/>
        <v>руб.</v>
      </c>
      <c r="D314" s="23" t="s">
        <v>2273</v>
      </c>
      <c r="F314" s="106">
        <f ca="1">IF(SUM($E317:F317)&gt;0.01,0,F310-F313)</f>
        <v>0</v>
      </c>
      <c r="G314" s="106">
        <f ca="1">IF(SUM($E317:G317)&gt;0.01,0,G310-G313)</f>
        <v>0</v>
      </c>
      <c r="H314" s="106">
        <f ca="1">IF(SUM($E317:H317)&gt;0.01,0,H310-H313)</f>
        <v>0</v>
      </c>
      <c r="I314" s="106">
        <f ca="1">IF(SUM($E317:I317)&gt;0.01,0,I310-I313)</f>
        <v>0</v>
      </c>
      <c r="J314" s="106">
        <f ca="1">IF(SUM($E317:J317)&gt;0.01,0,J310-J313)</f>
        <v>0</v>
      </c>
      <c r="K314" s="106">
        <f ca="1">IF(SUM($E317:K317)&gt;0.01,0,K310-K313)</f>
        <v>0</v>
      </c>
      <c r="M314" s="11"/>
    </row>
    <row r="315" spans="1:15" s="23" customFormat="1" hidden="1" outlineLevel="2" x14ac:dyDescent="0.2">
      <c r="A315" t="str">
        <f ca="1">Language!A$398</f>
        <v xml:space="preserve">    НДС к ранее осуществленным инвестициям</v>
      </c>
      <c r="B315" s="262">
        <f>B301*B305</f>
        <v>0</v>
      </c>
      <c r="C315" s="40" t="str">
        <f t="shared" ca="1" si="183"/>
        <v>руб.</v>
      </c>
      <c r="D315" s="23" t="s">
        <v>2266</v>
      </c>
      <c r="F315" s="52"/>
      <c r="G315" s="52"/>
      <c r="H315" s="52"/>
      <c r="I315" s="52"/>
      <c r="J315" s="52"/>
      <c r="K315" s="52"/>
      <c r="M315" s="11"/>
    </row>
    <row r="316" spans="1:15" s="23" customFormat="1" hidden="1" outlineLevel="2" x14ac:dyDescent="0.2">
      <c r="A316" t="str">
        <f ca="1">Language!A$399</f>
        <v xml:space="preserve">    зачет НДС</v>
      </c>
      <c r="C316" s="40" t="str">
        <f t="shared" ca="1" si="183"/>
        <v>руб.</v>
      </c>
      <c r="D316" s="133" t="s">
        <v>2267</v>
      </c>
      <c r="F316" s="111">
        <f ca="1">IF($B306=2,IF($B302=F$29,$B315+$M305,0),F305+B315)</f>
        <v>0</v>
      </c>
      <c r="G316" s="111">
        <f ca="1">IF($B306=2,IF($B302=G$29,$B315+$M305,0),G305)</f>
        <v>0</v>
      </c>
      <c r="H316" s="111">
        <f ca="1">IF($B306=2,IF($B302=H$29,$B315+$M305,0),H305)</f>
        <v>0</v>
      </c>
      <c r="I316" s="111">
        <f ca="1">IF($B306=2,IF($B302=I$29,$B315+$M305,0),I305)</f>
        <v>0</v>
      </c>
      <c r="J316" s="111">
        <f ca="1">IF($B306=2,IF($B302=J$29,$B315+$M305,0),J305)</f>
        <v>0</v>
      </c>
      <c r="K316" s="111">
        <f ca="1">IF($B306=2,IF($B302=K$29,$B315+$M305,0),K305)</f>
        <v>0</v>
      </c>
      <c r="M316" s="54">
        <f ca="1">SUM(F316:K316)</f>
        <v>0</v>
      </c>
    </row>
    <row r="317" spans="1:15" s="23" customFormat="1" hidden="1" outlineLevel="2" x14ac:dyDescent="0.2">
      <c r="A317" s="63" t="str">
        <f ca="1">Language!A$361</f>
        <v xml:space="preserve">    реализация актива (без НДС)</v>
      </c>
      <c r="B317" s="112"/>
      <c r="C317" s="114" t="str">
        <f t="shared" ca="1" si="183"/>
        <v>руб.</v>
      </c>
      <c r="D317" s="23" t="s">
        <v>2268</v>
      </c>
      <c r="E317" s="112"/>
      <c r="F317" s="272">
        <v>0</v>
      </c>
      <c r="G317" s="272">
        <v>0</v>
      </c>
      <c r="H317" s="272">
        <v>0</v>
      </c>
      <c r="I317" s="272">
        <v>0</v>
      </c>
      <c r="J317" s="272">
        <v>0</v>
      </c>
      <c r="K317" s="272">
        <v>0</v>
      </c>
      <c r="M317" s="54">
        <f>SUM(F317:K317)</f>
        <v>0</v>
      </c>
    </row>
    <row r="318" spans="1:15" s="23" customFormat="1" hidden="1" outlineLevel="2" x14ac:dyDescent="0.2">
      <c r="A318" s="19" t="str">
        <f ca="1">Language!A$362</f>
        <v xml:space="preserve">    прибыль/убыток от реализации актива</v>
      </c>
      <c r="B318" s="24"/>
      <c r="C318" s="115" t="str">
        <f t="shared" ca="1" si="183"/>
        <v>руб.</v>
      </c>
      <c r="D318" s="23" t="s">
        <v>2269</v>
      </c>
      <c r="E318" s="24"/>
      <c r="F318" s="83">
        <f t="shared" ref="F318:K318" si="190">IF(F317=0,0,F317-E314)</f>
        <v>0</v>
      </c>
      <c r="G318" s="83">
        <f t="shared" si="190"/>
        <v>0</v>
      </c>
      <c r="H318" s="83">
        <f t="shared" si="190"/>
        <v>0</v>
      </c>
      <c r="I318" s="83">
        <f t="shared" si="190"/>
        <v>0</v>
      </c>
      <c r="J318" s="83">
        <f t="shared" si="190"/>
        <v>0</v>
      </c>
      <c r="K318" s="83">
        <f t="shared" si="190"/>
        <v>0</v>
      </c>
      <c r="M318" s="54">
        <f>SUM(F318:K318)</f>
        <v>0</v>
      </c>
    </row>
    <row r="319" spans="1:15" s="23" customFormat="1" hidden="1" outlineLevel="2" x14ac:dyDescent="0.2">
      <c r="A319" t="str">
        <f ca="1">Language!A$400</f>
        <v xml:space="preserve">    НДС к выручке от реализации актива</v>
      </c>
      <c r="B319" s="273">
        <f>VAT</f>
        <v>0</v>
      </c>
      <c r="C319" s="40" t="str">
        <f t="shared" ca="1" si="183"/>
        <v>руб.</v>
      </c>
      <c r="D319" s="23" t="s">
        <v>549</v>
      </c>
      <c r="F319">
        <f t="shared" ref="F319:J319" si="191">F317*$B319</f>
        <v>0</v>
      </c>
      <c r="G319">
        <f t="shared" si="191"/>
        <v>0</v>
      </c>
      <c r="H319">
        <f t="shared" si="191"/>
        <v>0</v>
      </c>
      <c r="I319">
        <f t="shared" si="191"/>
        <v>0</v>
      </c>
      <c r="J319">
        <f t="shared" si="191"/>
        <v>0</v>
      </c>
      <c r="K319">
        <f t="shared" ref="K319" si="192">K317*$B319</f>
        <v>0</v>
      </c>
      <c r="M319" s="54">
        <f>SUM(F319:K319)</f>
        <v>0</v>
      </c>
    </row>
    <row r="320" spans="1:15" s="23" customFormat="1" outlineLevel="1" x14ac:dyDescent="0.2">
      <c r="A320" s="274" t="s">
        <v>2698</v>
      </c>
      <c r="B320" s="36" t="str">
        <f ca="1">Language!A$73</f>
        <v>Валюта</v>
      </c>
      <c r="F320" s="42"/>
      <c r="G320" s="42"/>
      <c r="H320" s="42"/>
      <c r="I320" s="42"/>
      <c r="J320" s="42"/>
      <c r="K320" s="42"/>
      <c r="M320" s="39"/>
      <c r="N320" s="116"/>
      <c r="O320" s="116"/>
    </row>
    <row r="321" spans="1:15" s="23" customFormat="1" outlineLevel="1" collapsed="1" x14ac:dyDescent="0.2">
      <c r="A321" t="str">
        <f ca="1">Language!A$381</f>
        <v xml:space="preserve">    величина платежей (с НДС)</v>
      </c>
      <c r="B321" s="255">
        <v>1</v>
      </c>
      <c r="C321" s="40" t="str">
        <f ca="1">CHOOSE(B321,CUR_Main,CUR_Foreign)</f>
        <v>руб.</v>
      </c>
      <c r="D321" s="16" t="str">
        <f>TEXT(B321,"0")&amp;"_00"</f>
        <v>1_00</v>
      </c>
      <c r="F321" s="276">
        <v>40000</v>
      </c>
      <c r="G321" s="276">
        <v>40000</v>
      </c>
      <c r="H321" s="276">
        <v>50000</v>
      </c>
      <c r="I321" s="276">
        <v>50000</v>
      </c>
      <c r="J321" s="276">
        <v>50000</v>
      </c>
      <c r="K321" s="276">
        <v>50000</v>
      </c>
      <c r="M321" s="54">
        <f>SUM(F321:K321)</f>
        <v>280000</v>
      </c>
      <c r="N321" s="116"/>
      <c r="O321" s="116"/>
    </row>
    <row r="322" spans="1:15" s="23" customFormat="1" hidden="1" outlineLevel="2" x14ac:dyDescent="0.2">
      <c r="A322" t="str">
        <f ca="1">Language!A$383</f>
        <v xml:space="preserve">    ранее осуществленные инвестиции (без НДС)</v>
      </c>
      <c r="B322" s="275">
        <v>0</v>
      </c>
      <c r="C322" s="40" t="str">
        <f ca="1">CUR_Main</f>
        <v>руб.</v>
      </c>
      <c r="D322" s="23" t="s">
        <v>2621</v>
      </c>
      <c r="M322" s="11"/>
      <c r="N322" s="116"/>
      <c r="O322" s="116"/>
    </row>
    <row r="323" spans="1:15" s="23" customFormat="1" hidden="1" outlineLevel="2" x14ac:dyDescent="0.2">
      <c r="A323" t="str">
        <f ca="1">Language!A$384</f>
        <v xml:space="preserve">    поставить на баланс с</v>
      </c>
      <c r="B323" s="271">
        <f ca="1">MATCH(OFFSET(M330,0,-2),F330:K330,0)</f>
        <v>6</v>
      </c>
      <c r="C323" s="40" t="str">
        <f ca="1">Language!A$376</f>
        <v>периода</v>
      </c>
      <c r="M323" s="11"/>
      <c r="N323" s="116"/>
      <c r="O323" s="116"/>
    </row>
    <row r="324" spans="1:15" s="23" customFormat="1" hidden="1" outlineLevel="2" x14ac:dyDescent="0.2">
      <c r="A324" t="str">
        <f ca="1">Language!A$393</f>
        <v xml:space="preserve">    амортизация (линейная),       для срока использования:</v>
      </c>
      <c r="B324" s="271">
        <v>20</v>
      </c>
      <c r="C324" s="40" t="str">
        <f ca="1">Language!A$33</f>
        <v>лет</v>
      </c>
      <c r="D324" s="132" t="s">
        <v>2224</v>
      </c>
      <c r="F324" s="53">
        <f ca="1">IF(AND($B324&gt;0,SUM($E338:F338)&lt;=0.01),MIN(F331*100%/$B324*PRJ_Step/360,E335+F331-E331),0)</f>
        <v>0</v>
      </c>
      <c r="G324" s="53">
        <f ca="1">IF(AND($B324&gt;0,SUM($E338:G338)&lt;=0.01),MIN(G331*100%/$B324*PRJ_Step/360,F335+G331-F331),0)</f>
        <v>0</v>
      </c>
      <c r="H324" s="53">
        <f ca="1">IF(AND($B324&gt;0,SUM($E338:H338)&lt;=0.01),MIN(H331*100%/$B324*PRJ_Step/360,G335+H331-G331),0)</f>
        <v>0</v>
      </c>
      <c r="I324" s="53">
        <f ca="1">IF(AND($B324&gt;0,SUM($E338:I338)&lt;=0.01),MIN(I331*100%/$B324*PRJ_Step/360,H335+I331-H331),0)</f>
        <v>0</v>
      </c>
      <c r="J324" s="53">
        <f ca="1">IF(AND($B324&gt;0,SUM($E338:J338)&lt;=0.01),MIN(J331*100%/$B324*PRJ_Step/360,I335+J331-I331),0)</f>
        <v>0</v>
      </c>
      <c r="K324" s="53">
        <f ca="1">IF(AND($B324&gt;0,SUM($E338:K338)&lt;=0.01),MIN(K331*100%/$B324*PRJ_Step/360,J335+K331-J331),0)</f>
        <v>1166.6666666666667</v>
      </c>
      <c r="M324" s="54">
        <f ca="1">SUM(F324:K324)</f>
        <v>1166.6666666666667</v>
      </c>
    </row>
    <row r="325" spans="1:15" s="23" customFormat="1" hidden="1" outlineLevel="2" x14ac:dyDescent="0.2">
      <c r="A325" t="str">
        <f ca="1">Language!A$394</f>
        <v xml:space="preserve">    амортизация (ускоренная),    для срока использования:</v>
      </c>
      <c r="B325" s="271">
        <v>0</v>
      </c>
      <c r="C325" s="40" t="str">
        <f ca="1">Language!A$33</f>
        <v>лет</v>
      </c>
      <c r="D325" s="23" t="s">
        <v>2264</v>
      </c>
      <c r="F325" s="84">
        <f ca="1">IF(SUM($E338:F338)&lt;=0.01,IF(OR($B325=0,E335+F331-E331=0),0,IF($B324&gt;0,0,IF(E335+F331-E331&gt;0.2*F331,MIN((E335+F331-E331)*2/$B325*PRJ_Step/360,E335+F331-E331),MIN(E335+F331-E331,F331*PRJ_Step/360/IF($B325&lt;4,1,IF($B325&gt;5,3,2)))))),0)</f>
        <v>0</v>
      </c>
      <c r="G325" s="84">
        <f ca="1">IF(SUM($E338:G338)&lt;=0.01,IF(OR($B325=0,F335+G331-F331=0),0,IF($B324&gt;0,0,IF(F335+G331-F331&gt;0.2*G331,MIN((F335+G331-F331)*2/$B325*PRJ_Step/360,F335+G331-F331),MIN(F335+G331-F331,G331*PRJ_Step/360/IF($B325&lt;4,1,IF($B325&gt;5,3,2)))))),0)</f>
        <v>0</v>
      </c>
      <c r="H325" s="84">
        <f ca="1">IF(SUM($E338:H338)&lt;=0.01,IF(OR($B325=0,G335+H331-G331=0),0,IF($B324&gt;0,0,IF(G335+H331-G331&gt;0.2*H331,MIN((G335+H331-G331)*2/$B325*PRJ_Step/360,G335+H331-G331),MIN(G335+H331-G331,H331*PRJ_Step/360/IF($B325&lt;4,1,IF($B325&gt;5,3,2)))))),0)</f>
        <v>0</v>
      </c>
      <c r="I325" s="84">
        <f ca="1">IF(SUM($E338:I338)&lt;=0.01,IF(OR($B325=0,H335+I331-H331=0),0,IF($B324&gt;0,0,IF(H335+I331-H331&gt;0.2*I331,MIN((H335+I331-H331)*2/$B325*PRJ_Step/360,H335+I331-H331),MIN(H335+I331-H331,I331*PRJ_Step/360/IF($B325&lt;4,1,IF($B325&gt;5,3,2)))))),0)</f>
        <v>0</v>
      </c>
      <c r="J325" s="84">
        <f ca="1">IF(SUM($E338:J338)&lt;=0.01,IF(OR($B325=0,I335+J331-I331=0),0,IF($B324&gt;0,0,IF(I335+J331-I331&gt;0.2*J331,MIN((I335+J331-I331)*2/$B325*PRJ_Step/360,I335+J331-I331),MIN(I335+J331-I331,J331*PRJ_Step/360/IF($B325&lt;4,1,IF($B325&gt;5,3,2)))))),0)</f>
        <v>0</v>
      </c>
      <c r="K325" s="84">
        <f ca="1">IF(SUM($E338:K338)&lt;=0.01,IF(OR($B325=0,J335+K331-J331=0),0,IF($B324&gt;0,0,IF(J335+K331-J331&gt;0.2*K331,MIN((J335+K331-J331)*2/$B325*PRJ_Step/360,J335+K331-J331),MIN(J335+K331-J331,K331*PRJ_Step/360/IF($B325&lt;4,1,IF($B325&gt;5,3,2)))))),0)</f>
        <v>0</v>
      </c>
      <c r="M325" s="54">
        <f ca="1">SUM(F325:K325)</f>
        <v>0</v>
      </c>
    </row>
    <row r="326" spans="1:15" s="23" customFormat="1" hidden="1" outlineLevel="2" x14ac:dyDescent="0.2">
      <c r="A326" t="str">
        <f ca="1">Language!A$395</f>
        <v xml:space="preserve">    выплаченный НДС</v>
      </c>
      <c r="B326" s="273">
        <f>VAT</f>
        <v>0</v>
      </c>
      <c r="C326" s="40" t="str">
        <f ca="1">CUR_Main</f>
        <v>руб.</v>
      </c>
      <c r="D326" s="23" t="s">
        <v>2265</v>
      </c>
      <c r="F326" s="111">
        <f t="shared" ref="F326:K326" si="193">F328*$B326</f>
        <v>0</v>
      </c>
      <c r="G326" s="111">
        <f t="shared" si="193"/>
        <v>0</v>
      </c>
      <c r="H326" s="111">
        <f t="shared" si="193"/>
        <v>0</v>
      </c>
      <c r="I326" s="111">
        <f t="shared" si="193"/>
        <v>0</v>
      </c>
      <c r="J326" s="111">
        <f t="shared" si="193"/>
        <v>0</v>
      </c>
      <c r="K326" s="111">
        <f t="shared" si="193"/>
        <v>0</v>
      </c>
      <c r="M326" s="54">
        <f>SUM(F326:K326)</f>
        <v>0</v>
      </c>
    </row>
    <row r="327" spans="1:15" s="23" customFormat="1" hidden="1" outlineLevel="2" x14ac:dyDescent="0.2">
      <c r="A327" t="str">
        <f ca="1">Language!A$396</f>
        <v xml:space="preserve">    вариант зачета НДС</v>
      </c>
      <c r="B327" s="255">
        <v>2</v>
      </c>
      <c r="C327" s="85" t="str">
        <f ca="1">CHOOSE(B327,Language!A$372,Language!A$373)</f>
        <v>после постановки актива на баланс</v>
      </c>
      <c r="F327" s="111"/>
      <c r="G327" s="111"/>
      <c r="H327" s="111"/>
      <c r="I327" s="111"/>
      <c r="J327" s="111"/>
      <c r="K327" s="111"/>
      <c r="M327" s="54"/>
    </row>
    <row r="328" spans="1:15" s="23" customFormat="1" hidden="1" outlineLevel="2" x14ac:dyDescent="0.2">
      <c r="A328" t="str">
        <f ca="1">Language!A$385</f>
        <v xml:space="preserve">    сумма платежей без НДС</v>
      </c>
      <c r="C328" s="40" t="str">
        <f t="shared" ref="C328:C340" ca="1" si="194">CUR_Main</f>
        <v>руб.</v>
      </c>
      <c r="D328" s="23" t="s">
        <v>188</v>
      </c>
      <c r="F328" s="84">
        <f t="shared" ref="F328:K328" si="195">F321*IF($B321=1,1,F$88)/(1+$B326)</f>
        <v>40000</v>
      </c>
      <c r="G328" s="84">
        <f t="shared" si="195"/>
        <v>40000</v>
      </c>
      <c r="H328" s="84">
        <f t="shared" si="195"/>
        <v>50000</v>
      </c>
      <c r="I328" s="84">
        <f t="shared" si="195"/>
        <v>50000</v>
      </c>
      <c r="J328" s="84">
        <f t="shared" si="195"/>
        <v>50000</v>
      </c>
      <c r="K328" s="84">
        <f t="shared" si="195"/>
        <v>50000</v>
      </c>
      <c r="M328" s="54">
        <f>SUM(F328:K328)</f>
        <v>280000</v>
      </c>
    </row>
    <row r="329" spans="1:15" s="23" customFormat="1" hidden="1" outlineLevel="2" x14ac:dyDescent="0.2">
      <c r="A329" t="str">
        <f ca="1">Language!A$386</f>
        <v xml:space="preserve">    общая стоимость актива (без НДС)</v>
      </c>
      <c r="B329" s="55">
        <f>M328+B322</f>
        <v>280000</v>
      </c>
      <c r="C329" s="40" t="str">
        <f t="shared" ca="1" si="194"/>
        <v>руб.</v>
      </c>
      <c r="M329" s="11"/>
    </row>
    <row r="330" spans="1:15" s="23" customFormat="1" hidden="1" outlineLevel="2" x14ac:dyDescent="0.2">
      <c r="A330" t="str">
        <f ca="1">Language!A$387</f>
        <v xml:space="preserve">    полная сумма вложений в актив (без НДС)</v>
      </c>
      <c r="C330" s="40" t="str">
        <f t="shared" ca="1" si="194"/>
        <v>руб.</v>
      </c>
      <c r="D330" s="23" t="s">
        <v>2270</v>
      </c>
      <c r="F330" s="84">
        <f>B322+F328</f>
        <v>40000</v>
      </c>
      <c r="G330" s="84">
        <f t="shared" ref="G330" si="196">F330+G328</f>
        <v>80000</v>
      </c>
      <c r="H330" s="84">
        <f t="shared" ref="H330" si="197">G330+H328</f>
        <v>130000</v>
      </c>
      <c r="I330" s="84">
        <f t="shared" ref="I330" si="198">H330+I328</f>
        <v>180000</v>
      </c>
      <c r="J330" s="84">
        <f t="shared" ref="J330" si="199">I330+J328</f>
        <v>230000</v>
      </c>
      <c r="K330" s="84">
        <f t="shared" ref="K330" si="200">J330+K328</f>
        <v>280000</v>
      </c>
      <c r="M330" s="54"/>
    </row>
    <row r="331" spans="1:15" s="23" customFormat="1" hidden="1" outlineLevel="2" x14ac:dyDescent="0.2">
      <c r="A331" t="str">
        <f ca="1">Language!A$388</f>
        <v xml:space="preserve">    полная балансовая стоимость</v>
      </c>
      <c r="C331" s="40" t="str">
        <f t="shared" ca="1" si="194"/>
        <v>руб.</v>
      </c>
      <c r="D331" s="23" t="s">
        <v>2271</v>
      </c>
      <c r="F331" s="84">
        <f ca="1">IF($B323&lt;=F$29,IF(SUM($E338:F338)&gt;0.01,0,$B329),0)</f>
        <v>0</v>
      </c>
      <c r="G331" s="84">
        <f ca="1">IF($B323&lt;=G$29,IF(SUM($E338:G338)&gt;0.01,0,$B329),0)</f>
        <v>0</v>
      </c>
      <c r="H331" s="84">
        <f ca="1">IF($B323&lt;=H$29,IF(SUM($E338:H338)&gt;0.01,0,$B329),0)</f>
        <v>0</v>
      </c>
      <c r="I331" s="84">
        <f ca="1">IF($B323&lt;=I$29,IF(SUM($E338:I338)&gt;0.01,0,$B329),0)</f>
        <v>0</v>
      </c>
      <c r="J331" s="84">
        <f ca="1">IF($B323&lt;=J$29,IF(SUM($E338:J338)&gt;0.01,0,$B329),0)</f>
        <v>0</v>
      </c>
      <c r="K331" s="84">
        <f ca="1">IF($B323&lt;=K$29,IF(SUM($E338:K338)&gt;0.01,0,$B329),0)</f>
        <v>280000</v>
      </c>
      <c r="M331" s="11"/>
    </row>
    <row r="332" spans="1:15" s="23" customFormat="1" hidden="1" outlineLevel="2" x14ac:dyDescent="0.2">
      <c r="A332" t="str">
        <f ca="1">Language!A$389</f>
        <v xml:space="preserve">    незавершенные инвестиции</v>
      </c>
      <c r="C332" s="40" t="str">
        <f t="shared" ca="1" si="194"/>
        <v>руб.</v>
      </c>
      <c r="D332" s="23" t="s">
        <v>2274</v>
      </c>
      <c r="F332" s="84">
        <f t="shared" ref="F332:K332" ca="1" si="201">IF($B323&gt;F$29,F330,0)</f>
        <v>40000</v>
      </c>
      <c r="G332" s="84">
        <f t="shared" ca="1" si="201"/>
        <v>80000</v>
      </c>
      <c r="H332" s="84">
        <f t="shared" ca="1" si="201"/>
        <v>130000</v>
      </c>
      <c r="I332" s="84">
        <f t="shared" ca="1" si="201"/>
        <v>180000</v>
      </c>
      <c r="J332" s="84">
        <f t="shared" ca="1" si="201"/>
        <v>230000</v>
      </c>
      <c r="K332" s="84">
        <f t="shared" ca="1" si="201"/>
        <v>0</v>
      </c>
      <c r="M332" s="11"/>
    </row>
    <row r="333" spans="1:15" s="23" customFormat="1" hidden="1" outlineLevel="2" x14ac:dyDescent="0.2">
      <c r="A333" t="str">
        <f ca="1">Language!A$390</f>
        <v xml:space="preserve">    кредиторская задолженность</v>
      </c>
      <c r="C333" s="40" t="str">
        <f t="shared" ca="1" si="194"/>
        <v>руб.</v>
      </c>
      <c r="D333" s="23" t="s">
        <v>2275</v>
      </c>
      <c r="F333" s="84">
        <f ca="1">IF(OR($B323&lt;=F$29,AND(SUM($F338:F338)&gt;0,$B323&gt;F$29)),$B329-F330,0)</f>
        <v>0</v>
      </c>
      <c r="G333" s="84">
        <f ca="1">IF(OR($B323&lt;=G$29,AND(SUM($F338:G338)&gt;0,$B323&gt;G$29)),$B329-G330,0)</f>
        <v>0</v>
      </c>
      <c r="H333" s="84">
        <f ca="1">IF(OR($B323&lt;=H$29,AND(SUM($F338:H338)&gt;0,$B323&gt;H$29)),$B329-H330,0)</f>
        <v>0</v>
      </c>
      <c r="I333" s="84">
        <f ca="1">IF(OR($B323&lt;=I$29,AND(SUM($F338:I338)&gt;0,$B323&gt;I$29)),$B329-I330,0)</f>
        <v>0</v>
      </c>
      <c r="J333" s="84">
        <f ca="1">IF(OR($B323&lt;=J$29,AND(SUM($F338:J338)&gt;0,$B323&gt;J$29)),$B329-J330,0)</f>
        <v>0</v>
      </c>
      <c r="K333" s="84">
        <f ca="1">IF(OR($B323&lt;=K$29,AND(SUM($F338:K338)&gt;0,$B323&gt;K$29)),$B329-K330,0)</f>
        <v>0</v>
      </c>
      <c r="M333" s="11"/>
    </row>
    <row r="334" spans="1:15" s="23" customFormat="1" hidden="1" outlineLevel="2" x14ac:dyDescent="0.2">
      <c r="A334" t="str">
        <f ca="1">Language!A$397</f>
        <v xml:space="preserve">    накопленная амортизация</v>
      </c>
      <c r="C334" s="40" t="str">
        <f t="shared" ca="1" si="194"/>
        <v>руб.</v>
      </c>
      <c r="D334" s="23" t="s">
        <v>2272</v>
      </c>
      <c r="F334" s="84">
        <f t="shared" ref="F334" ca="1" si="202">E334+F325+F324</f>
        <v>0</v>
      </c>
      <c r="G334" s="84">
        <f t="shared" ref="G334" ca="1" si="203">F334+G325+G324</f>
        <v>0</v>
      </c>
      <c r="H334" s="84">
        <f t="shared" ref="H334" ca="1" si="204">G334+H325+H324</f>
        <v>0</v>
      </c>
      <c r="I334" s="84">
        <f t="shared" ref="I334" ca="1" si="205">H334+I325+I324</f>
        <v>0</v>
      </c>
      <c r="J334" s="84">
        <f t="shared" ref="J334" ca="1" si="206">I334+J325+J324</f>
        <v>0</v>
      </c>
      <c r="K334" s="84">
        <f t="shared" ref="K334" ca="1" si="207">J334+K325+K324</f>
        <v>1166.6666666666667</v>
      </c>
      <c r="M334" s="11"/>
    </row>
    <row r="335" spans="1:15" s="23" customFormat="1" hidden="1" outlineLevel="2" x14ac:dyDescent="0.2">
      <c r="A335" t="str">
        <f ca="1">Language!A$391</f>
        <v xml:space="preserve">    остаточная стоимость</v>
      </c>
      <c r="C335" s="40" t="str">
        <f t="shared" ca="1" si="194"/>
        <v>руб.</v>
      </c>
      <c r="D335" s="23" t="s">
        <v>2273</v>
      </c>
      <c r="F335" s="106">
        <f ca="1">IF(SUM($E338:F338)&gt;0.01,0,F331-F334)</f>
        <v>0</v>
      </c>
      <c r="G335" s="106">
        <f ca="1">IF(SUM($E338:G338)&gt;0.01,0,G331-G334)</f>
        <v>0</v>
      </c>
      <c r="H335" s="106">
        <f ca="1">IF(SUM($E338:H338)&gt;0.01,0,H331-H334)</f>
        <v>0</v>
      </c>
      <c r="I335" s="106">
        <f ca="1">IF(SUM($E338:I338)&gt;0.01,0,I331-I334)</f>
        <v>0</v>
      </c>
      <c r="J335" s="106">
        <f ca="1">IF(SUM($E338:J338)&gt;0.01,0,J331-J334)</f>
        <v>0</v>
      </c>
      <c r="K335" s="106">
        <f ca="1">IF(SUM($E338:K338)&gt;0.01,0,K331-K334)</f>
        <v>278833.33333333331</v>
      </c>
      <c r="M335" s="11"/>
    </row>
    <row r="336" spans="1:15" s="23" customFormat="1" hidden="1" outlineLevel="2" x14ac:dyDescent="0.2">
      <c r="A336" t="str">
        <f ca="1">Language!A$398</f>
        <v xml:space="preserve">    НДС к ранее осуществленным инвестициям</v>
      </c>
      <c r="B336" s="262">
        <f>B322*B326</f>
        <v>0</v>
      </c>
      <c r="C336" s="40" t="str">
        <f t="shared" ca="1" si="194"/>
        <v>руб.</v>
      </c>
      <c r="D336" s="23" t="s">
        <v>2266</v>
      </c>
      <c r="F336" s="52"/>
      <c r="G336" s="52"/>
      <c r="H336" s="52"/>
      <c r="I336" s="52"/>
      <c r="J336" s="52"/>
      <c r="K336" s="52"/>
      <c r="M336" s="11"/>
    </row>
    <row r="337" spans="1:14" s="23" customFormat="1" hidden="1" outlineLevel="2" x14ac:dyDescent="0.2">
      <c r="A337" t="str">
        <f ca="1">Language!A$399</f>
        <v xml:space="preserve">    зачет НДС</v>
      </c>
      <c r="C337" s="40" t="str">
        <f t="shared" ca="1" si="194"/>
        <v>руб.</v>
      </c>
      <c r="D337" s="133" t="s">
        <v>2267</v>
      </c>
      <c r="F337" s="111">
        <f ca="1">IF($B327=2,IF($B323=F$29,$B336+$M326,0),F326+B336)</f>
        <v>0</v>
      </c>
      <c r="G337" s="111">
        <f ca="1">IF($B327=2,IF($B323=G$29,$B336+$M326,0),G326)</f>
        <v>0</v>
      </c>
      <c r="H337" s="111">
        <f ca="1">IF($B327=2,IF($B323=H$29,$B336+$M326,0),H326)</f>
        <v>0</v>
      </c>
      <c r="I337" s="111">
        <f ca="1">IF($B327=2,IF($B323=I$29,$B336+$M326,0),I326)</f>
        <v>0</v>
      </c>
      <c r="J337" s="111">
        <f ca="1">IF($B327=2,IF($B323=J$29,$B336+$M326,0),J326)</f>
        <v>0</v>
      </c>
      <c r="K337" s="111">
        <f ca="1">IF($B327=2,IF($B323=K$29,$B336+$M326,0),K326)</f>
        <v>0</v>
      </c>
      <c r="M337" s="54">
        <f ca="1">SUM(F337:K337)</f>
        <v>0</v>
      </c>
    </row>
    <row r="338" spans="1:14" s="23" customFormat="1" hidden="1" outlineLevel="2" x14ac:dyDescent="0.2">
      <c r="A338" s="63" t="str">
        <f ca="1">Language!A$361</f>
        <v xml:space="preserve">    реализация актива (без НДС)</v>
      </c>
      <c r="B338" s="112"/>
      <c r="C338" s="114" t="str">
        <f t="shared" ca="1" si="194"/>
        <v>руб.</v>
      </c>
      <c r="D338" s="23" t="s">
        <v>2268</v>
      </c>
      <c r="E338" s="112"/>
      <c r="F338" s="272">
        <v>0</v>
      </c>
      <c r="G338" s="272">
        <v>0</v>
      </c>
      <c r="H338" s="272">
        <v>0</v>
      </c>
      <c r="I338" s="272">
        <v>0</v>
      </c>
      <c r="J338" s="272">
        <v>0</v>
      </c>
      <c r="K338" s="272">
        <v>0</v>
      </c>
      <c r="M338" s="54">
        <f>SUM(F338:K338)</f>
        <v>0</v>
      </c>
    </row>
    <row r="339" spans="1:14" s="23" customFormat="1" hidden="1" outlineLevel="2" x14ac:dyDescent="0.2">
      <c r="A339" s="19" t="str">
        <f ca="1">Language!A$362</f>
        <v xml:space="preserve">    прибыль/убыток от реализации актива</v>
      </c>
      <c r="B339" s="24"/>
      <c r="C339" s="115" t="str">
        <f t="shared" ca="1" si="194"/>
        <v>руб.</v>
      </c>
      <c r="D339" s="23" t="s">
        <v>2269</v>
      </c>
      <c r="E339" s="24"/>
      <c r="F339" s="83">
        <f t="shared" ref="F339" si="208">IF(F338=0,0,F338-E335)</f>
        <v>0</v>
      </c>
      <c r="G339" s="83">
        <f t="shared" ref="G339" si="209">IF(G338=0,0,G338-F335)</f>
        <v>0</v>
      </c>
      <c r="H339" s="83">
        <f t="shared" ref="H339" si="210">IF(H338=0,0,H338-G335)</f>
        <v>0</v>
      </c>
      <c r="I339" s="83">
        <f t="shared" ref="I339" si="211">IF(I338=0,0,I338-H335)</f>
        <v>0</v>
      </c>
      <c r="J339" s="83">
        <f t="shared" ref="J339" si="212">IF(J338=0,0,J338-I335)</f>
        <v>0</v>
      </c>
      <c r="K339" s="83">
        <f t="shared" ref="K339" si="213">IF(K338=0,0,K338-J335)</f>
        <v>0</v>
      </c>
      <c r="M339" s="54">
        <f>SUM(F339:K339)</f>
        <v>0</v>
      </c>
    </row>
    <row r="340" spans="1:14" s="23" customFormat="1" hidden="1" outlineLevel="2" x14ac:dyDescent="0.2">
      <c r="A340" t="str">
        <f ca="1">Language!A$400</f>
        <v xml:space="preserve">    НДС к выручке от реализации актива</v>
      </c>
      <c r="B340" s="273">
        <f>VAT</f>
        <v>0</v>
      </c>
      <c r="C340" s="40" t="str">
        <f t="shared" ca="1" si="194"/>
        <v>руб.</v>
      </c>
      <c r="D340" s="23" t="s">
        <v>549</v>
      </c>
      <c r="F340">
        <f t="shared" ref="F340:K340" si="214">F338*$B340</f>
        <v>0</v>
      </c>
      <c r="G340">
        <f t="shared" si="214"/>
        <v>0</v>
      </c>
      <c r="H340">
        <f t="shared" si="214"/>
        <v>0</v>
      </c>
      <c r="I340">
        <f t="shared" si="214"/>
        <v>0</v>
      </c>
      <c r="J340">
        <f t="shared" si="214"/>
        <v>0</v>
      </c>
      <c r="K340">
        <f t="shared" si="214"/>
        <v>0</v>
      </c>
      <c r="M340" s="54">
        <f>SUM(F340:K340)</f>
        <v>0</v>
      </c>
    </row>
    <row r="341" spans="1:14" outlineLevel="1" x14ac:dyDescent="0.2"/>
    <row r="342" spans="1:14" outlineLevel="1" x14ac:dyDescent="0.2">
      <c r="A342" s="35" t="str">
        <f ca="1">Language!A401</f>
        <v>Оборудование и другие активы</v>
      </c>
      <c r="D342">
        <v>2</v>
      </c>
      <c r="E342" s="48">
        <v>24</v>
      </c>
    </row>
    <row r="343" spans="1:14" s="23" customFormat="1" outlineLevel="1" x14ac:dyDescent="0.2">
      <c r="A343" s="274" t="s">
        <v>185</v>
      </c>
      <c r="B343" s="36" t="str">
        <f ca="1">Language!A$73</f>
        <v>Валюта</v>
      </c>
      <c r="F343" s="42"/>
      <c r="G343" s="42"/>
      <c r="H343" s="42"/>
      <c r="I343" s="42"/>
      <c r="J343" s="42"/>
      <c r="K343" s="42"/>
      <c r="M343" s="39"/>
    </row>
    <row r="344" spans="1:14" s="23" customFormat="1" outlineLevel="1" collapsed="1" x14ac:dyDescent="0.2">
      <c r="A344" t="str">
        <f ca="1">CHOOSE(B347,Language!A$382,Language!A$381)</f>
        <v xml:space="preserve">    величина платежей (с НДС)</v>
      </c>
      <c r="B344" s="255">
        <v>1</v>
      </c>
      <c r="C344" s="40" t="str">
        <f ca="1">CHOOSE(B344,CUR_Main,CUR_Foreign)</f>
        <v>руб.</v>
      </c>
      <c r="D344" s="16" t="str">
        <f>TEXT(B344,"0")&amp;"_00"</f>
        <v>1_00</v>
      </c>
      <c r="F344" s="276">
        <v>0</v>
      </c>
      <c r="G344" s="276">
        <v>0</v>
      </c>
      <c r="H344" s="276">
        <v>0</v>
      </c>
      <c r="I344" s="276">
        <v>0</v>
      </c>
      <c r="J344" s="276">
        <v>0</v>
      </c>
      <c r="K344" s="276">
        <v>0</v>
      </c>
      <c r="M344" s="54">
        <f>SUM(F344:K344)</f>
        <v>0</v>
      </c>
    </row>
    <row r="345" spans="1:14" s="23" customFormat="1" hidden="1" outlineLevel="2" x14ac:dyDescent="0.2">
      <c r="A345" t="str">
        <f ca="1">Language!A$383</f>
        <v xml:space="preserve">    ранее осуществленные инвестиции (без НДС)</v>
      </c>
      <c r="B345" s="275">
        <f>F48*IF(B$37=1,1,F$88)</f>
        <v>0</v>
      </c>
      <c r="C345" s="40" t="str">
        <f ca="1">CUR_Main</f>
        <v>руб.</v>
      </c>
      <c r="D345" s="23" t="s">
        <v>2621</v>
      </c>
      <c r="M345" s="11"/>
    </row>
    <row r="346" spans="1:14" s="23" customFormat="1" hidden="1" outlineLevel="2" x14ac:dyDescent="0.2">
      <c r="A346" t="str">
        <f ca="1">Language!A$384</f>
        <v xml:space="preserve">    поставить на баланс с</v>
      </c>
      <c r="B346" s="271">
        <f ca="1">MATCH(OFFSET(M356,0,-2),F356:K356,0)</f>
        <v>1</v>
      </c>
      <c r="C346" s="40" t="str">
        <f ca="1">Language!A$376</f>
        <v>периода</v>
      </c>
      <c r="M346" s="11"/>
    </row>
    <row r="347" spans="1:14" s="16" customFormat="1" hidden="1" outlineLevel="2" x14ac:dyDescent="0.2">
      <c r="A347" s="74" t="str">
        <f ca="1">Language!A$402</f>
        <v xml:space="preserve">    импорт?</v>
      </c>
      <c r="B347" s="255">
        <v>2</v>
      </c>
      <c r="C347" s="117" t="str">
        <f ca="1">CHOOSE(B347,Language!A$374,Language!A$375)</f>
        <v>нет</v>
      </c>
      <c r="D347" s="46"/>
      <c r="E347" s="46"/>
      <c r="F347" s="111"/>
      <c r="G347" s="111"/>
      <c r="H347" s="111"/>
      <c r="I347" s="111"/>
      <c r="J347" s="111"/>
      <c r="K347" s="111"/>
      <c r="L347" s="111"/>
      <c r="M347" s="118"/>
      <c r="N347" s="111"/>
    </row>
    <row r="348" spans="1:14" s="16" customFormat="1" hidden="1" outlineLevel="2" x14ac:dyDescent="0.2">
      <c r="A348" s="74" t="str">
        <f ca="1">Language!A$403</f>
        <v xml:space="preserve">    пересечение границы при импорте</v>
      </c>
      <c r="B348" s="259">
        <v>1</v>
      </c>
      <c r="C348" s="17" t="str">
        <f ca="1">Language!A$377</f>
        <v>период</v>
      </c>
      <c r="F348" s="111"/>
      <c r="G348" s="111"/>
      <c r="H348" s="111"/>
      <c r="I348" s="111"/>
      <c r="J348" s="111"/>
      <c r="K348" s="111"/>
      <c r="L348" s="111"/>
      <c r="M348" s="118"/>
      <c r="N348" s="111"/>
    </row>
    <row r="349" spans="1:14" s="16" customFormat="1" hidden="1" outlineLevel="2" x14ac:dyDescent="0.2">
      <c r="A349" s="74" t="str">
        <f ca="1">Language!A$404</f>
        <v xml:space="preserve">    импортная пошлина</v>
      </c>
      <c r="B349" s="277">
        <f>IF(B347=1,10%,0%)</f>
        <v>0</v>
      </c>
      <c r="C349" s="115" t="str">
        <f ca="1">CUR_Main</f>
        <v>руб.</v>
      </c>
      <c r="D349" s="46" t="s">
        <v>2278</v>
      </c>
      <c r="E349" s="46"/>
      <c r="F349" s="83">
        <f t="shared" ref="F349:K349" si="215">IF($B347=1,IF($B348&gt;0,IF(F$29=$B348,$M344*IF($B344=1,1,F$88)*$B349,0),0),0)</f>
        <v>0</v>
      </c>
      <c r="G349" s="83">
        <f t="shared" si="215"/>
        <v>0</v>
      </c>
      <c r="H349" s="83">
        <f t="shared" si="215"/>
        <v>0</v>
      </c>
      <c r="I349" s="83">
        <f t="shared" si="215"/>
        <v>0</v>
      </c>
      <c r="J349" s="83">
        <f t="shared" si="215"/>
        <v>0</v>
      </c>
      <c r="K349" s="83">
        <f t="shared" si="215"/>
        <v>0</v>
      </c>
      <c r="L349" s="111"/>
      <c r="M349" s="54">
        <f>SUM(F349:K349)</f>
        <v>0</v>
      </c>
      <c r="N349" s="118"/>
    </row>
    <row r="350" spans="1:14" s="23" customFormat="1" hidden="1" outlineLevel="2" x14ac:dyDescent="0.2">
      <c r="A350" t="str">
        <f ca="1">Language!A$393</f>
        <v xml:space="preserve">    амортизация (линейная),       для срока использования:</v>
      </c>
      <c r="B350" s="271">
        <v>5</v>
      </c>
      <c r="C350" s="40" t="str">
        <f ca="1">Language!A$33</f>
        <v>лет</v>
      </c>
      <c r="D350" s="132" t="s">
        <v>2224</v>
      </c>
      <c r="F350" s="53">
        <f ca="1">IF(AND($B350&gt;0,SUM($E364:F364)&lt;=0.01),MIN(F357*100%/$B350*PRJ_Step/360,E361+F357-E357),0)</f>
        <v>0</v>
      </c>
      <c r="G350" s="53">
        <f ca="1">IF(AND($B350&gt;0,SUM($E364:G364)&lt;=0.01),MIN(G357*100%/$B350*PRJ_Step/360,F361+G357-F357),0)</f>
        <v>0</v>
      </c>
      <c r="H350" s="53">
        <f ca="1">IF(AND($B350&gt;0,SUM($E364:H364)&lt;=0.01),MIN(H357*100%/$B350*PRJ_Step/360,G361+H357-G357),0)</f>
        <v>0</v>
      </c>
      <c r="I350" s="53">
        <f ca="1">IF(AND($B350&gt;0,SUM($E364:I364)&lt;=0.01),MIN(I357*100%/$B350*PRJ_Step/360,H361+I357-H357),0)</f>
        <v>0</v>
      </c>
      <c r="J350" s="53">
        <f ca="1">IF(AND($B350&gt;0,SUM($E364:J364)&lt;=0.01),MIN(J357*100%/$B350*PRJ_Step/360,I361+J357-I357),0)</f>
        <v>0</v>
      </c>
      <c r="K350" s="53">
        <f ca="1">IF(AND($B350&gt;0,SUM($E364:K364)&lt;=0.01),MIN(K357*100%/$B350*PRJ_Step/360,J361+K357-J357),0)</f>
        <v>0</v>
      </c>
      <c r="M350" s="54">
        <f ca="1">SUM(F350:K350)</f>
        <v>0</v>
      </c>
    </row>
    <row r="351" spans="1:14" s="23" customFormat="1" hidden="1" outlineLevel="2" x14ac:dyDescent="0.2">
      <c r="A351" t="str">
        <f ca="1">Language!A$394</f>
        <v xml:space="preserve">    амортизация (ускоренная),    для срока использования:</v>
      </c>
      <c r="B351" s="271">
        <v>0</v>
      </c>
      <c r="C351" s="40" t="str">
        <f ca="1">Language!A$33</f>
        <v>лет</v>
      </c>
      <c r="D351" s="23" t="s">
        <v>2264</v>
      </c>
      <c r="F351" s="53">
        <f ca="1">IF(SUM($E364:F364)&lt;=0.01,IF(OR($B351=0,E361+F357-E357=0),0,IF($B350&gt;0,0,IF(E361+F357-E357&gt;0.2*F357,MIN((E361+F357-E357)*2/$B351*PRJ_Step/360,E361+F357-E357),MIN(E361+F357-E357,F357*PRJ_Step/360/IF($B351&lt;4,1,IF($B351&gt;5,3,2)))))),0)</f>
        <v>0</v>
      </c>
      <c r="G351" s="53">
        <f ca="1">IF(SUM($E364:G364)&lt;=0.01,IF(OR($B351=0,F361+G357-F357=0),0,IF($B350&gt;0,0,IF(F361+G357-F357&gt;0.2*G357,MIN((F361+G357-F357)*2/$B351*PRJ_Step/360,F361+G357-F357),MIN(F361+G357-F357,G357*PRJ_Step/360/IF($B351&lt;4,1,IF($B351&gt;5,3,2)))))),0)</f>
        <v>0</v>
      </c>
      <c r="H351" s="53">
        <f ca="1">IF(SUM($E364:H364)&lt;=0.01,IF(OR($B351=0,G361+H357-G357=0),0,IF($B350&gt;0,0,IF(G361+H357-G357&gt;0.2*H357,MIN((G361+H357-G357)*2/$B351*PRJ_Step/360,G361+H357-G357),MIN(G361+H357-G357,H357*PRJ_Step/360/IF($B351&lt;4,1,IF($B351&gt;5,3,2)))))),0)</f>
        <v>0</v>
      </c>
      <c r="I351" s="53">
        <f ca="1">IF(SUM($E364:I364)&lt;=0.01,IF(OR($B351=0,H361+I357-H357=0),0,IF($B350&gt;0,0,IF(H361+I357-H357&gt;0.2*I357,MIN((H361+I357-H357)*2/$B351*PRJ_Step/360,H361+I357-H357),MIN(H361+I357-H357,I357*PRJ_Step/360/IF($B351&lt;4,1,IF($B351&gt;5,3,2)))))),0)</f>
        <v>0</v>
      </c>
      <c r="J351" s="53">
        <f ca="1">IF(SUM($E364:J364)&lt;=0.01,IF(OR($B351=0,I361+J357-I357=0),0,IF($B350&gt;0,0,IF(I361+J357-I357&gt;0.2*J357,MIN((I361+J357-I357)*2/$B351*PRJ_Step/360,I361+J357-I357),MIN(I361+J357-I357,J357*PRJ_Step/360/IF($B351&lt;4,1,IF($B351&gt;5,3,2)))))),0)</f>
        <v>0</v>
      </c>
      <c r="K351" s="53">
        <f ca="1">IF(SUM($E364:K364)&lt;=0.01,IF(OR($B351=0,J361+K357-J357=0),0,IF($B350&gt;0,0,IF(J361+K357-J357&gt;0.2*K357,MIN((J361+K357-J357)*2/$B351*PRJ_Step/360,J361+K357-J357),MIN(J361+K357-J357,K357*PRJ_Step/360/IF($B351&lt;4,1,IF($B351&gt;5,3,2)))))),0)</f>
        <v>0</v>
      </c>
      <c r="M351" s="54">
        <f ca="1">SUM(F351:K351)</f>
        <v>0</v>
      </c>
    </row>
    <row r="352" spans="1:14" s="23" customFormat="1" hidden="1" outlineLevel="2" x14ac:dyDescent="0.2">
      <c r="A352" t="str">
        <f ca="1">Language!A$395</f>
        <v xml:space="preserve">    выплаченный НДС</v>
      </c>
      <c r="B352" s="273">
        <f>VAT</f>
        <v>0</v>
      </c>
      <c r="C352" s="40" t="str">
        <f ca="1">CUR_Main</f>
        <v>руб.</v>
      </c>
      <c r="D352" s="23" t="s">
        <v>2265</v>
      </c>
      <c r="F352" s="111">
        <f t="shared" ref="F352:J352" si="216">IF($B347=2,F354*$B352,IF(F$29=$B348,$B355*$B352,0))</f>
        <v>0</v>
      </c>
      <c r="G352" s="111">
        <f t="shared" si="216"/>
        <v>0</v>
      </c>
      <c r="H352" s="111">
        <f t="shared" si="216"/>
        <v>0</v>
      </c>
      <c r="I352" s="111">
        <f t="shared" si="216"/>
        <v>0</v>
      </c>
      <c r="J352" s="111">
        <f t="shared" si="216"/>
        <v>0</v>
      </c>
      <c r="K352" s="111">
        <f t="shared" ref="K352" si="217">IF($B347=2,K354*$B352,IF(K$29=$B348,$B355*$B352,0))</f>
        <v>0</v>
      </c>
      <c r="M352" s="54">
        <f>SUM(F352:K352)</f>
        <v>0</v>
      </c>
    </row>
    <row r="353" spans="1:13" s="23" customFormat="1" hidden="1" outlineLevel="2" x14ac:dyDescent="0.2">
      <c r="A353" t="str">
        <f ca="1">Language!A$396</f>
        <v xml:space="preserve">    вариант зачета НДС</v>
      </c>
      <c r="B353" s="255">
        <v>2</v>
      </c>
      <c r="C353" s="85" t="str">
        <f ca="1">CHOOSE(B353,Language!A$372,Language!A$373)</f>
        <v>после постановки актива на баланс</v>
      </c>
      <c r="F353" s="111"/>
      <c r="G353" s="111"/>
      <c r="H353" s="111"/>
      <c r="I353" s="111"/>
      <c r="J353" s="111"/>
      <c r="K353" s="111"/>
      <c r="M353" s="54"/>
    </row>
    <row r="354" spans="1:13" s="23" customFormat="1" hidden="1" outlineLevel="2" x14ac:dyDescent="0.2">
      <c r="A354" t="str">
        <f ca="1">Language!A$385</f>
        <v xml:space="preserve">    сумма платежей без НДС</v>
      </c>
      <c r="C354" s="40" t="str">
        <f t="shared" ref="C354:C366" ca="1" si="218">CUR_Main</f>
        <v>руб.</v>
      </c>
      <c r="D354" s="23" t="s">
        <v>188</v>
      </c>
      <c r="F354" s="84">
        <f t="shared" ref="F354:J354" si="219">IF($B347=2,F344*IF($B344=1,1,F$88)/(1+$B352),F344*IF($B344=1,1,F$88))</f>
        <v>0</v>
      </c>
      <c r="G354" s="84">
        <f t="shared" si="219"/>
        <v>0</v>
      </c>
      <c r="H354" s="84">
        <f t="shared" si="219"/>
        <v>0</v>
      </c>
      <c r="I354" s="84">
        <f t="shared" si="219"/>
        <v>0</v>
      </c>
      <c r="J354" s="84">
        <f t="shared" si="219"/>
        <v>0</v>
      </c>
      <c r="K354" s="84">
        <f t="shared" ref="K354" si="220">IF($B347=2,K344*IF($B344=1,1,K$88)/(1+$B352),K344*IF($B344=1,1,K$88))</f>
        <v>0</v>
      </c>
      <c r="M354" s="54">
        <f>SUM(F354:K354)</f>
        <v>0</v>
      </c>
    </row>
    <row r="355" spans="1:13" s="23" customFormat="1" hidden="1" outlineLevel="2" x14ac:dyDescent="0.2">
      <c r="A355" t="str">
        <f ca="1">Language!A$386</f>
        <v xml:space="preserve">    общая стоимость актива (без НДС)</v>
      </c>
      <c r="B355" s="55">
        <f>M354+B345+M349</f>
        <v>0</v>
      </c>
      <c r="C355" s="40" t="str">
        <f t="shared" ca="1" si="218"/>
        <v>руб.</v>
      </c>
      <c r="M355" s="11"/>
    </row>
    <row r="356" spans="1:13" s="23" customFormat="1" hidden="1" outlineLevel="2" x14ac:dyDescent="0.2">
      <c r="A356" t="str">
        <f ca="1">Language!A$387</f>
        <v xml:space="preserve">    полная сумма вложений в актив (без НДС)</v>
      </c>
      <c r="C356" s="40" t="str">
        <f t="shared" ca="1" si="218"/>
        <v>руб.</v>
      </c>
      <c r="D356" s="23" t="s">
        <v>2270</v>
      </c>
      <c r="F356" s="53">
        <f>B345+F354+F349</f>
        <v>0</v>
      </c>
      <c r="G356" s="53">
        <f t="shared" ref="G356:K356" si="221">F356+G354+G349</f>
        <v>0</v>
      </c>
      <c r="H356" s="53">
        <f t="shared" si="221"/>
        <v>0</v>
      </c>
      <c r="I356" s="53">
        <f t="shared" si="221"/>
        <v>0</v>
      </c>
      <c r="J356" s="53">
        <f t="shared" si="221"/>
        <v>0</v>
      </c>
      <c r="K356" s="53">
        <f t="shared" si="221"/>
        <v>0</v>
      </c>
      <c r="M356" s="54"/>
    </row>
    <row r="357" spans="1:13" s="23" customFormat="1" hidden="1" outlineLevel="2" x14ac:dyDescent="0.2">
      <c r="A357" t="str">
        <f ca="1">Language!A$388</f>
        <v xml:space="preserve">    полная балансовая стоимость</v>
      </c>
      <c r="C357" s="40" t="str">
        <f t="shared" ca="1" si="218"/>
        <v>руб.</v>
      </c>
      <c r="D357" s="23" t="s">
        <v>2271</v>
      </c>
      <c r="F357" s="53">
        <f ca="1">IF($B346&lt;=F$29,IF(SUM($E364:F364)&gt;0.01,0,$B355),0)</f>
        <v>0</v>
      </c>
      <c r="G357" s="53">
        <f ca="1">IF($B346&lt;=G$29,IF(SUM($E364:G364)&gt;0.01,0,$B355),0)</f>
        <v>0</v>
      </c>
      <c r="H357" s="53">
        <f ca="1">IF($B346&lt;=H$29,IF(SUM($E364:H364)&gt;0.01,0,$B355),0)</f>
        <v>0</v>
      </c>
      <c r="I357" s="53">
        <f ca="1">IF($B346&lt;=I$29,IF(SUM($E364:I364)&gt;0.01,0,$B355),0)</f>
        <v>0</v>
      </c>
      <c r="J357" s="53">
        <f ca="1">IF($B346&lt;=J$29,IF(SUM($E364:J364)&gt;0.01,0,$B355),0)</f>
        <v>0</v>
      </c>
      <c r="K357" s="53">
        <f ca="1">IF($B346&lt;=K$29,IF(SUM($E364:K364)&gt;0.01,0,$B355),0)</f>
        <v>0</v>
      </c>
      <c r="M357" s="11"/>
    </row>
    <row r="358" spans="1:13" s="23" customFormat="1" hidden="1" outlineLevel="2" x14ac:dyDescent="0.2">
      <c r="A358" t="str">
        <f ca="1">Language!A$389</f>
        <v xml:space="preserve">    незавершенные инвестиции</v>
      </c>
      <c r="C358" s="40" t="str">
        <f t="shared" ca="1" si="218"/>
        <v>руб.</v>
      </c>
      <c r="D358" s="23" t="s">
        <v>2274</v>
      </c>
      <c r="F358" s="53">
        <f t="shared" ref="F358:J358" ca="1" si="222">IF($B346&gt;F$29,F356,0)</f>
        <v>0</v>
      </c>
      <c r="G358" s="53">
        <f t="shared" ca="1" si="222"/>
        <v>0</v>
      </c>
      <c r="H358" s="53">
        <f t="shared" ca="1" si="222"/>
        <v>0</v>
      </c>
      <c r="I358" s="53">
        <f t="shared" ca="1" si="222"/>
        <v>0</v>
      </c>
      <c r="J358" s="53">
        <f t="shared" ca="1" si="222"/>
        <v>0</v>
      </c>
      <c r="K358" s="53">
        <f t="shared" ref="K358" ca="1" si="223">IF($B346&gt;K$29,K356,0)</f>
        <v>0</v>
      </c>
      <c r="M358" s="11"/>
    </row>
    <row r="359" spans="1:13" s="23" customFormat="1" hidden="1" outlineLevel="2" x14ac:dyDescent="0.2">
      <c r="A359" t="str">
        <f ca="1">Language!A$390</f>
        <v xml:space="preserve">    кредиторская задолженность</v>
      </c>
      <c r="C359" s="40" t="str">
        <f t="shared" ca="1" si="218"/>
        <v>руб.</v>
      </c>
      <c r="D359" s="23" t="s">
        <v>2275</v>
      </c>
      <c r="F359" s="53">
        <f ca="1">IF(OR($B346&lt;=F$29,AND(SUM($F364:F364)&gt;0,$B346&gt;F$29)),$B355-F356,0)</f>
        <v>0</v>
      </c>
      <c r="G359" s="53">
        <f ca="1">IF(OR($B346&lt;=G$29,AND(SUM($F364:G364)&gt;0,$B346&gt;G$29)),$B355-G356,0)</f>
        <v>0</v>
      </c>
      <c r="H359" s="53">
        <f ca="1">IF(OR($B346&lt;=H$29,AND(SUM($F364:H364)&gt;0,$B346&gt;H$29)),$B355-H356,0)</f>
        <v>0</v>
      </c>
      <c r="I359" s="53">
        <f ca="1">IF(OR($B346&lt;=I$29,AND(SUM($F364:I364)&gt;0,$B346&gt;I$29)),$B355-I356,0)</f>
        <v>0</v>
      </c>
      <c r="J359" s="53">
        <f ca="1">IF(OR($B346&lt;=J$29,AND(SUM($F364:J364)&gt;0,$B346&gt;J$29)),$B355-J356,0)</f>
        <v>0</v>
      </c>
      <c r="K359" s="53">
        <f ca="1">IF(OR($B346&lt;=K$29,AND(SUM($F364:K364)&gt;0,$B346&gt;K$29)),$B355-K356,0)</f>
        <v>0</v>
      </c>
      <c r="M359" s="11"/>
    </row>
    <row r="360" spans="1:13" s="23" customFormat="1" hidden="1" outlineLevel="2" x14ac:dyDescent="0.2">
      <c r="A360" t="str">
        <f ca="1">Language!A$397</f>
        <v xml:space="preserve">    накопленная амортизация</v>
      </c>
      <c r="C360" s="40" t="str">
        <f t="shared" ca="1" si="218"/>
        <v>руб.</v>
      </c>
      <c r="D360" s="23" t="s">
        <v>2272</v>
      </c>
      <c r="F360" s="53">
        <f t="shared" ref="F360:K360" ca="1" si="224">E360+F351+F350</f>
        <v>0</v>
      </c>
      <c r="G360" s="53">
        <f t="shared" ca="1" si="224"/>
        <v>0</v>
      </c>
      <c r="H360" s="53">
        <f t="shared" ca="1" si="224"/>
        <v>0</v>
      </c>
      <c r="I360" s="53">
        <f t="shared" ca="1" si="224"/>
        <v>0</v>
      </c>
      <c r="J360" s="53">
        <f t="shared" ca="1" si="224"/>
        <v>0</v>
      </c>
      <c r="K360" s="53">
        <f t="shared" ca="1" si="224"/>
        <v>0</v>
      </c>
      <c r="M360" s="11"/>
    </row>
    <row r="361" spans="1:13" s="23" customFormat="1" hidden="1" outlineLevel="2" x14ac:dyDescent="0.2">
      <c r="A361" t="str">
        <f ca="1">Language!A$391</f>
        <v xml:space="preserve">    остаточная стоимость</v>
      </c>
      <c r="C361" s="40" t="str">
        <f t="shared" ca="1" si="218"/>
        <v>руб.</v>
      </c>
      <c r="D361" s="23" t="s">
        <v>2273</v>
      </c>
      <c r="F361" s="43">
        <f ca="1">IF(SUM($E364:F364)&gt;0.01,0,F357-F360)</f>
        <v>0</v>
      </c>
      <c r="G361" s="43">
        <f ca="1">IF(SUM($E364:G364)&gt;0.01,0,G357-G360)</f>
        <v>0</v>
      </c>
      <c r="H361" s="43">
        <f ca="1">IF(SUM($E364:H364)&gt;0.01,0,H357-H360)</f>
        <v>0</v>
      </c>
      <c r="I361" s="43">
        <f ca="1">IF(SUM($E364:I364)&gt;0.01,0,I357-I360)</f>
        <v>0</v>
      </c>
      <c r="J361" s="43">
        <f ca="1">IF(SUM($E364:J364)&gt;0.01,0,J357-J360)</f>
        <v>0</v>
      </c>
      <c r="K361" s="43">
        <f ca="1">IF(SUM($E364:K364)&gt;0.01,0,K357-K360)</f>
        <v>0</v>
      </c>
      <c r="M361" s="11"/>
    </row>
    <row r="362" spans="1:13" s="23" customFormat="1" hidden="1" outlineLevel="2" x14ac:dyDescent="0.2">
      <c r="A362" t="str">
        <f ca="1">Language!A$398</f>
        <v xml:space="preserve">    НДС к ранее осуществленным инвестициям</v>
      </c>
      <c r="B362" s="262">
        <f>B345*B352</f>
        <v>0</v>
      </c>
      <c r="C362" s="40" t="str">
        <f t="shared" ca="1" si="218"/>
        <v>руб.</v>
      </c>
      <c r="D362" s="23" t="s">
        <v>2266</v>
      </c>
      <c r="M362" s="11"/>
    </row>
    <row r="363" spans="1:13" s="23" customFormat="1" hidden="1" outlineLevel="2" x14ac:dyDescent="0.2">
      <c r="A363" t="str">
        <f ca="1">Language!A$399</f>
        <v xml:space="preserve">    зачет НДС</v>
      </c>
      <c r="C363" s="40" t="str">
        <f t="shared" ca="1" si="218"/>
        <v>руб.</v>
      </c>
      <c r="D363" s="133" t="s">
        <v>2267</v>
      </c>
      <c r="F363" s="111">
        <f ca="1">IF($B353=2,IF($B346=F$29,$B362+$M352,0),F352+B362)</f>
        <v>0</v>
      </c>
      <c r="G363" s="111">
        <f ca="1">IF($B353=2,IF($B346=G$29,$B362+$M352,0),G352)</f>
        <v>0</v>
      </c>
      <c r="H363" s="111">
        <f ca="1">IF($B353=2,IF($B346=H$29,$B362+$M352,0),H352)</f>
        <v>0</v>
      </c>
      <c r="I363" s="111">
        <f ca="1">IF($B353=2,IF($B346=I$29,$B362+$M352,0),I352)</f>
        <v>0</v>
      </c>
      <c r="J363" s="111">
        <f ca="1">IF($B353=2,IF($B346=J$29,$B362+$M352,0),J352)</f>
        <v>0</v>
      </c>
      <c r="K363" s="111">
        <f ca="1">IF($B353=2,IF($B346=K$29,$B362+$M352,0),K352)</f>
        <v>0</v>
      </c>
      <c r="M363" s="54">
        <f ca="1">SUM(F363:K363)</f>
        <v>0</v>
      </c>
    </row>
    <row r="364" spans="1:13" s="23" customFormat="1" hidden="1" outlineLevel="2" x14ac:dyDescent="0.2">
      <c r="A364" s="63" t="str">
        <f ca="1">Language!A$361</f>
        <v xml:space="preserve">    реализация актива (без НДС)</v>
      </c>
      <c r="B364" s="112"/>
      <c r="C364" s="114" t="str">
        <f t="shared" ca="1" si="218"/>
        <v>руб.</v>
      </c>
      <c r="D364" s="23" t="s">
        <v>2268</v>
      </c>
      <c r="E364" s="112"/>
      <c r="F364" s="272">
        <v>0</v>
      </c>
      <c r="G364" s="272">
        <v>0</v>
      </c>
      <c r="H364" s="272">
        <v>0</v>
      </c>
      <c r="I364" s="272">
        <v>0</v>
      </c>
      <c r="J364" s="272">
        <v>0</v>
      </c>
      <c r="K364" s="272">
        <v>0</v>
      </c>
      <c r="M364" s="54">
        <f>SUM(F364:K364)</f>
        <v>0</v>
      </c>
    </row>
    <row r="365" spans="1:13" s="23" customFormat="1" hidden="1" outlineLevel="2" x14ac:dyDescent="0.2">
      <c r="A365" s="19" t="str">
        <f ca="1">Language!A$362</f>
        <v xml:space="preserve">    прибыль/убыток от реализации актива</v>
      </c>
      <c r="B365" s="24"/>
      <c r="C365" s="115" t="str">
        <f t="shared" ca="1" si="218"/>
        <v>руб.</v>
      </c>
      <c r="D365" s="23" t="s">
        <v>2269</v>
      </c>
      <c r="E365" s="24"/>
      <c r="F365" s="111">
        <f t="shared" ref="F365:K365" si="225">IF(F364=0,0,F364-E361)</f>
        <v>0</v>
      </c>
      <c r="G365" s="111">
        <f t="shared" si="225"/>
        <v>0</v>
      </c>
      <c r="H365" s="111">
        <f t="shared" si="225"/>
        <v>0</v>
      </c>
      <c r="I365" s="111">
        <f t="shared" si="225"/>
        <v>0</v>
      </c>
      <c r="J365" s="111">
        <f t="shared" si="225"/>
        <v>0</v>
      </c>
      <c r="K365" s="111">
        <f t="shared" si="225"/>
        <v>0</v>
      </c>
      <c r="M365" s="54">
        <f>SUM(F365:K365)</f>
        <v>0</v>
      </c>
    </row>
    <row r="366" spans="1:13" s="23" customFormat="1" hidden="1" outlineLevel="2" x14ac:dyDescent="0.2">
      <c r="A366" t="str">
        <f ca="1">Language!A$400</f>
        <v xml:space="preserve">    НДС к выручке от реализации актива</v>
      </c>
      <c r="B366" s="273">
        <f>VAT</f>
        <v>0</v>
      </c>
      <c r="C366" s="40" t="str">
        <f t="shared" ca="1" si="218"/>
        <v>руб.</v>
      </c>
      <c r="D366" s="23" t="s">
        <v>549</v>
      </c>
      <c r="F366">
        <f t="shared" ref="F366:J366" si="226">F364*$B366</f>
        <v>0</v>
      </c>
      <c r="G366">
        <f t="shared" si="226"/>
        <v>0</v>
      </c>
      <c r="H366">
        <f t="shared" si="226"/>
        <v>0</v>
      </c>
      <c r="I366">
        <f t="shared" si="226"/>
        <v>0</v>
      </c>
      <c r="J366">
        <f t="shared" si="226"/>
        <v>0</v>
      </c>
      <c r="K366">
        <f t="shared" ref="K366" si="227">K364*$B366</f>
        <v>0</v>
      </c>
      <c r="M366" s="54">
        <f>SUM(F366:K366)</f>
        <v>0</v>
      </c>
    </row>
    <row r="367" spans="1:13" s="23" customFormat="1" outlineLevel="1" x14ac:dyDescent="0.2">
      <c r="A367" s="274" t="s">
        <v>2693</v>
      </c>
      <c r="B367" s="36" t="str">
        <f ca="1">Language!A$73</f>
        <v>Валюта</v>
      </c>
      <c r="F367" s="42"/>
      <c r="G367" s="42"/>
      <c r="H367" s="42"/>
      <c r="I367" s="42"/>
      <c r="J367" s="42"/>
      <c r="K367" s="42"/>
      <c r="M367" s="39"/>
    </row>
    <row r="368" spans="1:13" s="23" customFormat="1" outlineLevel="1" collapsed="1" x14ac:dyDescent="0.2">
      <c r="A368" t="str">
        <f ca="1">CHOOSE(B371,Language!A$382,Language!A$381)</f>
        <v xml:space="preserve">    величина платежей (с НДС)</v>
      </c>
      <c r="B368" s="255">
        <v>1</v>
      </c>
      <c r="C368" s="40" t="str">
        <f ca="1">CHOOSE(B368,CUR_Main,CUR_Foreign)</f>
        <v>руб.</v>
      </c>
      <c r="D368" s="16" t="str">
        <f>TEXT(B368,"0")&amp;"_00"</f>
        <v>1_00</v>
      </c>
      <c r="F368" s="276">
        <v>500000</v>
      </c>
      <c r="G368" s="276">
        <v>0</v>
      </c>
      <c r="H368" s="276">
        <v>0</v>
      </c>
      <c r="I368" s="276">
        <v>700000</v>
      </c>
      <c r="J368" s="276">
        <v>0</v>
      </c>
      <c r="K368" s="276">
        <v>0</v>
      </c>
      <c r="M368" s="54">
        <f>SUM(F368:K368)</f>
        <v>1200000</v>
      </c>
    </row>
    <row r="369" spans="1:14" s="23" customFormat="1" hidden="1" outlineLevel="2" x14ac:dyDescent="0.2">
      <c r="A369" t="str">
        <f ca="1">Language!A$383</f>
        <v xml:space="preserve">    ранее осуществленные инвестиции (без НДС)</v>
      </c>
      <c r="B369" s="275">
        <v>0</v>
      </c>
      <c r="C369" s="40" t="str">
        <f ca="1">CUR_Main</f>
        <v>руб.</v>
      </c>
      <c r="D369" s="23" t="s">
        <v>2621</v>
      </c>
      <c r="M369" s="11"/>
    </row>
    <row r="370" spans="1:14" s="23" customFormat="1" hidden="1" outlineLevel="2" x14ac:dyDescent="0.2">
      <c r="A370" t="str">
        <f ca="1">Language!A$384</f>
        <v xml:space="preserve">    поставить на баланс с</v>
      </c>
      <c r="B370" s="271">
        <f ca="1">MATCH(OFFSET(M380,0,-2),F380:K380,0)</f>
        <v>4</v>
      </c>
      <c r="C370" s="40" t="str">
        <f ca="1">Language!A$376</f>
        <v>периода</v>
      </c>
      <c r="M370" s="11"/>
    </row>
    <row r="371" spans="1:14" s="16" customFormat="1" hidden="1" outlineLevel="2" x14ac:dyDescent="0.2">
      <c r="A371" s="74" t="str">
        <f ca="1">Language!A$402</f>
        <v xml:space="preserve">    импорт?</v>
      </c>
      <c r="B371" s="255">
        <v>2</v>
      </c>
      <c r="C371" s="117" t="str">
        <f ca="1">CHOOSE(B371,Language!A$374,Language!A$375)</f>
        <v>нет</v>
      </c>
      <c r="D371" s="46"/>
      <c r="E371" s="46"/>
      <c r="F371" s="111"/>
      <c r="G371" s="111"/>
      <c r="H371" s="111"/>
      <c r="I371" s="111"/>
      <c r="J371" s="111"/>
      <c r="K371" s="111"/>
      <c r="L371" s="111"/>
      <c r="M371" s="118"/>
      <c r="N371" s="111"/>
    </row>
    <row r="372" spans="1:14" s="16" customFormat="1" hidden="1" outlineLevel="2" x14ac:dyDescent="0.2">
      <c r="A372" s="74" t="str">
        <f ca="1">Language!A$403</f>
        <v xml:space="preserve">    пересечение границы при импорте</v>
      </c>
      <c r="B372" s="259">
        <v>1</v>
      </c>
      <c r="C372" s="17" t="str">
        <f ca="1">Language!A$377</f>
        <v>период</v>
      </c>
      <c r="F372" s="111"/>
      <c r="G372" s="111"/>
      <c r="H372" s="111"/>
      <c r="I372" s="111"/>
      <c r="J372" s="111"/>
      <c r="K372" s="111"/>
      <c r="L372" s="111"/>
      <c r="M372" s="118"/>
      <c r="N372" s="111"/>
    </row>
    <row r="373" spans="1:14" s="16" customFormat="1" hidden="1" outlineLevel="2" x14ac:dyDescent="0.2">
      <c r="A373" s="74" t="str">
        <f ca="1">Language!A$404</f>
        <v xml:space="preserve">    импортная пошлина</v>
      </c>
      <c r="B373" s="277">
        <f>IF(B371=1,10%,0%)</f>
        <v>0</v>
      </c>
      <c r="C373" s="115" t="str">
        <f ca="1">CUR_Main</f>
        <v>руб.</v>
      </c>
      <c r="D373" s="46" t="s">
        <v>2278</v>
      </c>
      <c r="E373" s="46"/>
      <c r="F373" s="83">
        <f t="shared" ref="F373:K373" si="228">IF($B371=1,IF($B372&gt;0,IF(F$29=$B372,$M368*IF($B368=1,1,F$88)*$B373,0),0),0)</f>
        <v>0</v>
      </c>
      <c r="G373" s="83">
        <f t="shared" si="228"/>
        <v>0</v>
      </c>
      <c r="H373" s="83">
        <f t="shared" si="228"/>
        <v>0</v>
      </c>
      <c r="I373" s="83">
        <f t="shared" si="228"/>
        <v>0</v>
      </c>
      <c r="J373" s="83">
        <f t="shared" si="228"/>
        <v>0</v>
      </c>
      <c r="K373" s="83">
        <f t="shared" si="228"/>
        <v>0</v>
      </c>
      <c r="L373" s="111"/>
      <c r="M373" s="54">
        <f>SUM(F373:K373)</f>
        <v>0</v>
      </c>
      <c r="N373" s="118"/>
    </row>
    <row r="374" spans="1:14" s="23" customFormat="1" hidden="1" outlineLevel="2" x14ac:dyDescent="0.2">
      <c r="A374" t="str">
        <f ca="1">Language!A$393</f>
        <v xml:space="preserve">    амортизация (линейная),       для срока использования:</v>
      </c>
      <c r="B374" s="271">
        <v>5</v>
      </c>
      <c r="C374" s="40" t="str">
        <f ca="1">Language!A$33</f>
        <v>лет</v>
      </c>
      <c r="D374" s="132" t="s">
        <v>2224</v>
      </c>
      <c r="F374" s="53">
        <f ca="1">IF(AND($B374&gt;0,SUM($E388:F388)&lt;=0.01),MIN(F381*100%/$B374*PRJ_Step/360,E385+F381-E381),0)</f>
        <v>0</v>
      </c>
      <c r="G374" s="53">
        <f ca="1">IF(AND($B374&gt;0,SUM($E388:G388)&lt;=0.01),MIN(G381*100%/$B374*PRJ_Step/360,F385+G381-F381),0)</f>
        <v>0</v>
      </c>
      <c r="H374" s="53">
        <f ca="1">IF(AND($B374&gt;0,SUM($E388:H388)&lt;=0.01),MIN(H381*100%/$B374*PRJ_Step/360,G385+H381-G381),0)</f>
        <v>0</v>
      </c>
      <c r="I374" s="53">
        <f ca="1">IF(AND($B374&gt;0,SUM($E388:I388)&lt;=0.01),MIN(I381*100%/$B374*PRJ_Step/360,H385+I381-H381),0)</f>
        <v>20000</v>
      </c>
      <c r="J374" s="53">
        <f ca="1">IF(AND($B374&gt;0,SUM($E388:J388)&lt;=0.01),MIN(J381*100%/$B374*PRJ_Step/360,I385+J381-I381),0)</f>
        <v>20000</v>
      </c>
      <c r="K374" s="53">
        <f ca="1">IF(AND($B374&gt;0,SUM($E388:K388)&lt;=0.01),MIN(K381*100%/$B374*PRJ_Step/360,J385+K381-J381),0)</f>
        <v>20000</v>
      </c>
      <c r="M374" s="54">
        <f ca="1">SUM(F374:K374)</f>
        <v>60000</v>
      </c>
    </row>
    <row r="375" spans="1:14" s="23" customFormat="1" hidden="1" outlineLevel="2" x14ac:dyDescent="0.2">
      <c r="A375" t="str">
        <f ca="1">Language!A$394</f>
        <v xml:space="preserve">    амортизация (ускоренная),    для срока использования:</v>
      </c>
      <c r="B375" s="271">
        <v>0</v>
      </c>
      <c r="C375" s="40" t="str">
        <f ca="1">Language!A$33</f>
        <v>лет</v>
      </c>
      <c r="D375" s="23" t="s">
        <v>2264</v>
      </c>
      <c r="F375" s="53">
        <f ca="1">IF(SUM($E388:F388)&lt;=0.01,IF(OR($B375=0,E385+F381-E381=0),0,IF($B374&gt;0,0,IF(E385+F381-E381&gt;0.2*F381,MIN((E385+F381-E381)*2/$B375*PRJ_Step/360,E385+F381-E381),MIN(E385+F381-E381,F381*PRJ_Step/360/IF($B375&lt;4,1,IF($B375&gt;5,3,2)))))),0)</f>
        <v>0</v>
      </c>
      <c r="G375" s="53">
        <f ca="1">IF(SUM($E388:G388)&lt;=0.01,IF(OR($B375=0,F385+G381-F381=0),0,IF($B374&gt;0,0,IF(F385+G381-F381&gt;0.2*G381,MIN((F385+G381-F381)*2/$B375*PRJ_Step/360,F385+G381-F381),MIN(F385+G381-F381,G381*PRJ_Step/360/IF($B375&lt;4,1,IF($B375&gt;5,3,2)))))),0)</f>
        <v>0</v>
      </c>
      <c r="H375" s="53">
        <f ca="1">IF(SUM($E388:H388)&lt;=0.01,IF(OR($B375=0,G385+H381-G381=0),0,IF($B374&gt;0,0,IF(G385+H381-G381&gt;0.2*H381,MIN((G385+H381-G381)*2/$B375*PRJ_Step/360,G385+H381-G381),MIN(G385+H381-G381,H381*PRJ_Step/360/IF($B375&lt;4,1,IF($B375&gt;5,3,2)))))),0)</f>
        <v>0</v>
      </c>
      <c r="I375" s="53">
        <f ca="1">IF(SUM($E388:I388)&lt;=0.01,IF(OR($B375=0,H385+I381-H381=0),0,IF($B374&gt;0,0,IF(H385+I381-H381&gt;0.2*I381,MIN((H385+I381-H381)*2/$B375*PRJ_Step/360,H385+I381-H381),MIN(H385+I381-H381,I381*PRJ_Step/360/IF($B375&lt;4,1,IF($B375&gt;5,3,2)))))),0)</f>
        <v>0</v>
      </c>
      <c r="J375" s="53">
        <f ca="1">IF(SUM($E388:J388)&lt;=0.01,IF(OR($B375=0,I385+J381-I381=0),0,IF($B374&gt;0,0,IF(I385+J381-I381&gt;0.2*J381,MIN((I385+J381-I381)*2/$B375*PRJ_Step/360,I385+J381-I381),MIN(I385+J381-I381,J381*PRJ_Step/360/IF($B375&lt;4,1,IF($B375&gt;5,3,2)))))),0)</f>
        <v>0</v>
      </c>
      <c r="K375" s="53">
        <f ca="1">IF(SUM($E388:K388)&lt;=0.01,IF(OR($B375=0,J385+K381-J381=0),0,IF($B374&gt;0,0,IF(J385+K381-J381&gt;0.2*K381,MIN((J385+K381-J381)*2/$B375*PRJ_Step/360,J385+K381-J381),MIN(J385+K381-J381,K381*PRJ_Step/360/IF($B375&lt;4,1,IF($B375&gt;5,3,2)))))),0)</f>
        <v>0</v>
      </c>
      <c r="M375" s="54">
        <f ca="1">SUM(F375:K375)</f>
        <v>0</v>
      </c>
    </row>
    <row r="376" spans="1:14" s="23" customFormat="1" hidden="1" outlineLevel="2" x14ac:dyDescent="0.2">
      <c r="A376" t="str">
        <f ca="1">Language!A$395</f>
        <v xml:space="preserve">    выплаченный НДС</v>
      </c>
      <c r="B376" s="273">
        <f>VAT</f>
        <v>0</v>
      </c>
      <c r="C376" s="40" t="str">
        <f ca="1">CUR_Main</f>
        <v>руб.</v>
      </c>
      <c r="D376" s="23" t="s">
        <v>2265</v>
      </c>
      <c r="F376" s="111">
        <f t="shared" ref="F376:J376" si="229">IF($B371=2,F378*$B376,IF(F$29=$B372,$B379*$B376,0))</f>
        <v>0</v>
      </c>
      <c r="G376" s="111">
        <f t="shared" si="229"/>
        <v>0</v>
      </c>
      <c r="H376" s="111">
        <f t="shared" si="229"/>
        <v>0</v>
      </c>
      <c r="I376" s="111">
        <f t="shared" si="229"/>
        <v>0</v>
      </c>
      <c r="J376" s="111">
        <f t="shared" si="229"/>
        <v>0</v>
      </c>
      <c r="K376" s="111">
        <f t="shared" ref="K376" si="230">IF($B371=2,K378*$B376,IF(K$29=$B372,$B379*$B376,0))</f>
        <v>0</v>
      </c>
      <c r="M376" s="54">
        <f>SUM(F376:K376)</f>
        <v>0</v>
      </c>
    </row>
    <row r="377" spans="1:14" s="23" customFormat="1" hidden="1" outlineLevel="2" x14ac:dyDescent="0.2">
      <c r="A377" t="str">
        <f ca="1">Language!A$396</f>
        <v xml:space="preserve">    вариант зачета НДС</v>
      </c>
      <c r="B377" s="255">
        <v>2</v>
      </c>
      <c r="C377" s="85" t="str">
        <f ca="1">CHOOSE(B377,Language!A$372,Language!A$373)</f>
        <v>после постановки актива на баланс</v>
      </c>
      <c r="F377" s="111"/>
      <c r="G377" s="111"/>
      <c r="H377" s="111"/>
      <c r="I377" s="111"/>
      <c r="J377" s="111"/>
      <c r="K377" s="111"/>
      <c r="M377" s="54"/>
    </row>
    <row r="378" spans="1:14" s="23" customFormat="1" hidden="1" outlineLevel="2" x14ac:dyDescent="0.2">
      <c r="A378" t="str">
        <f ca="1">Language!A$385</f>
        <v xml:space="preserve">    сумма платежей без НДС</v>
      </c>
      <c r="C378" s="40" t="str">
        <f t="shared" ref="C378:C390" ca="1" si="231">CUR_Main</f>
        <v>руб.</v>
      </c>
      <c r="D378" s="23" t="s">
        <v>188</v>
      </c>
      <c r="F378" s="84">
        <f t="shared" ref="F378:J378" si="232">IF($B371=2,F368*IF($B368=1,1,F$88)/(1+$B376),F368*IF($B368=1,1,F$88))</f>
        <v>500000</v>
      </c>
      <c r="G378" s="84">
        <f t="shared" si="232"/>
        <v>0</v>
      </c>
      <c r="H378" s="84">
        <f t="shared" si="232"/>
        <v>0</v>
      </c>
      <c r="I378" s="84">
        <f t="shared" si="232"/>
        <v>700000</v>
      </c>
      <c r="J378" s="84">
        <f t="shared" si="232"/>
        <v>0</v>
      </c>
      <c r="K378" s="84">
        <f t="shared" ref="K378" si="233">IF($B371=2,K368*IF($B368=1,1,K$88)/(1+$B376),K368*IF($B368=1,1,K$88))</f>
        <v>0</v>
      </c>
      <c r="M378" s="54">
        <f>SUM(F378:K378)</f>
        <v>1200000</v>
      </c>
    </row>
    <row r="379" spans="1:14" s="23" customFormat="1" hidden="1" outlineLevel="2" x14ac:dyDescent="0.2">
      <c r="A379" t="str">
        <f ca="1">Language!A$386</f>
        <v xml:space="preserve">    общая стоимость актива (без НДС)</v>
      </c>
      <c r="B379" s="55">
        <f>M378+B369+M373</f>
        <v>1200000</v>
      </c>
      <c r="C379" s="40" t="str">
        <f t="shared" ca="1" si="231"/>
        <v>руб.</v>
      </c>
      <c r="M379" s="11"/>
    </row>
    <row r="380" spans="1:14" s="23" customFormat="1" hidden="1" outlineLevel="2" x14ac:dyDescent="0.2">
      <c r="A380" t="str">
        <f ca="1">Language!A$387</f>
        <v xml:space="preserve">    полная сумма вложений в актив (без НДС)</v>
      </c>
      <c r="C380" s="40" t="str">
        <f t="shared" ca="1" si="231"/>
        <v>руб.</v>
      </c>
      <c r="D380" s="23" t="s">
        <v>2270</v>
      </c>
      <c r="F380" s="53">
        <f>B369+F378+F373</f>
        <v>500000</v>
      </c>
      <c r="G380" s="53">
        <f t="shared" ref="G380" si="234">F380+G378+G373</f>
        <v>500000</v>
      </c>
      <c r="H380" s="53">
        <f t="shared" ref="H380" si="235">G380+H378+H373</f>
        <v>500000</v>
      </c>
      <c r="I380" s="53">
        <f t="shared" ref="I380" si="236">H380+I378+I373</f>
        <v>1200000</v>
      </c>
      <c r="J380" s="53">
        <f t="shared" ref="J380:K380" si="237">I380+J378+J373</f>
        <v>1200000</v>
      </c>
      <c r="K380" s="53">
        <f t="shared" si="237"/>
        <v>1200000</v>
      </c>
      <c r="M380" s="54"/>
    </row>
    <row r="381" spans="1:14" s="23" customFormat="1" hidden="1" outlineLevel="2" x14ac:dyDescent="0.2">
      <c r="A381" t="str">
        <f ca="1">Language!A$388</f>
        <v xml:space="preserve">    полная балансовая стоимость</v>
      </c>
      <c r="C381" s="40" t="str">
        <f t="shared" ca="1" si="231"/>
        <v>руб.</v>
      </c>
      <c r="D381" s="23" t="s">
        <v>2271</v>
      </c>
      <c r="F381" s="53">
        <f ca="1">IF($B370&lt;=F$29,IF(SUM($E388:F388)&gt;0.01,0,$B379),0)</f>
        <v>0</v>
      </c>
      <c r="G381" s="53">
        <f ca="1">IF($B370&lt;=G$29,IF(SUM($E388:G388)&gt;0.01,0,$B379),0)</f>
        <v>0</v>
      </c>
      <c r="H381" s="53">
        <f ca="1">IF($B370&lt;=H$29,IF(SUM($E388:H388)&gt;0.01,0,$B379),0)</f>
        <v>0</v>
      </c>
      <c r="I381" s="53">
        <f ca="1">IF($B370&lt;=I$29,IF(SUM($E388:I388)&gt;0.01,0,$B379),0)</f>
        <v>1200000</v>
      </c>
      <c r="J381" s="53">
        <f ca="1">IF($B370&lt;=J$29,IF(SUM($E388:J388)&gt;0.01,0,$B379),0)</f>
        <v>1200000</v>
      </c>
      <c r="K381" s="53">
        <f ca="1">IF($B370&lt;=K$29,IF(SUM($E388:K388)&gt;0.01,0,$B379),0)</f>
        <v>1200000</v>
      </c>
      <c r="M381" s="11"/>
    </row>
    <row r="382" spans="1:14" s="23" customFormat="1" hidden="1" outlineLevel="2" x14ac:dyDescent="0.2">
      <c r="A382" t="str">
        <f ca="1">Language!A$389</f>
        <v xml:space="preserve">    незавершенные инвестиции</v>
      </c>
      <c r="C382" s="40" t="str">
        <f t="shared" ca="1" si="231"/>
        <v>руб.</v>
      </c>
      <c r="D382" s="23" t="s">
        <v>2274</v>
      </c>
      <c r="F382" s="53">
        <f t="shared" ref="F382:J382" ca="1" si="238">IF($B370&gt;F$29,F380,0)</f>
        <v>500000</v>
      </c>
      <c r="G382" s="53">
        <f t="shared" ca="1" si="238"/>
        <v>500000</v>
      </c>
      <c r="H382" s="53">
        <f t="shared" ca="1" si="238"/>
        <v>500000</v>
      </c>
      <c r="I382" s="53">
        <f t="shared" ca="1" si="238"/>
        <v>0</v>
      </c>
      <c r="J382" s="53">
        <f t="shared" ca="1" si="238"/>
        <v>0</v>
      </c>
      <c r="K382" s="53">
        <f t="shared" ref="K382" ca="1" si="239">IF($B370&gt;K$29,K380,0)</f>
        <v>0</v>
      </c>
      <c r="M382" s="11"/>
    </row>
    <row r="383" spans="1:14" s="23" customFormat="1" hidden="1" outlineLevel="2" x14ac:dyDescent="0.2">
      <c r="A383" t="str">
        <f ca="1">Language!A$390</f>
        <v xml:space="preserve">    кредиторская задолженность</v>
      </c>
      <c r="C383" s="40" t="str">
        <f t="shared" ca="1" si="231"/>
        <v>руб.</v>
      </c>
      <c r="D383" s="23" t="s">
        <v>2275</v>
      </c>
      <c r="F383" s="53">
        <f ca="1">IF(OR($B370&lt;=F$29,AND(SUM($F388:F388)&gt;0,$B370&gt;F$29)),$B379-F380,0)</f>
        <v>0</v>
      </c>
      <c r="G383" s="53">
        <f ca="1">IF(OR($B370&lt;=G$29,AND(SUM($F388:G388)&gt;0,$B370&gt;G$29)),$B379-G380,0)</f>
        <v>0</v>
      </c>
      <c r="H383" s="53">
        <f ca="1">IF(OR($B370&lt;=H$29,AND(SUM($F388:H388)&gt;0,$B370&gt;H$29)),$B379-H380,0)</f>
        <v>0</v>
      </c>
      <c r="I383" s="53">
        <f ca="1">IF(OR($B370&lt;=I$29,AND(SUM($F388:I388)&gt;0,$B370&gt;I$29)),$B379-I380,0)</f>
        <v>0</v>
      </c>
      <c r="J383" s="53">
        <f ca="1">IF(OR($B370&lt;=J$29,AND(SUM($F388:J388)&gt;0,$B370&gt;J$29)),$B379-J380,0)</f>
        <v>0</v>
      </c>
      <c r="K383" s="53">
        <f ca="1">IF(OR($B370&lt;=K$29,AND(SUM($F388:K388)&gt;0,$B370&gt;K$29)),$B379-K380,0)</f>
        <v>0</v>
      </c>
      <c r="M383" s="11"/>
    </row>
    <row r="384" spans="1:14" s="23" customFormat="1" hidden="1" outlineLevel="2" x14ac:dyDescent="0.2">
      <c r="A384" t="str">
        <f ca="1">Language!A$397</f>
        <v xml:space="preserve">    накопленная амортизация</v>
      </c>
      <c r="C384" s="40" t="str">
        <f t="shared" ca="1" si="231"/>
        <v>руб.</v>
      </c>
      <c r="D384" s="23" t="s">
        <v>2272</v>
      </c>
      <c r="F384" s="53">
        <f t="shared" ref="F384" ca="1" si="240">E384+F375+F374</f>
        <v>0</v>
      </c>
      <c r="G384" s="53">
        <f t="shared" ref="G384" ca="1" si="241">F384+G375+G374</f>
        <v>0</v>
      </c>
      <c r="H384" s="53">
        <f t="shared" ref="H384" ca="1" si="242">G384+H375+H374</f>
        <v>0</v>
      </c>
      <c r="I384" s="53">
        <f t="shared" ref="I384" ca="1" si="243">H384+I375+I374</f>
        <v>20000</v>
      </c>
      <c r="J384" s="53">
        <f t="shared" ref="J384:K384" ca="1" si="244">I384+J375+J374</f>
        <v>40000</v>
      </c>
      <c r="K384" s="53">
        <f t="shared" ca="1" si="244"/>
        <v>60000</v>
      </c>
      <c r="M384" s="11"/>
    </row>
    <row r="385" spans="1:13" s="23" customFormat="1" hidden="1" outlineLevel="2" x14ac:dyDescent="0.2">
      <c r="A385" t="str">
        <f ca="1">Language!A$391</f>
        <v xml:space="preserve">    остаточная стоимость</v>
      </c>
      <c r="C385" s="40" t="str">
        <f t="shared" ca="1" si="231"/>
        <v>руб.</v>
      </c>
      <c r="D385" s="23" t="s">
        <v>2273</v>
      </c>
      <c r="F385" s="43">
        <f ca="1">IF(SUM($E388:F388)&gt;0.01,0,F381-F384)</f>
        <v>0</v>
      </c>
      <c r="G385" s="43">
        <f ca="1">IF(SUM($E388:G388)&gt;0.01,0,G381-G384)</f>
        <v>0</v>
      </c>
      <c r="H385" s="43">
        <f ca="1">IF(SUM($E388:H388)&gt;0.01,0,H381-H384)</f>
        <v>0</v>
      </c>
      <c r="I385" s="43">
        <f ca="1">IF(SUM($E388:I388)&gt;0.01,0,I381-I384)</f>
        <v>1180000</v>
      </c>
      <c r="J385" s="43">
        <f ca="1">IF(SUM($E388:J388)&gt;0.01,0,J381-J384)</f>
        <v>1160000</v>
      </c>
      <c r="K385" s="43">
        <f ca="1">IF(SUM($E388:K388)&gt;0.01,0,K381-K384)</f>
        <v>1140000</v>
      </c>
      <c r="M385" s="11"/>
    </row>
    <row r="386" spans="1:13" s="23" customFormat="1" hidden="1" outlineLevel="2" x14ac:dyDescent="0.2">
      <c r="A386" t="str">
        <f ca="1">Language!A$398</f>
        <v xml:space="preserve">    НДС к ранее осуществленным инвестициям</v>
      </c>
      <c r="B386" s="262">
        <f>B369*B376</f>
        <v>0</v>
      </c>
      <c r="C386" s="40" t="str">
        <f t="shared" ca="1" si="231"/>
        <v>руб.</v>
      </c>
      <c r="D386" s="23" t="s">
        <v>2266</v>
      </c>
      <c r="M386" s="11"/>
    </row>
    <row r="387" spans="1:13" s="23" customFormat="1" hidden="1" outlineLevel="2" x14ac:dyDescent="0.2">
      <c r="A387" t="str">
        <f ca="1">Language!A$399</f>
        <v xml:space="preserve">    зачет НДС</v>
      </c>
      <c r="C387" s="40" t="str">
        <f t="shared" ca="1" si="231"/>
        <v>руб.</v>
      </c>
      <c r="D387" s="133" t="s">
        <v>2267</v>
      </c>
      <c r="F387" s="111">
        <f ca="1">IF($B377=2,IF($B370=F$29,$B386+$M376,0),F376+B386)</f>
        <v>0</v>
      </c>
      <c r="G387" s="111">
        <f ca="1">IF($B377=2,IF($B370=G$29,$B386+$M376,0),G376)</f>
        <v>0</v>
      </c>
      <c r="H387" s="111">
        <f ca="1">IF($B377=2,IF($B370=H$29,$B386+$M376,0),H376)</f>
        <v>0</v>
      </c>
      <c r="I387" s="111">
        <f ca="1">IF($B377=2,IF($B370=I$29,$B386+$M376,0),I376)</f>
        <v>0</v>
      </c>
      <c r="J387" s="111">
        <f ca="1">IF($B377=2,IF($B370=J$29,$B386+$M376,0),J376)</f>
        <v>0</v>
      </c>
      <c r="K387" s="111">
        <f ca="1">IF($B377=2,IF($B370=K$29,$B386+$M376,0),K376)</f>
        <v>0</v>
      </c>
      <c r="M387" s="54">
        <f ca="1">SUM(F387:K387)</f>
        <v>0</v>
      </c>
    </row>
    <row r="388" spans="1:13" s="23" customFormat="1" hidden="1" outlineLevel="2" x14ac:dyDescent="0.2">
      <c r="A388" s="63" t="str">
        <f ca="1">Language!A$361</f>
        <v xml:space="preserve">    реализация актива (без НДС)</v>
      </c>
      <c r="B388" s="112"/>
      <c r="C388" s="114" t="str">
        <f t="shared" ca="1" si="231"/>
        <v>руб.</v>
      </c>
      <c r="D388" s="23" t="s">
        <v>2268</v>
      </c>
      <c r="E388" s="112"/>
      <c r="F388" s="272">
        <v>0</v>
      </c>
      <c r="G388" s="272">
        <v>0</v>
      </c>
      <c r="H388" s="272">
        <v>0</v>
      </c>
      <c r="I388" s="272">
        <v>0</v>
      </c>
      <c r="J388" s="272">
        <v>0</v>
      </c>
      <c r="K388" s="272">
        <v>0</v>
      </c>
      <c r="M388" s="54">
        <f>SUM(F388:K388)</f>
        <v>0</v>
      </c>
    </row>
    <row r="389" spans="1:13" s="23" customFormat="1" hidden="1" outlineLevel="2" x14ac:dyDescent="0.2">
      <c r="A389" s="19" t="str">
        <f ca="1">Language!A$362</f>
        <v xml:space="preserve">    прибыль/убыток от реализации актива</v>
      </c>
      <c r="B389" s="24"/>
      <c r="C389" s="115" t="str">
        <f t="shared" ca="1" si="231"/>
        <v>руб.</v>
      </c>
      <c r="D389" s="23" t="s">
        <v>2269</v>
      </c>
      <c r="E389" s="24"/>
      <c r="F389" s="111">
        <f t="shared" ref="F389" si="245">IF(F388=0,0,F388-E385)</f>
        <v>0</v>
      </c>
      <c r="G389" s="111">
        <f t="shared" ref="G389" si="246">IF(G388=0,0,G388-F385)</f>
        <v>0</v>
      </c>
      <c r="H389" s="111">
        <f t="shared" ref="H389" si="247">IF(H388=0,0,H388-G385)</f>
        <v>0</v>
      </c>
      <c r="I389" s="111">
        <f t="shared" ref="I389" si="248">IF(I388=0,0,I388-H385)</f>
        <v>0</v>
      </c>
      <c r="J389" s="111">
        <f t="shared" ref="J389:K389" si="249">IF(J388=0,0,J388-I385)</f>
        <v>0</v>
      </c>
      <c r="K389" s="111">
        <f t="shared" si="249"/>
        <v>0</v>
      </c>
      <c r="M389" s="54">
        <f>SUM(F389:K389)</f>
        <v>0</v>
      </c>
    </row>
    <row r="390" spans="1:13" s="23" customFormat="1" hidden="1" outlineLevel="2" x14ac:dyDescent="0.2">
      <c r="A390" t="str">
        <f ca="1">Language!A$400</f>
        <v xml:space="preserve">    НДС к выручке от реализации актива</v>
      </c>
      <c r="B390" s="273">
        <f>VAT</f>
        <v>0</v>
      </c>
      <c r="C390" s="40" t="str">
        <f t="shared" ca="1" si="231"/>
        <v>руб.</v>
      </c>
      <c r="D390" s="23" t="s">
        <v>549</v>
      </c>
      <c r="F390">
        <f t="shared" ref="F390:J390" si="250">F388*$B390</f>
        <v>0</v>
      </c>
      <c r="G390">
        <f t="shared" si="250"/>
        <v>0</v>
      </c>
      <c r="H390">
        <f t="shared" si="250"/>
        <v>0</v>
      </c>
      <c r="I390">
        <f t="shared" si="250"/>
        <v>0</v>
      </c>
      <c r="J390">
        <f t="shared" si="250"/>
        <v>0</v>
      </c>
      <c r="K390">
        <f t="shared" ref="K390" si="251">K388*$B390</f>
        <v>0</v>
      </c>
      <c r="M390" s="54">
        <f>SUM(F390:K390)</f>
        <v>0</v>
      </c>
    </row>
    <row r="391" spans="1:13" ht="12" customHeight="1" outlineLevel="1" x14ac:dyDescent="0.2">
      <c r="A391" s="35"/>
    </row>
    <row r="392" spans="1:13" s="23" customFormat="1" outlineLevel="1" x14ac:dyDescent="0.2">
      <c r="A392" s="130" t="str">
        <f ca="1">Language!A$405</f>
        <v>Нематериальные активы</v>
      </c>
      <c r="D392" s="23">
        <v>1</v>
      </c>
      <c r="E392" s="52">
        <v>21</v>
      </c>
      <c r="F392" s="109"/>
      <c r="G392" s="109"/>
      <c r="M392" s="11"/>
    </row>
    <row r="393" spans="1:13" s="23" customFormat="1" outlineLevel="1" x14ac:dyDescent="0.2">
      <c r="A393" s="274" t="str">
        <f ca="1">Language!A$379</f>
        <v>Наименование</v>
      </c>
      <c r="B393" s="36" t="str">
        <f ca="1">Language!A$73</f>
        <v>Валюта</v>
      </c>
      <c r="F393" s="42"/>
      <c r="G393" s="42"/>
      <c r="H393" s="42"/>
      <c r="I393" s="42"/>
      <c r="J393" s="42"/>
      <c r="K393" s="42"/>
      <c r="M393" s="39"/>
    </row>
    <row r="394" spans="1:13" s="23" customFormat="1" outlineLevel="1" collapsed="1" x14ac:dyDescent="0.2">
      <c r="A394" t="str">
        <f ca="1">Language!A$381</f>
        <v xml:space="preserve">    величина платежей (с НДС)</v>
      </c>
      <c r="B394" s="255">
        <v>1</v>
      </c>
      <c r="C394" s="40" t="str">
        <f ca="1">CHOOSE(B394,CUR_Main,CUR_Foreign)</f>
        <v>руб.</v>
      </c>
      <c r="D394" s="16" t="str">
        <f>TEXT(B394,"0")&amp;"_00"</f>
        <v>1_00</v>
      </c>
      <c r="F394" s="276">
        <v>0</v>
      </c>
      <c r="G394" s="276">
        <v>0</v>
      </c>
      <c r="H394" s="276">
        <v>0</v>
      </c>
      <c r="I394" s="276">
        <v>0</v>
      </c>
      <c r="J394" s="276">
        <v>0</v>
      </c>
      <c r="K394" s="276">
        <v>0</v>
      </c>
      <c r="M394" s="54">
        <f>SUM(F394:K394)</f>
        <v>0</v>
      </c>
    </row>
    <row r="395" spans="1:13" s="23" customFormat="1" hidden="1" outlineLevel="2" x14ac:dyDescent="0.2">
      <c r="A395" t="str">
        <f ca="1">Language!A$383</f>
        <v xml:space="preserve">    ранее осуществленные инвестиции (без НДС)</v>
      </c>
      <c r="B395" s="275">
        <f>F47*IF(B$37=1,1,F$88)</f>
        <v>0</v>
      </c>
      <c r="C395" s="40" t="str">
        <f ca="1">CUR_Main</f>
        <v>руб.</v>
      </c>
      <c r="D395" s="23" t="s">
        <v>2621</v>
      </c>
      <c r="M395" s="11"/>
    </row>
    <row r="396" spans="1:13" s="23" customFormat="1" hidden="1" outlineLevel="2" x14ac:dyDescent="0.2">
      <c r="A396" t="str">
        <f ca="1">Language!A$384</f>
        <v xml:space="preserve">    поставить на баланс с</v>
      </c>
      <c r="B396" s="271">
        <f ca="1">MATCH(OFFSET(M403,0,-2),F403:K403,0)</f>
        <v>1</v>
      </c>
      <c r="C396" s="40" t="str">
        <f ca="1">Language!A$376</f>
        <v>периода</v>
      </c>
      <c r="M396" s="11"/>
    </row>
    <row r="397" spans="1:13" s="23" customFormat="1" hidden="1" outlineLevel="2" x14ac:dyDescent="0.2">
      <c r="A397" t="str">
        <f ca="1">Language!A$393</f>
        <v xml:space="preserve">    амортизация (линейная),       для срока использования:</v>
      </c>
      <c r="B397" s="271">
        <v>0</v>
      </c>
      <c r="C397" s="40" t="str">
        <f ca="1">Language!A$33</f>
        <v>лет</v>
      </c>
      <c r="D397" s="132" t="s">
        <v>2224</v>
      </c>
      <c r="F397" s="53">
        <f>IF(AND($B397&gt;0,SUM($E411:F411)&lt;=0.01),MIN(F404*100%/$B397*PRJ_Step/360,E408+F404-E404),0)</f>
        <v>0</v>
      </c>
      <c r="G397" s="53">
        <f>IF(AND($B397&gt;0,SUM($E411:G411)&lt;=0.01),MIN(G404*100%/$B397*PRJ_Step/360,F408+G404-F404),0)</f>
        <v>0</v>
      </c>
      <c r="H397" s="53">
        <f>IF(AND($B397&gt;0,SUM($E411:H411)&lt;=0.01),MIN(H404*100%/$B397*PRJ_Step/360,G408+H404-G404),0)</f>
        <v>0</v>
      </c>
      <c r="I397" s="53">
        <f>IF(AND($B397&gt;0,SUM($E411:I411)&lt;=0.01),MIN(I404*100%/$B397*PRJ_Step/360,H408+I404-H404),0)</f>
        <v>0</v>
      </c>
      <c r="J397" s="53">
        <f>IF(AND($B397&gt;0,SUM($E411:J411)&lt;=0.01),MIN(J404*100%/$B397*PRJ_Step/360,I408+J404-I404),0)</f>
        <v>0</v>
      </c>
      <c r="K397" s="53">
        <f>IF(AND($B397&gt;0,SUM($E411:K411)&lt;=0.01),MIN(K404*100%/$B397*PRJ_Step/360,J408+K404-J404),0)</f>
        <v>0</v>
      </c>
      <c r="M397" s="54">
        <f>SUM(F397:K397)</f>
        <v>0</v>
      </c>
    </row>
    <row r="398" spans="1:13" s="23" customFormat="1" hidden="1" outlineLevel="2" x14ac:dyDescent="0.2">
      <c r="A398" t="str">
        <f ca="1">Language!A$394</f>
        <v xml:space="preserve">    амортизация (ускоренная),    для срока использования:</v>
      </c>
      <c r="B398" s="271">
        <v>0</v>
      </c>
      <c r="C398" s="40" t="str">
        <f ca="1">Language!A$33</f>
        <v>лет</v>
      </c>
      <c r="D398" s="23" t="s">
        <v>2264</v>
      </c>
      <c r="F398" s="53">
        <f ca="1">IF(SUM($E411:F411)&lt;=0.01,IF(OR($B398=0,E408+F404-E404=0),0,IF($B397&gt;0,0,IF(E408+F404-E404&gt;0.2*F404,MIN((E408+F404-E404)*2/$B398*PRJ_Step/360,E408+F404-E404),MIN(E408+F404-E404,F404*PRJ_Step/360/IF($B398&lt;4,1,IF($B398&gt;5,3,2)))))),0)</f>
        <v>0</v>
      </c>
      <c r="G398" s="53">
        <f ca="1">IF(SUM($E411:G411)&lt;=0.01,IF(OR($B398=0,F408+G404-F404=0),0,IF($B397&gt;0,0,IF(F408+G404-F404&gt;0.2*G404,MIN((F408+G404-F404)*2/$B398*PRJ_Step/360,F408+G404-F404),MIN(F408+G404-F404,G404*PRJ_Step/360/IF($B398&lt;4,1,IF($B398&gt;5,3,2)))))),0)</f>
        <v>0</v>
      </c>
      <c r="H398" s="53">
        <f ca="1">IF(SUM($E411:H411)&lt;=0.01,IF(OR($B398=0,G408+H404-G404=0),0,IF($B397&gt;0,0,IF(G408+H404-G404&gt;0.2*H404,MIN((G408+H404-G404)*2/$B398*PRJ_Step/360,G408+H404-G404),MIN(G408+H404-G404,H404*PRJ_Step/360/IF($B398&lt;4,1,IF($B398&gt;5,3,2)))))),0)</f>
        <v>0</v>
      </c>
      <c r="I398" s="53">
        <f ca="1">IF(SUM($E411:I411)&lt;=0.01,IF(OR($B398=0,H408+I404-H404=0),0,IF($B397&gt;0,0,IF(H408+I404-H404&gt;0.2*I404,MIN((H408+I404-H404)*2/$B398*PRJ_Step/360,H408+I404-H404),MIN(H408+I404-H404,I404*PRJ_Step/360/IF($B398&lt;4,1,IF($B398&gt;5,3,2)))))),0)</f>
        <v>0</v>
      </c>
      <c r="J398" s="53">
        <f ca="1">IF(SUM($E411:J411)&lt;=0.01,IF(OR($B398=0,I408+J404-I404=0),0,IF($B397&gt;0,0,IF(I408+J404-I404&gt;0.2*J404,MIN((I408+J404-I404)*2/$B398*PRJ_Step/360,I408+J404-I404),MIN(I408+J404-I404,J404*PRJ_Step/360/IF($B398&lt;4,1,IF($B398&gt;5,3,2)))))),0)</f>
        <v>0</v>
      </c>
      <c r="K398" s="53">
        <f ca="1">IF(SUM($E411:K411)&lt;=0.01,IF(OR($B398=0,J408+K404-J404=0),0,IF($B397&gt;0,0,IF(J408+K404-J404&gt;0.2*K404,MIN((J408+K404-J404)*2/$B398*PRJ_Step/360,J408+K404-J404),MIN(J408+K404-J404,K404*PRJ_Step/360/IF($B398&lt;4,1,IF($B398&gt;5,3,2)))))),0)</f>
        <v>0</v>
      </c>
      <c r="M398" s="54">
        <f ca="1">SUM(F398:K398)</f>
        <v>0</v>
      </c>
    </row>
    <row r="399" spans="1:13" s="23" customFormat="1" hidden="1" outlineLevel="2" x14ac:dyDescent="0.2">
      <c r="A399" t="str">
        <f ca="1">Language!A$395</f>
        <v xml:space="preserve">    выплаченный НДС</v>
      </c>
      <c r="B399" s="273">
        <f>VAT</f>
        <v>0</v>
      </c>
      <c r="C399" s="40" t="str">
        <f ca="1">CUR_Main</f>
        <v>руб.</v>
      </c>
      <c r="D399" s="23" t="s">
        <v>2265</v>
      </c>
      <c r="F399" s="111">
        <f t="shared" ref="F399:J399" si="252">F401*$B399</f>
        <v>0</v>
      </c>
      <c r="G399" s="111">
        <f t="shared" si="252"/>
        <v>0</v>
      </c>
      <c r="H399" s="111">
        <f t="shared" si="252"/>
        <v>0</v>
      </c>
      <c r="I399" s="111">
        <f t="shared" si="252"/>
        <v>0</v>
      </c>
      <c r="J399" s="111">
        <f t="shared" si="252"/>
        <v>0</v>
      </c>
      <c r="K399" s="111">
        <f t="shared" ref="K399" si="253">K401*$B399</f>
        <v>0</v>
      </c>
      <c r="M399" s="54">
        <f>SUM(F399:K399)</f>
        <v>0</v>
      </c>
    </row>
    <row r="400" spans="1:13" s="23" customFormat="1" hidden="1" outlineLevel="2" x14ac:dyDescent="0.2">
      <c r="A400" t="str">
        <f ca="1">Language!A$396</f>
        <v xml:space="preserve">    вариант зачета НДС</v>
      </c>
      <c r="B400" s="255">
        <v>2</v>
      </c>
      <c r="C400" s="85" t="str">
        <f ca="1">CHOOSE(B400,Language!A$372,Language!A$373)</f>
        <v>после постановки актива на баланс</v>
      </c>
      <c r="F400" s="111"/>
      <c r="G400" s="111"/>
      <c r="H400" s="111"/>
      <c r="I400" s="111"/>
      <c r="J400" s="111"/>
      <c r="K400" s="111"/>
      <c r="M400" s="54"/>
    </row>
    <row r="401" spans="1:13" s="23" customFormat="1" hidden="1" outlineLevel="2" x14ac:dyDescent="0.2">
      <c r="A401" t="str">
        <f ca="1">Language!A$385</f>
        <v xml:space="preserve">    сумма платежей без НДС</v>
      </c>
      <c r="C401" s="40" t="str">
        <f t="shared" ref="C401:C413" ca="1" si="254">CUR_Main</f>
        <v>руб.</v>
      </c>
      <c r="D401" s="23" t="s">
        <v>188</v>
      </c>
      <c r="F401" s="84">
        <f t="shared" ref="F401:J401" si="255">F394*IF($B394=1,1,F$88)/(1+$B399)</f>
        <v>0</v>
      </c>
      <c r="G401" s="84">
        <f t="shared" si="255"/>
        <v>0</v>
      </c>
      <c r="H401" s="84">
        <f t="shared" si="255"/>
        <v>0</v>
      </c>
      <c r="I401" s="84">
        <f t="shared" si="255"/>
        <v>0</v>
      </c>
      <c r="J401" s="84">
        <f t="shared" si="255"/>
        <v>0</v>
      </c>
      <c r="K401" s="84">
        <f t="shared" ref="K401" si="256">K394*IF($B394=1,1,K$88)/(1+$B399)</f>
        <v>0</v>
      </c>
      <c r="M401" s="54">
        <f>SUM(F401:K401)</f>
        <v>0</v>
      </c>
    </row>
    <row r="402" spans="1:13" s="23" customFormat="1" hidden="1" outlineLevel="2" x14ac:dyDescent="0.2">
      <c r="A402" t="str">
        <f ca="1">Language!A$386</f>
        <v xml:space="preserve">    общая стоимость актива (без НДС)</v>
      </c>
      <c r="B402" s="55">
        <f>M401+B395</f>
        <v>0</v>
      </c>
      <c r="C402" s="40" t="str">
        <f t="shared" ca="1" si="254"/>
        <v>руб.</v>
      </c>
      <c r="M402" s="11"/>
    </row>
    <row r="403" spans="1:13" s="23" customFormat="1" hidden="1" outlineLevel="2" x14ac:dyDescent="0.2">
      <c r="A403" t="str">
        <f ca="1">Language!A$387</f>
        <v xml:space="preserve">    полная сумма вложений в актив (без НДС)</v>
      </c>
      <c r="C403" s="40" t="str">
        <f t="shared" ca="1" si="254"/>
        <v>руб.</v>
      </c>
      <c r="D403" s="23" t="s">
        <v>2270</v>
      </c>
      <c r="F403" s="53">
        <f>B395+F401</f>
        <v>0</v>
      </c>
      <c r="G403" s="53">
        <f t="shared" ref="G403:K403" si="257">F403+G401</f>
        <v>0</v>
      </c>
      <c r="H403" s="53">
        <f t="shared" si="257"/>
        <v>0</v>
      </c>
      <c r="I403" s="53">
        <f t="shared" si="257"/>
        <v>0</v>
      </c>
      <c r="J403" s="53">
        <f t="shared" si="257"/>
        <v>0</v>
      </c>
      <c r="K403" s="53">
        <f t="shared" si="257"/>
        <v>0</v>
      </c>
      <c r="M403" s="54"/>
    </row>
    <row r="404" spans="1:13" s="23" customFormat="1" hidden="1" outlineLevel="2" x14ac:dyDescent="0.2">
      <c r="A404" t="str">
        <f ca="1">Language!A$388</f>
        <v xml:space="preserve">    полная балансовая стоимость</v>
      </c>
      <c r="C404" s="40" t="str">
        <f t="shared" ca="1" si="254"/>
        <v>руб.</v>
      </c>
      <c r="D404" s="23" t="s">
        <v>2271</v>
      </c>
      <c r="F404" s="53">
        <f ca="1">IF($B396&lt;=F$29,IF(SUM($E411:F411)&gt;0.01,0,$B402),0)</f>
        <v>0</v>
      </c>
      <c r="G404" s="53">
        <f ca="1">IF($B396&lt;=G$29,IF(SUM($E411:G411)&gt;0.01,0,$B402),0)</f>
        <v>0</v>
      </c>
      <c r="H404" s="53">
        <f ca="1">IF($B396&lt;=H$29,IF(SUM($E411:H411)&gt;0.01,0,$B402),0)</f>
        <v>0</v>
      </c>
      <c r="I404" s="53">
        <f ca="1">IF($B396&lt;=I$29,IF(SUM($E411:I411)&gt;0.01,0,$B402),0)</f>
        <v>0</v>
      </c>
      <c r="J404" s="53">
        <f ca="1">IF($B396&lt;=J$29,IF(SUM($E411:J411)&gt;0.01,0,$B402),0)</f>
        <v>0</v>
      </c>
      <c r="K404" s="53">
        <f ca="1">IF($B396&lt;=K$29,IF(SUM($E411:K411)&gt;0.01,0,$B402),0)</f>
        <v>0</v>
      </c>
      <c r="M404" s="11"/>
    </row>
    <row r="405" spans="1:13" s="23" customFormat="1" hidden="1" outlineLevel="2" x14ac:dyDescent="0.2">
      <c r="A405" t="str">
        <f ca="1">Language!A$389</f>
        <v xml:space="preserve">    незавершенные инвестиции</v>
      </c>
      <c r="C405" s="40" t="str">
        <f t="shared" ca="1" si="254"/>
        <v>руб.</v>
      </c>
      <c r="D405" s="23" t="s">
        <v>2274</v>
      </c>
      <c r="F405" s="53">
        <f t="shared" ref="F405:J405" ca="1" si="258">IF($B396&gt;F$29,F403,0)</f>
        <v>0</v>
      </c>
      <c r="G405" s="53">
        <f t="shared" ca="1" si="258"/>
        <v>0</v>
      </c>
      <c r="H405" s="53">
        <f t="shared" ca="1" si="258"/>
        <v>0</v>
      </c>
      <c r="I405" s="53">
        <f t="shared" ca="1" si="258"/>
        <v>0</v>
      </c>
      <c r="J405" s="53">
        <f t="shared" ca="1" si="258"/>
        <v>0</v>
      </c>
      <c r="K405" s="53">
        <f t="shared" ref="K405" ca="1" si="259">IF($B396&gt;K$29,K403,0)</f>
        <v>0</v>
      </c>
      <c r="M405" s="11"/>
    </row>
    <row r="406" spans="1:13" s="23" customFormat="1" hidden="1" outlineLevel="2" x14ac:dyDescent="0.2">
      <c r="A406" t="str">
        <f ca="1">Language!A$390</f>
        <v xml:space="preserve">    кредиторская задолженность</v>
      </c>
      <c r="C406" s="40" t="str">
        <f t="shared" ca="1" si="254"/>
        <v>руб.</v>
      </c>
      <c r="D406" s="23" t="s">
        <v>2275</v>
      </c>
      <c r="F406" s="53">
        <f ca="1">IF(OR($B396&lt;=F$29,AND(SUM($F411:F411)&gt;0,$B396&gt;F$29)),$B402-F403,0)</f>
        <v>0</v>
      </c>
      <c r="G406" s="53">
        <f ca="1">IF(OR($B396&lt;=G$29,AND(SUM($F411:G411)&gt;0,$B396&gt;G$29)),$B402-G403,0)</f>
        <v>0</v>
      </c>
      <c r="H406" s="53">
        <f ca="1">IF(OR($B396&lt;=H$29,AND(SUM($F411:H411)&gt;0,$B396&gt;H$29)),$B402-H403,0)</f>
        <v>0</v>
      </c>
      <c r="I406" s="53">
        <f ca="1">IF(OR($B396&lt;=I$29,AND(SUM($F411:I411)&gt;0,$B396&gt;I$29)),$B402-I403,0)</f>
        <v>0</v>
      </c>
      <c r="J406" s="53">
        <f ca="1">IF(OR($B396&lt;=J$29,AND(SUM($F411:J411)&gt;0,$B396&gt;J$29)),$B402-J403,0)</f>
        <v>0</v>
      </c>
      <c r="K406" s="53">
        <f ca="1">IF(OR($B396&lt;=K$29,AND(SUM($F411:K411)&gt;0,$B396&gt;K$29)),$B402-K403,0)</f>
        <v>0</v>
      </c>
      <c r="M406" s="11"/>
    </row>
    <row r="407" spans="1:13" s="23" customFormat="1" hidden="1" outlineLevel="2" x14ac:dyDescent="0.2">
      <c r="A407" t="str">
        <f ca="1">Language!A$397</f>
        <v xml:space="preserve">    накопленная амортизация</v>
      </c>
      <c r="C407" s="40" t="str">
        <f t="shared" ca="1" si="254"/>
        <v>руб.</v>
      </c>
      <c r="D407" s="23" t="s">
        <v>2272</v>
      </c>
      <c r="F407" s="53">
        <f t="shared" ref="F407:K407" ca="1" si="260">E407+F398+F397</f>
        <v>0</v>
      </c>
      <c r="G407" s="53">
        <f t="shared" ca="1" si="260"/>
        <v>0</v>
      </c>
      <c r="H407" s="53">
        <f t="shared" ca="1" si="260"/>
        <v>0</v>
      </c>
      <c r="I407" s="53">
        <f t="shared" ca="1" si="260"/>
        <v>0</v>
      </c>
      <c r="J407" s="53">
        <f t="shared" ca="1" si="260"/>
        <v>0</v>
      </c>
      <c r="K407" s="53">
        <f t="shared" ca="1" si="260"/>
        <v>0</v>
      </c>
      <c r="M407" s="11"/>
    </row>
    <row r="408" spans="1:13" s="23" customFormat="1" hidden="1" outlineLevel="2" x14ac:dyDescent="0.2">
      <c r="A408" t="str">
        <f ca="1">Language!A$391</f>
        <v xml:space="preserve">    остаточная стоимость</v>
      </c>
      <c r="C408" s="40" t="str">
        <f t="shared" ca="1" si="254"/>
        <v>руб.</v>
      </c>
      <c r="D408" s="23" t="s">
        <v>2273</v>
      </c>
      <c r="F408" s="43">
        <f ca="1">IF(SUM($E411:F411)&gt;0.01,0,F404-F407)</f>
        <v>0</v>
      </c>
      <c r="G408" s="43">
        <f ca="1">IF(SUM($E411:G411)&gt;0.01,0,G404-G407)</f>
        <v>0</v>
      </c>
      <c r="H408" s="43">
        <f ca="1">IF(SUM($E411:H411)&gt;0.01,0,H404-H407)</f>
        <v>0</v>
      </c>
      <c r="I408" s="43">
        <f ca="1">IF(SUM($E411:I411)&gt;0.01,0,I404-I407)</f>
        <v>0</v>
      </c>
      <c r="J408" s="43">
        <f ca="1">IF(SUM($E411:J411)&gt;0.01,0,J404-J407)</f>
        <v>0</v>
      </c>
      <c r="K408" s="43">
        <f ca="1">IF(SUM($E411:K411)&gt;0.01,0,K404-K407)</f>
        <v>0</v>
      </c>
      <c r="M408" s="11"/>
    </row>
    <row r="409" spans="1:13" s="23" customFormat="1" hidden="1" outlineLevel="2" x14ac:dyDescent="0.2">
      <c r="A409" t="str">
        <f ca="1">Language!A$398</f>
        <v xml:space="preserve">    НДС к ранее осуществленным инвестициям</v>
      </c>
      <c r="B409" s="262">
        <f>B395*B399</f>
        <v>0</v>
      </c>
      <c r="C409" s="40" t="str">
        <f t="shared" ca="1" si="254"/>
        <v>руб.</v>
      </c>
      <c r="D409" s="23" t="s">
        <v>2266</v>
      </c>
      <c r="M409" s="11"/>
    </row>
    <row r="410" spans="1:13" s="23" customFormat="1" hidden="1" outlineLevel="2" x14ac:dyDescent="0.2">
      <c r="A410" t="str">
        <f ca="1">Language!A$399</f>
        <v xml:space="preserve">    зачет НДС</v>
      </c>
      <c r="C410" s="40" t="str">
        <f t="shared" ca="1" si="254"/>
        <v>руб.</v>
      </c>
      <c r="D410" s="133" t="s">
        <v>2267</v>
      </c>
      <c r="F410" s="111">
        <f ca="1">IF($B400=2,IF($B396=F$29,$B409+$M399,0),F399+B409)</f>
        <v>0</v>
      </c>
      <c r="G410" s="111">
        <f ca="1">IF($B400=2,IF($B396=G$29,$B409+$M399,0),G399)</f>
        <v>0</v>
      </c>
      <c r="H410" s="111">
        <f ca="1">IF($B400=2,IF($B396=H$29,$B409+$M399,0),H399)</f>
        <v>0</v>
      </c>
      <c r="I410" s="111">
        <f ca="1">IF($B400=2,IF($B396=I$29,$B409+$M399,0),I399)</f>
        <v>0</v>
      </c>
      <c r="J410" s="111">
        <f ca="1">IF($B400=2,IF($B396=J$29,$B409+$M399,0),J399)</f>
        <v>0</v>
      </c>
      <c r="K410" s="111">
        <f ca="1">IF($B400=2,IF($B396=K$29,$B409+$M399,0),K399)</f>
        <v>0</v>
      </c>
      <c r="M410" s="54">
        <f ca="1">SUM(F410:K410)</f>
        <v>0</v>
      </c>
    </row>
    <row r="411" spans="1:13" s="23" customFormat="1" hidden="1" outlineLevel="2" x14ac:dyDescent="0.2">
      <c r="A411" s="63" t="str">
        <f ca="1">Language!A$361</f>
        <v xml:space="preserve">    реализация актива (без НДС)</v>
      </c>
      <c r="B411" s="112"/>
      <c r="C411" s="114" t="str">
        <f t="shared" ca="1" si="254"/>
        <v>руб.</v>
      </c>
      <c r="D411" s="23" t="s">
        <v>2268</v>
      </c>
      <c r="E411" s="112"/>
      <c r="F411" s="272">
        <v>0</v>
      </c>
      <c r="G411" s="272">
        <v>0</v>
      </c>
      <c r="H411" s="272">
        <v>0</v>
      </c>
      <c r="I411" s="272">
        <v>0</v>
      </c>
      <c r="J411" s="272">
        <v>0</v>
      </c>
      <c r="K411" s="272">
        <v>0</v>
      </c>
      <c r="M411" s="54">
        <f>SUM(F411:K411)</f>
        <v>0</v>
      </c>
    </row>
    <row r="412" spans="1:13" s="23" customFormat="1" hidden="1" outlineLevel="2" x14ac:dyDescent="0.2">
      <c r="A412" s="19" t="str">
        <f ca="1">Language!A$362</f>
        <v xml:space="preserve">    прибыль/убыток от реализации актива</v>
      </c>
      <c r="B412" s="24"/>
      <c r="C412" s="115" t="str">
        <f t="shared" ca="1" si="254"/>
        <v>руб.</v>
      </c>
      <c r="D412" s="23" t="s">
        <v>2269</v>
      </c>
      <c r="E412" s="24"/>
      <c r="F412" s="111">
        <f t="shared" ref="F412:K412" si="261">IF(F411=0,0,F411-E408)</f>
        <v>0</v>
      </c>
      <c r="G412" s="111">
        <f t="shared" si="261"/>
        <v>0</v>
      </c>
      <c r="H412" s="111">
        <f t="shared" si="261"/>
        <v>0</v>
      </c>
      <c r="I412" s="111">
        <f t="shared" si="261"/>
        <v>0</v>
      </c>
      <c r="J412" s="111">
        <f t="shared" si="261"/>
        <v>0</v>
      </c>
      <c r="K412" s="111">
        <f t="shared" si="261"/>
        <v>0</v>
      </c>
      <c r="M412" s="54">
        <f>SUM(F412:K412)</f>
        <v>0</v>
      </c>
    </row>
    <row r="413" spans="1:13" s="23" customFormat="1" hidden="1" outlineLevel="2" x14ac:dyDescent="0.2">
      <c r="A413" t="str">
        <f ca="1">Language!A$400</f>
        <v xml:space="preserve">    НДС к выручке от реализации актива</v>
      </c>
      <c r="B413" s="273">
        <f>VAT</f>
        <v>0</v>
      </c>
      <c r="C413" s="40" t="str">
        <f t="shared" ca="1" si="254"/>
        <v>руб.</v>
      </c>
      <c r="D413" s="23" t="s">
        <v>549</v>
      </c>
      <c r="F413">
        <f t="shared" ref="F413:J413" si="262">F411*$B413</f>
        <v>0</v>
      </c>
      <c r="G413">
        <f t="shared" si="262"/>
        <v>0</v>
      </c>
      <c r="H413">
        <f t="shared" si="262"/>
        <v>0</v>
      </c>
      <c r="I413">
        <f t="shared" si="262"/>
        <v>0</v>
      </c>
      <c r="J413">
        <f t="shared" si="262"/>
        <v>0</v>
      </c>
      <c r="K413">
        <f t="shared" ref="K413" si="263">K411*$B413</f>
        <v>0</v>
      </c>
      <c r="M413" s="54">
        <f>SUM(F413:K413)</f>
        <v>0</v>
      </c>
    </row>
    <row r="414" spans="1:13" s="23" customFormat="1" outlineLevel="1" x14ac:dyDescent="0.2">
      <c r="A414" s="130"/>
      <c r="M414" s="11"/>
    </row>
    <row r="415" spans="1:13" outlineLevel="1" x14ac:dyDescent="0.2">
      <c r="A415" s="35" t="str">
        <f ca="1">Language!A$406</f>
        <v>Финансовые вложения</v>
      </c>
      <c r="D415">
        <v>1</v>
      </c>
      <c r="E415" s="48">
        <v>15</v>
      </c>
    </row>
    <row r="416" spans="1:13" s="23" customFormat="1" outlineLevel="1" x14ac:dyDescent="0.2">
      <c r="A416" s="274" t="str">
        <f ca="1">Language!A$379</f>
        <v>Наименование</v>
      </c>
      <c r="B416" s="36" t="str">
        <f ca="1">Language!A$73</f>
        <v>Валюта</v>
      </c>
      <c r="F416" s="42"/>
      <c r="G416" s="42"/>
      <c r="H416" s="42"/>
      <c r="I416" s="42"/>
      <c r="J416" s="42"/>
      <c r="K416" s="42"/>
      <c r="M416" s="39"/>
    </row>
    <row r="417" spans="1:13" s="23" customFormat="1" outlineLevel="1" collapsed="1" x14ac:dyDescent="0.2">
      <c r="A417" t="str">
        <f ca="1">Language!A$380</f>
        <v xml:space="preserve">    величина платежей</v>
      </c>
      <c r="B417" s="255">
        <v>1</v>
      </c>
      <c r="C417" s="40" t="str">
        <f ca="1">CHOOSE(B417,CUR_Main,CUR_Foreign)</f>
        <v>руб.</v>
      </c>
      <c r="D417" s="16" t="str">
        <f>TEXT(B417,"0")&amp;"_00"</f>
        <v>1_00</v>
      </c>
      <c r="F417" s="276">
        <v>0</v>
      </c>
      <c r="G417" s="276">
        <v>0</v>
      </c>
      <c r="H417" s="276">
        <v>0</v>
      </c>
      <c r="I417" s="276">
        <v>0</v>
      </c>
      <c r="J417" s="276">
        <v>0</v>
      </c>
      <c r="K417" s="276">
        <v>0</v>
      </c>
      <c r="M417" s="54">
        <f>SUM(F417:K417)</f>
        <v>0</v>
      </c>
    </row>
    <row r="418" spans="1:13" s="23" customFormat="1" hidden="1" outlineLevel="2" x14ac:dyDescent="0.2">
      <c r="A418" t="str">
        <f ca="1">Language!A$384</f>
        <v xml:space="preserve">    поставить на баланс с</v>
      </c>
      <c r="B418" s="271">
        <f ca="1">MATCH(OFFSET(M423,0,-2),F423:K423,0)</f>
        <v>1</v>
      </c>
      <c r="C418" s="40" t="str">
        <f ca="1">Language!A$376</f>
        <v>периода</v>
      </c>
      <c r="M418" s="11"/>
    </row>
    <row r="419" spans="1:13" s="23" customFormat="1" hidden="1" outlineLevel="2" x14ac:dyDescent="0.2">
      <c r="A419" t="str">
        <f ca="1">Language!A$395</f>
        <v xml:space="preserve">    выплаченный НДС</v>
      </c>
      <c r="B419" s="273">
        <v>0</v>
      </c>
      <c r="C419" s="40" t="str">
        <f ca="1">CUR_Main</f>
        <v>руб.</v>
      </c>
      <c r="D419" s="23" t="s">
        <v>2265</v>
      </c>
      <c r="F419" s="111">
        <f t="shared" ref="F419:J419" si="264">F421*$B419</f>
        <v>0</v>
      </c>
      <c r="G419" s="111">
        <f t="shared" si="264"/>
        <v>0</v>
      </c>
      <c r="H419" s="111">
        <f t="shared" si="264"/>
        <v>0</v>
      </c>
      <c r="I419" s="111">
        <f t="shared" si="264"/>
        <v>0</v>
      </c>
      <c r="J419" s="111">
        <f t="shared" si="264"/>
        <v>0</v>
      </c>
      <c r="K419" s="111">
        <f t="shared" ref="K419" si="265">K421*$B419</f>
        <v>0</v>
      </c>
      <c r="M419" s="54">
        <f>SUM(F419:K419)</f>
        <v>0</v>
      </c>
    </row>
    <row r="420" spans="1:13" hidden="1" outlineLevel="2" x14ac:dyDescent="0.2">
      <c r="A420" s="23" t="str">
        <f ca="1">Language!A$407</f>
        <v xml:space="preserve">    доходность финансовых вложений</v>
      </c>
      <c r="B420" s="273">
        <v>0.1</v>
      </c>
      <c r="C420" s="5" t="str">
        <f ca="1">CUR_Main</f>
        <v>руб.</v>
      </c>
      <c r="D420" t="s">
        <v>2276</v>
      </c>
      <c r="F420" s="272">
        <f t="shared" ref="F420:J420" ca="1" si="266">F424*$B420*PRJ_Step/360</f>
        <v>0</v>
      </c>
      <c r="G420" s="272">
        <f t="shared" ca="1" si="266"/>
        <v>0</v>
      </c>
      <c r="H420" s="272">
        <f t="shared" ca="1" si="266"/>
        <v>0</v>
      </c>
      <c r="I420" s="272">
        <f t="shared" ca="1" si="266"/>
        <v>0</v>
      </c>
      <c r="J420" s="272">
        <f t="shared" ca="1" si="266"/>
        <v>0</v>
      </c>
      <c r="K420" s="272">
        <f t="shared" ref="K420" ca="1" si="267">K424*$B420*PRJ_Step/360</f>
        <v>0</v>
      </c>
      <c r="M420" s="54">
        <f ca="1">SUM(F420:K420)</f>
        <v>0</v>
      </c>
    </row>
    <row r="421" spans="1:13" s="23" customFormat="1" hidden="1" outlineLevel="2" x14ac:dyDescent="0.2">
      <c r="A421" t="str">
        <f ca="1">Language!A$385</f>
        <v xml:space="preserve">    сумма платежей без НДС</v>
      </c>
      <c r="C421" s="40" t="str">
        <f t="shared" ref="C421:C430" ca="1" si="268">CUR_Main</f>
        <v>руб.</v>
      </c>
      <c r="D421" s="23" t="s">
        <v>188</v>
      </c>
      <c r="F421" s="84">
        <f t="shared" ref="F421:J421" si="269">F417*IF($B417=1,1,F$88)/(1+$B419)</f>
        <v>0</v>
      </c>
      <c r="G421" s="84">
        <f t="shared" si="269"/>
        <v>0</v>
      </c>
      <c r="H421" s="84">
        <f t="shared" si="269"/>
        <v>0</v>
      </c>
      <c r="I421" s="84">
        <f t="shared" si="269"/>
        <v>0</v>
      </c>
      <c r="J421" s="84">
        <f t="shared" si="269"/>
        <v>0</v>
      </c>
      <c r="K421" s="84">
        <f t="shared" ref="K421" si="270">K417*IF($B417=1,1,K$88)/(1+$B419)</f>
        <v>0</v>
      </c>
      <c r="M421" s="54">
        <f>SUM(F421:K421)</f>
        <v>0</v>
      </c>
    </row>
    <row r="422" spans="1:13" s="23" customFormat="1" hidden="1" outlineLevel="2" x14ac:dyDescent="0.2">
      <c r="A422" t="str">
        <f ca="1">Language!A$386</f>
        <v xml:space="preserve">    общая стоимость актива (без НДС)</v>
      </c>
      <c r="B422" s="55">
        <f>M421</f>
        <v>0</v>
      </c>
      <c r="C422" s="40" t="str">
        <f t="shared" ca="1" si="268"/>
        <v>руб.</v>
      </c>
      <c r="M422" s="11"/>
    </row>
    <row r="423" spans="1:13" s="23" customFormat="1" hidden="1" outlineLevel="2" x14ac:dyDescent="0.2">
      <c r="A423" t="str">
        <f ca="1">Language!A$387</f>
        <v xml:space="preserve">    полная сумма вложений в актив (без НДС)</v>
      </c>
      <c r="C423" s="40" t="str">
        <f t="shared" ca="1" si="268"/>
        <v>руб.</v>
      </c>
      <c r="D423" s="23" t="s">
        <v>2270</v>
      </c>
      <c r="F423" s="53">
        <f t="shared" ref="F423:K423" si="271">E423+F421</f>
        <v>0</v>
      </c>
      <c r="G423" s="53">
        <f t="shared" si="271"/>
        <v>0</v>
      </c>
      <c r="H423" s="53">
        <f t="shared" si="271"/>
        <v>0</v>
      </c>
      <c r="I423" s="53">
        <f t="shared" si="271"/>
        <v>0</v>
      </c>
      <c r="J423" s="53">
        <f t="shared" si="271"/>
        <v>0</v>
      </c>
      <c r="K423" s="53">
        <f t="shared" si="271"/>
        <v>0</v>
      </c>
      <c r="M423" s="54"/>
    </row>
    <row r="424" spans="1:13" s="23" customFormat="1" hidden="1" outlineLevel="2" x14ac:dyDescent="0.2">
      <c r="A424" t="str">
        <f ca="1">Language!A$388</f>
        <v xml:space="preserve">    полная балансовая стоимость</v>
      </c>
      <c r="C424" s="40" t="str">
        <f t="shared" ca="1" si="268"/>
        <v>руб.</v>
      </c>
      <c r="D424" s="23" t="s">
        <v>2271</v>
      </c>
      <c r="F424" s="53">
        <f ca="1">IF($B418&lt;=F$29,IF(SUM($E428:F428)&gt;0.01,0,$B422),0)</f>
        <v>0</v>
      </c>
      <c r="G424" s="53">
        <f ca="1">IF($B418&lt;=G$29,IF(SUM($E428:G428)&gt;0.01,0,$B422),0)</f>
        <v>0</v>
      </c>
      <c r="H424" s="53">
        <f ca="1">IF($B418&lt;=H$29,IF(SUM($E428:H428)&gt;0.01,0,$B422),0)</f>
        <v>0</v>
      </c>
      <c r="I424" s="53">
        <f ca="1">IF($B418&lt;=I$29,IF(SUM($E428:I428)&gt;0.01,0,$B422),0)</f>
        <v>0</v>
      </c>
      <c r="J424" s="53">
        <f ca="1">IF($B418&lt;=J$29,IF(SUM($E428:J428)&gt;0.01,0,$B422),0)</f>
        <v>0</v>
      </c>
      <c r="K424" s="53">
        <f ca="1">IF($B418&lt;=K$29,IF(SUM($E428:K428)&gt;0.01,0,$B422),0)</f>
        <v>0</v>
      </c>
      <c r="M424" s="11"/>
    </row>
    <row r="425" spans="1:13" s="23" customFormat="1" hidden="1" outlineLevel="2" x14ac:dyDescent="0.2">
      <c r="A425" s="48" t="str">
        <f ca="1">Language!A$408</f>
        <v xml:space="preserve">    авансы выданные</v>
      </c>
      <c r="C425" s="40" t="str">
        <f t="shared" ca="1" si="268"/>
        <v>руб.</v>
      </c>
      <c r="D425" s="23" t="s">
        <v>2277</v>
      </c>
      <c r="F425" s="84">
        <f ca="1">IF(OR($B418&gt;F$29,AND(SUM($F428:F428)&gt;0,$B418&gt;F$29)),F423,0)</f>
        <v>0</v>
      </c>
      <c r="G425" s="84">
        <f ca="1">IF(OR($B418&gt;G$29,AND(SUM($F428:G428)&gt;0,$B418&gt;G$29)),G423,0)</f>
        <v>0</v>
      </c>
      <c r="H425" s="84">
        <f ca="1">IF(OR($B418&gt;H$29,AND(SUM($F428:H428)&gt;0,$B418&gt;H$29)),H423,0)</f>
        <v>0</v>
      </c>
      <c r="I425" s="84">
        <f ca="1">IF(OR($B418&gt;I$29,AND(SUM($F428:I428)&gt;0,$B418&gt;I$29)),I423,0)</f>
        <v>0</v>
      </c>
      <c r="J425" s="84">
        <f ca="1">IF(OR($B418&gt;J$29,AND(SUM($F428:J428)&gt;0,$B418&gt;J$29)),J423,0)</f>
        <v>0</v>
      </c>
      <c r="K425" s="84">
        <f ca="1">IF(OR($B418&gt;K$29,AND(SUM($F428:K428)&gt;0,$B418&gt;K$29)),K423,0)</f>
        <v>0</v>
      </c>
      <c r="M425" s="11"/>
    </row>
    <row r="426" spans="1:13" s="23" customFormat="1" hidden="1" outlineLevel="2" x14ac:dyDescent="0.2">
      <c r="A426" t="str">
        <f ca="1">Language!A$390</f>
        <v xml:space="preserve">    кредиторская задолженность</v>
      </c>
      <c r="C426" s="40" t="str">
        <f t="shared" ca="1" si="268"/>
        <v>руб.</v>
      </c>
      <c r="D426" s="23" t="s">
        <v>2275</v>
      </c>
      <c r="F426" s="53">
        <f ca="1">IF(OR($B418&lt;=F$29,AND(SUM($F428:F428)&gt;0,$B418&gt;F$29)),$B422-F423,0)</f>
        <v>0</v>
      </c>
      <c r="G426" s="53">
        <f ca="1">IF(OR($B418&lt;=G$29,AND(SUM($F428:G428)&gt;0,$B418&gt;G$29)),$B422-G423,0)</f>
        <v>0</v>
      </c>
      <c r="H426" s="53">
        <f ca="1">IF(OR($B418&lt;=H$29,AND(SUM($F428:H428)&gt;0,$B418&gt;H$29)),$B422-H423,0)</f>
        <v>0</v>
      </c>
      <c r="I426" s="53">
        <f ca="1">IF(OR($B418&lt;=I$29,AND(SUM($F428:I428)&gt;0,$B418&gt;I$29)),$B422-I423,0)</f>
        <v>0</v>
      </c>
      <c r="J426" s="53">
        <f ca="1">IF(OR($B418&lt;=J$29,AND(SUM($F428:J428)&gt;0,$B418&gt;J$29)),$B422-J423,0)</f>
        <v>0</v>
      </c>
      <c r="K426" s="53">
        <f ca="1">IF(OR($B418&lt;=K$29,AND(SUM($F428:K428)&gt;0,$B418&gt;K$29)),$B422-K423,0)</f>
        <v>0</v>
      </c>
      <c r="M426" s="11"/>
    </row>
    <row r="427" spans="1:13" s="23" customFormat="1" hidden="1" outlineLevel="2" x14ac:dyDescent="0.2">
      <c r="A427" t="str">
        <f ca="1">Language!A$399</f>
        <v xml:space="preserve">    зачет НДС</v>
      </c>
      <c r="C427" s="40" t="str">
        <f t="shared" ca="1" si="268"/>
        <v>руб.</v>
      </c>
      <c r="D427" s="133" t="s">
        <v>2267</v>
      </c>
      <c r="F427" s="111">
        <f t="shared" ref="F427:K427" ca="1" si="272">IF($B418=F$29,$M419,0)</f>
        <v>0</v>
      </c>
      <c r="G427" s="111">
        <f t="shared" ca="1" si="272"/>
        <v>0</v>
      </c>
      <c r="H427" s="111">
        <f t="shared" ca="1" si="272"/>
        <v>0</v>
      </c>
      <c r="I427" s="111">
        <f t="shared" ca="1" si="272"/>
        <v>0</v>
      </c>
      <c r="J427" s="111">
        <f t="shared" ca="1" si="272"/>
        <v>0</v>
      </c>
      <c r="K427" s="111">
        <f t="shared" ca="1" si="272"/>
        <v>0</v>
      </c>
      <c r="M427" s="54">
        <f ca="1">SUM(F427:K427)</f>
        <v>0</v>
      </c>
    </row>
    <row r="428" spans="1:13" s="23" customFormat="1" hidden="1" outlineLevel="2" x14ac:dyDescent="0.2">
      <c r="A428" s="63" t="str">
        <f ca="1">Language!A$361</f>
        <v xml:space="preserve">    реализация актива (без НДС)</v>
      </c>
      <c r="B428" s="112"/>
      <c r="C428" s="114" t="str">
        <f t="shared" ca="1" si="268"/>
        <v>руб.</v>
      </c>
      <c r="D428" s="23" t="s">
        <v>2268</v>
      </c>
      <c r="E428" s="112"/>
      <c r="F428" s="272">
        <v>0</v>
      </c>
      <c r="G428" s="272">
        <v>0</v>
      </c>
      <c r="H428" s="272">
        <v>0</v>
      </c>
      <c r="I428" s="272">
        <v>0</v>
      </c>
      <c r="J428" s="272">
        <v>0</v>
      </c>
      <c r="K428" s="272">
        <v>0</v>
      </c>
      <c r="M428" s="54">
        <f>SUM(F428:K428)</f>
        <v>0</v>
      </c>
    </row>
    <row r="429" spans="1:13" s="23" customFormat="1" hidden="1" outlineLevel="2" x14ac:dyDescent="0.2">
      <c r="A429" s="19" t="str">
        <f ca="1">Language!A$362</f>
        <v xml:space="preserve">    прибыль/убыток от реализации актива</v>
      </c>
      <c r="B429" s="24"/>
      <c r="C429" s="115" t="str">
        <f t="shared" ca="1" si="268"/>
        <v>руб.</v>
      </c>
      <c r="D429" s="23" t="s">
        <v>2269</v>
      </c>
      <c r="E429" s="24"/>
      <c r="F429" s="111">
        <f t="shared" ref="F429:K429" si="273">IF(F428=0,0,F428-E424)</f>
        <v>0</v>
      </c>
      <c r="G429" s="111">
        <f t="shared" si="273"/>
        <v>0</v>
      </c>
      <c r="H429" s="111">
        <f t="shared" si="273"/>
        <v>0</v>
      </c>
      <c r="I429" s="111">
        <f t="shared" si="273"/>
        <v>0</v>
      </c>
      <c r="J429" s="111">
        <f t="shared" si="273"/>
        <v>0</v>
      </c>
      <c r="K429" s="111">
        <f t="shared" si="273"/>
        <v>0</v>
      </c>
      <c r="M429" s="54">
        <f>SUM(F429:K429)</f>
        <v>0</v>
      </c>
    </row>
    <row r="430" spans="1:13" s="23" customFormat="1" hidden="1" outlineLevel="2" x14ac:dyDescent="0.2">
      <c r="A430" t="str">
        <f ca="1">Language!A$400</f>
        <v xml:space="preserve">    НДС к выручке от реализации актива</v>
      </c>
      <c r="B430" s="273">
        <v>0</v>
      </c>
      <c r="C430" s="40" t="str">
        <f t="shared" ca="1" si="268"/>
        <v>руб.</v>
      </c>
      <c r="D430" s="23" t="s">
        <v>549</v>
      </c>
      <c r="F430">
        <f t="shared" ref="F430:J430" si="274">F428*$B430</f>
        <v>0</v>
      </c>
      <c r="G430">
        <f t="shared" si="274"/>
        <v>0</v>
      </c>
      <c r="H430">
        <f t="shared" si="274"/>
        <v>0</v>
      </c>
      <c r="I430">
        <f t="shared" si="274"/>
        <v>0</v>
      </c>
      <c r="J430">
        <f t="shared" si="274"/>
        <v>0</v>
      </c>
      <c r="K430">
        <f t="shared" ref="K430" si="275">K428*$B430</f>
        <v>0</v>
      </c>
      <c r="M430" s="54">
        <f>SUM(F430:K430)</f>
        <v>0</v>
      </c>
    </row>
    <row r="431" spans="1:13" s="23" customFormat="1" outlineLevel="1" x14ac:dyDescent="0.2">
      <c r="A431" s="35"/>
      <c r="M431" s="11"/>
    </row>
    <row r="432" spans="1:13" outlineLevel="1" x14ac:dyDescent="0.2">
      <c r="A432" s="35" t="str">
        <f ca="1">Language!A$409</f>
        <v>Расходы будущих периодов</v>
      </c>
      <c r="D432">
        <v>1</v>
      </c>
      <c r="E432" s="48">
        <v>14</v>
      </c>
    </row>
    <row r="433" spans="1:13" s="23" customFormat="1" outlineLevel="1" x14ac:dyDescent="0.2">
      <c r="A433" s="274" t="str">
        <f ca="1">Language!A$379</f>
        <v>Наименование</v>
      </c>
      <c r="B433" s="36" t="str">
        <f ca="1">Language!A$73</f>
        <v>Валюта</v>
      </c>
      <c r="F433" s="42"/>
      <c r="G433" s="42"/>
      <c r="H433" s="42"/>
      <c r="I433" s="42"/>
      <c r="J433" s="42"/>
      <c r="K433" s="42"/>
      <c r="M433" s="39"/>
    </row>
    <row r="434" spans="1:13" s="23" customFormat="1" outlineLevel="1" collapsed="1" x14ac:dyDescent="0.2">
      <c r="A434" t="str">
        <f ca="1">Language!A$381</f>
        <v xml:space="preserve">    величина платежей (с НДС)</v>
      </c>
      <c r="B434" s="255">
        <v>1</v>
      </c>
      <c r="C434" s="40" t="str">
        <f ca="1">CHOOSE(B434,CUR_Main,CUR_Foreign)</f>
        <v>руб.</v>
      </c>
      <c r="D434" s="16" t="str">
        <f>TEXT(B434,"0")&amp;"_00"</f>
        <v>1_00</v>
      </c>
      <c r="F434" s="276">
        <v>0</v>
      </c>
      <c r="G434" s="276">
        <v>0</v>
      </c>
      <c r="H434" s="276">
        <v>0</v>
      </c>
      <c r="I434" s="276">
        <v>0</v>
      </c>
      <c r="J434" s="276">
        <v>0</v>
      </c>
      <c r="K434" s="276">
        <v>0</v>
      </c>
      <c r="M434" s="54">
        <f>SUM(F434:K434)</f>
        <v>0</v>
      </c>
    </row>
    <row r="435" spans="1:13" s="23" customFormat="1" hidden="1" outlineLevel="2" x14ac:dyDescent="0.2">
      <c r="A435" t="str">
        <f ca="1">Language!A$384</f>
        <v xml:space="preserve">    поставить на баланс с</v>
      </c>
      <c r="B435" s="271">
        <f ca="1">MATCH(OFFSET(M440,0,-2),F440:K440,0)</f>
        <v>1</v>
      </c>
      <c r="C435" s="40" t="str">
        <f ca="1">Language!A$376</f>
        <v>периода</v>
      </c>
      <c r="M435" s="11"/>
    </row>
    <row r="436" spans="1:13" s="23" customFormat="1" hidden="1" outlineLevel="2" x14ac:dyDescent="0.2">
      <c r="A436" t="str">
        <f ca="1">Language!A$393</f>
        <v xml:space="preserve">    амортизация (линейная),       для срока использования:</v>
      </c>
      <c r="B436" s="271">
        <v>2</v>
      </c>
      <c r="C436" s="40" t="str">
        <f ca="1">Language!A$33</f>
        <v>лет</v>
      </c>
      <c r="D436" s="132" t="s">
        <v>2224</v>
      </c>
      <c r="F436" s="84">
        <f t="shared" ref="F436:K436" ca="1" si="276">IF($B436&gt;0,MIN(F441*100%/$B436*PRJ_Step/360,E445+F441-E441),0)</f>
        <v>0</v>
      </c>
      <c r="G436" s="84">
        <f t="shared" ca="1" si="276"/>
        <v>0</v>
      </c>
      <c r="H436" s="84">
        <f t="shared" ca="1" si="276"/>
        <v>0</v>
      </c>
      <c r="I436" s="84">
        <f t="shared" ca="1" si="276"/>
        <v>0</v>
      </c>
      <c r="J436" s="84">
        <f t="shared" ca="1" si="276"/>
        <v>0</v>
      </c>
      <c r="K436" s="84">
        <f t="shared" ca="1" si="276"/>
        <v>0</v>
      </c>
      <c r="M436" s="54">
        <f ca="1">SUM(F436:K436)</f>
        <v>0</v>
      </c>
    </row>
    <row r="437" spans="1:13" s="23" customFormat="1" hidden="1" outlineLevel="2" x14ac:dyDescent="0.2">
      <c r="A437" t="str">
        <f ca="1">Language!A$395</f>
        <v xml:space="preserve">    выплаченный НДС</v>
      </c>
      <c r="B437" s="273">
        <f>VAT</f>
        <v>0</v>
      </c>
      <c r="C437" s="40" t="str">
        <f ca="1">CUR_Main</f>
        <v>руб.</v>
      </c>
      <c r="D437" s="23" t="s">
        <v>2265</v>
      </c>
      <c r="F437" s="83">
        <f t="shared" ref="F437:K437" si="277">F438*$B437</f>
        <v>0</v>
      </c>
      <c r="G437" s="83">
        <f t="shared" si="277"/>
        <v>0</v>
      </c>
      <c r="H437" s="83">
        <f t="shared" si="277"/>
        <v>0</v>
      </c>
      <c r="I437" s="83">
        <f t="shared" si="277"/>
        <v>0</v>
      </c>
      <c r="J437" s="83">
        <f t="shared" si="277"/>
        <v>0</v>
      </c>
      <c r="K437" s="83">
        <f t="shared" si="277"/>
        <v>0</v>
      </c>
      <c r="M437" s="54">
        <f>SUM(F437:K437)</f>
        <v>0</v>
      </c>
    </row>
    <row r="438" spans="1:13" s="23" customFormat="1" hidden="1" outlineLevel="2" x14ac:dyDescent="0.2">
      <c r="A438" t="str">
        <f ca="1">Language!A$385</f>
        <v xml:space="preserve">    сумма платежей без НДС</v>
      </c>
      <c r="C438" s="40" t="str">
        <f t="shared" ref="C438:C446" ca="1" si="278">CUR_Main</f>
        <v>руб.</v>
      </c>
      <c r="D438" s="23" t="s">
        <v>188</v>
      </c>
      <c r="F438" s="84">
        <f t="shared" ref="F438:J438" si="279">F434*IF($B434=1,1,F$88)/(1+$B437)</f>
        <v>0</v>
      </c>
      <c r="G438" s="84">
        <f t="shared" si="279"/>
        <v>0</v>
      </c>
      <c r="H438" s="84">
        <f t="shared" si="279"/>
        <v>0</v>
      </c>
      <c r="I438" s="84">
        <f t="shared" si="279"/>
        <v>0</v>
      </c>
      <c r="J438" s="84">
        <f t="shared" si="279"/>
        <v>0</v>
      </c>
      <c r="K438" s="84">
        <f t="shared" ref="K438" si="280">K434*IF($B434=1,1,K$88)/(1+$B437)</f>
        <v>0</v>
      </c>
      <c r="M438" s="54">
        <f>SUM(F438:K438)</f>
        <v>0</v>
      </c>
    </row>
    <row r="439" spans="1:13" s="23" customFormat="1" hidden="1" outlineLevel="2" x14ac:dyDescent="0.2">
      <c r="A439" t="str">
        <f ca="1">Language!A$386</f>
        <v xml:space="preserve">    общая стоимость актива (без НДС)</v>
      </c>
      <c r="B439" s="55">
        <f>M438</f>
        <v>0</v>
      </c>
      <c r="C439" s="40" t="str">
        <f t="shared" ca="1" si="278"/>
        <v>руб.</v>
      </c>
      <c r="F439" s="52"/>
      <c r="G439" s="52"/>
      <c r="H439" s="52"/>
      <c r="I439" s="52"/>
      <c r="J439" s="52"/>
      <c r="K439" s="52"/>
      <c r="M439" s="11"/>
    </row>
    <row r="440" spans="1:13" s="23" customFormat="1" hidden="1" outlineLevel="2" x14ac:dyDescent="0.2">
      <c r="A440" t="str">
        <f ca="1">Language!A$387</f>
        <v xml:space="preserve">    полная сумма вложений в актив (без НДС)</v>
      </c>
      <c r="C440" s="40" t="str">
        <f t="shared" ca="1" si="278"/>
        <v>руб.</v>
      </c>
      <c r="D440" s="23" t="s">
        <v>2270</v>
      </c>
      <c r="F440" s="84">
        <f>F438</f>
        <v>0</v>
      </c>
      <c r="G440" s="84">
        <f t="shared" ref="G440:K440" si="281">F440+G438</f>
        <v>0</v>
      </c>
      <c r="H440" s="84">
        <f t="shared" si="281"/>
        <v>0</v>
      </c>
      <c r="I440" s="84">
        <f t="shared" si="281"/>
        <v>0</v>
      </c>
      <c r="J440" s="84">
        <f t="shared" si="281"/>
        <v>0</v>
      </c>
      <c r="K440" s="84">
        <f t="shared" si="281"/>
        <v>0</v>
      </c>
      <c r="M440" s="54"/>
    </row>
    <row r="441" spans="1:13" s="23" customFormat="1" hidden="1" outlineLevel="2" x14ac:dyDescent="0.2">
      <c r="A441" t="str">
        <f ca="1">Language!A$388</f>
        <v xml:space="preserve">    полная балансовая стоимость</v>
      </c>
      <c r="C441" s="40" t="str">
        <f t="shared" ca="1" si="278"/>
        <v>руб.</v>
      </c>
      <c r="D441" s="23" t="s">
        <v>2271</v>
      </c>
      <c r="F441" s="84">
        <f t="shared" ref="F441:J441" ca="1" si="282">IF($B435&lt;=F$29,$B439,0)</f>
        <v>0</v>
      </c>
      <c r="G441" s="84">
        <f t="shared" ca="1" si="282"/>
        <v>0</v>
      </c>
      <c r="H441" s="84">
        <f t="shared" ca="1" si="282"/>
        <v>0</v>
      </c>
      <c r="I441" s="84">
        <f t="shared" ca="1" si="282"/>
        <v>0</v>
      </c>
      <c r="J441" s="84">
        <f t="shared" ca="1" si="282"/>
        <v>0</v>
      </c>
      <c r="K441" s="84">
        <f t="shared" ref="K441" ca="1" si="283">IF($B435&lt;=K$29,$B439,0)</f>
        <v>0</v>
      </c>
      <c r="M441" s="11"/>
    </row>
    <row r="442" spans="1:13" s="23" customFormat="1" hidden="1" outlineLevel="2" x14ac:dyDescent="0.2">
      <c r="A442" s="48" t="str">
        <f ca="1">Language!A$408</f>
        <v xml:space="preserve">    авансы выданные</v>
      </c>
      <c r="C442" s="40" t="str">
        <f t="shared" ca="1" si="278"/>
        <v>руб.</v>
      </c>
      <c r="D442" s="23" t="s">
        <v>2277</v>
      </c>
      <c r="F442" s="84">
        <f t="shared" ref="F442:J442" ca="1" si="284">IF($B435&gt;F$29,F440,0)</f>
        <v>0</v>
      </c>
      <c r="G442" s="84">
        <f t="shared" ca="1" si="284"/>
        <v>0</v>
      </c>
      <c r="H442" s="84">
        <f t="shared" ca="1" si="284"/>
        <v>0</v>
      </c>
      <c r="I442" s="84">
        <f t="shared" ca="1" si="284"/>
        <v>0</v>
      </c>
      <c r="J442" s="84">
        <f t="shared" ca="1" si="284"/>
        <v>0</v>
      </c>
      <c r="K442" s="84">
        <f t="shared" ref="K442" ca="1" si="285">IF($B435&gt;K$29,K440,0)</f>
        <v>0</v>
      </c>
      <c r="M442" s="11"/>
    </row>
    <row r="443" spans="1:13" s="23" customFormat="1" hidden="1" outlineLevel="2" x14ac:dyDescent="0.2">
      <c r="A443" t="str">
        <f ca="1">Language!A$390</f>
        <v xml:space="preserve">    кредиторская задолженность</v>
      </c>
      <c r="C443" s="40" t="str">
        <f t="shared" ca="1" si="278"/>
        <v>руб.</v>
      </c>
      <c r="D443" s="23" t="s">
        <v>2275</v>
      </c>
      <c r="F443" s="84">
        <f t="shared" ref="F443:J443" ca="1" si="286">IF($B435&lt;=F$29,$B439-F440,0)</f>
        <v>0</v>
      </c>
      <c r="G443" s="84">
        <f t="shared" ca="1" si="286"/>
        <v>0</v>
      </c>
      <c r="H443" s="84">
        <f t="shared" ca="1" si="286"/>
        <v>0</v>
      </c>
      <c r="I443" s="84">
        <f t="shared" ca="1" si="286"/>
        <v>0</v>
      </c>
      <c r="J443" s="84">
        <f t="shared" ca="1" si="286"/>
        <v>0</v>
      </c>
      <c r="K443" s="84">
        <f t="shared" ref="K443" ca="1" si="287">IF($B435&lt;=K$29,$B439-K440,0)</f>
        <v>0</v>
      </c>
      <c r="M443" s="11"/>
    </row>
    <row r="444" spans="1:13" s="23" customFormat="1" hidden="1" outlineLevel="2" x14ac:dyDescent="0.2">
      <c r="A444" t="str">
        <f ca="1">Language!A$397</f>
        <v xml:space="preserve">    накопленная амортизация</v>
      </c>
      <c r="C444" s="40" t="str">
        <f t="shared" ca="1" si="278"/>
        <v>руб.</v>
      </c>
      <c r="D444" s="23" t="s">
        <v>2272</v>
      </c>
      <c r="F444" s="84">
        <f t="shared" ref="F444:K444" ca="1" si="288">E444+F436</f>
        <v>0</v>
      </c>
      <c r="G444" s="84">
        <f t="shared" ca="1" si="288"/>
        <v>0</v>
      </c>
      <c r="H444" s="84">
        <f t="shared" ca="1" si="288"/>
        <v>0</v>
      </c>
      <c r="I444" s="84">
        <f t="shared" ca="1" si="288"/>
        <v>0</v>
      </c>
      <c r="J444" s="84">
        <f t="shared" ca="1" si="288"/>
        <v>0</v>
      </c>
      <c r="K444" s="84">
        <f t="shared" ca="1" si="288"/>
        <v>0</v>
      </c>
      <c r="M444" s="11"/>
    </row>
    <row r="445" spans="1:13" s="23" customFormat="1" hidden="1" outlineLevel="2" x14ac:dyDescent="0.2">
      <c r="A445" t="str">
        <f ca="1">Language!A$391</f>
        <v xml:space="preserve">    остаточная стоимость</v>
      </c>
      <c r="C445" s="40" t="str">
        <f t="shared" ca="1" si="278"/>
        <v>руб.</v>
      </c>
      <c r="D445" s="23" t="s">
        <v>2273</v>
      </c>
      <c r="F445" s="106">
        <f t="shared" ref="F445:J445" ca="1" si="289">F441-F444</f>
        <v>0</v>
      </c>
      <c r="G445" s="106">
        <f t="shared" ca="1" si="289"/>
        <v>0</v>
      </c>
      <c r="H445" s="106">
        <f t="shared" ca="1" si="289"/>
        <v>0</v>
      </c>
      <c r="I445" s="106">
        <f t="shared" ca="1" si="289"/>
        <v>0</v>
      </c>
      <c r="J445" s="106">
        <f t="shared" ca="1" si="289"/>
        <v>0</v>
      </c>
      <c r="K445" s="106">
        <f t="shared" ref="K445" ca="1" si="290">K441-K444</f>
        <v>0</v>
      </c>
      <c r="M445" s="11"/>
    </row>
    <row r="446" spans="1:13" s="23" customFormat="1" hidden="1" outlineLevel="2" x14ac:dyDescent="0.2">
      <c r="A446" t="str">
        <f ca="1">Language!A$399</f>
        <v xml:space="preserve">    зачет НДС</v>
      </c>
      <c r="C446" s="40" t="str">
        <f t="shared" ca="1" si="278"/>
        <v>руб.</v>
      </c>
      <c r="D446" s="24" t="s">
        <v>2267</v>
      </c>
      <c r="F446" s="111">
        <f t="shared" ref="F446:K446" ca="1" si="291">IF($B435=F$29,$M437,0)</f>
        <v>0</v>
      </c>
      <c r="G446" s="111">
        <f t="shared" ca="1" si="291"/>
        <v>0</v>
      </c>
      <c r="H446" s="111">
        <f t="shared" ca="1" si="291"/>
        <v>0</v>
      </c>
      <c r="I446" s="111">
        <f t="shared" ca="1" si="291"/>
        <v>0</v>
      </c>
      <c r="J446" s="111">
        <f t="shared" ca="1" si="291"/>
        <v>0</v>
      </c>
      <c r="K446" s="111">
        <f t="shared" ca="1" si="291"/>
        <v>0</v>
      </c>
      <c r="M446" s="54">
        <f ca="1">SUM(F446:K446)</f>
        <v>0</v>
      </c>
    </row>
    <row r="447" spans="1:13" outlineLevel="1" x14ac:dyDescent="0.2">
      <c r="D447" s="19"/>
    </row>
    <row r="448" spans="1:13" outlineLevel="1" x14ac:dyDescent="0.2">
      <c r="A448" s="35" t="str">
        <f ca="1">Language!A410</f>
        <v>Проценты по кредитам на инвестиционной фазе</v>
      </c>
      <c r="C448" s="40" t="str">
        <f ca="1">CUR_Main</f>
        <v>руб.</v>
      </c>
      <c r="F448" s="84">
        <f t="shared" ref="F448:K448" ca="1" si="292">IF(F29&lt;$B449,F1059,0)</f>
        <v>0</v>
      </c>
      <c r="G448" s="84">
        <f t="shared" ca="1" si="292"/>
        <v>0</v>
      </c>
      <c r="H448" s="84">
        <f t="shared" ca="1" si="292"/>
        <v>0</v>
      </c>
      <c r="I448" s="84">
        <f t="shared" ca="1" si="292"/>
        <v>0</v>
      </c>
      <c r="J448" s="84">
        <f t="shared" ca="1" si="292"/>
        <v>0</v>
      </c>
      <c r="K448" s="84">
        <f t="shared" ca="1" si="292"/>
        <v>0</v>
      </c>
      <c r="M448" s="54">
        <f ca="1">SUM(F448:K448)</f>
        <v>0</v>
      </c>
    </row>
    <row r="449" spans="1:13" outlineLevel="1" collapsed="1" x14ac:dyDescent="0.2">
      <c r="A449" t="str">
        <f ca="1">Language!A411</f>
        <v xml:space="preserve">    инвестиционная фаза заканчивается с начала</v>
      </c>
      <c r="B449" s="259">
        <f ca="1">MAX(IF((M481+M473+M495)&gt;0,MAX(B302,B287,B346),1),IF((0)&gt;0,0,1))</f>
        <v>1</v>
      </c>
      <c r="C449" s="40" t="str">
        <f ca="1">Language!A$376</f>
        <v>периода</v>
      </c>
    </row>
    <row r="450" spans="1:13" hidden="1" outlineLevel="2" x14ac:dyDescent="0.2">
      <c r="A450" t="str">
        <f ca="1">Language!A$393</f>
        <v xml:space="preserve">    амортизация (линейная),       для срока использования:</v>
      </c>
      <c r="B450" s="271">
        <v>2</v>
      </c>
      <c r="C450" s="40" t="str">
        <f ca="1">Language!A$33</f>
        <v>лет</v>
      </c>
      <c r="F450" s="83">
        <f t="shared" ref="F450:K450" ca="1" si="293">IF($B450&gt;0,MIN(F452*(100%/$B450)*PRJ_Step/360,E453+F452-E452),0)</f>
        <v>0</v>
      </c>
      <c r="G450" s="83">
        <f t="shared" ca="1" si="293"/>
        <v>0</v>
      </c>
      <c r="H450" s="83">
        <f t="shared" ca="1" si="293"/>
        <v>0</v>
      </c>
      <c r="I450" s="83">
        <f t="shared" ca="1" si="293"/>
        <v>0</v>
      </c>
      <c r="J450" s="83">
        <f t="shared" ca="1" si="293"/>
        <v>0</v>
      </c>
      <c r="K450" s="83">
        <f t="shared" ca="1" si="293"/>
        <v>0</v>
      </c>
      <c r="M450" s="54">
        <f ca="1">SUM(F450:K450)</f>
        <v>0</v>
      </c>
    </row>
    <row r="451" spans="1:13" hidden="1" outlineLevel="2" x14ac:dyDescent="0.2">
      <c r="A451" t="str">
        <f ca="1">Language!A$389</f>
        <v xml:space="preserve">    незавершенные инвестиции</v>
      </c>
      <c r="C451" s="40" t="str">
        <f ca="1">CUR_Main</f>
        <v>руб.</v>
      </c>
      <c r="D451" s="16" t="s">
        <v>384</v>
      </c>
      <c r="F451" s="53">
        <f t="shared" ref="F451:K451" ca="1" si="294">IF(F29&lt;$B449,E451+F448,0)</f>
        <v>0</v>
      </c>
      <c r="G451" s="53">
        <f t="shared" ca="1" si="294"/>
        <v>0</v>
      </c>
      <c r="H451" s="53">
        <f t="shared" ca="1" si="294"/>
        <v>0</v>
      </c>
      <c r="I451" s="53">
        <f t="shared" ca="1" si="294"/>
        <v>0</v>
      </c>
      <c r="J451" s="53">
        <f t="shared" ca="1" si="294"/>
        <v>0</v>
      </c>
      <c r="K451" s="53">
        <f t="shared" ca="1" si="294"/>
        <v>0</v>
      </c>
    </row>
    <row r="452" spans="1:13" hidden="1" outlineLevel="2" x14ac:dyDescent="0.2">
      <c r="A452" t="str">
        <f ca="1">Language!A$388</f>
        <v xml:space="preserve">    полная балансовая стоимость</v>
      </c>
      <c r="C452" s="40" t="str">
        <f ca="1">CUR_Main</f>
        <v>руб.</v>
      </c>
      <c r="D452" s="16" t="s">
        <v>384</v>
      </c>
      <c r="F452" s="84">
        <f t="shared" ref="F452:K452" ca="1" si="295">IF($B449&lt;=F$29,$M448,0)</f>
        <v>0</v>
      </c>
      <c r="G452" s="84">
        <f t="shared" ca="1" si="295"/>
        <v>0</v>
      </c>
      <c r="H452" s="84">
        <f t="shared" ca="1" si="295"/>
        <v>0</v>
      </c>
      <c r="I452" s="84">
        <f t="shared" ca="1" si="295"/>
        <v>0</v>
      </c>
      <c r="J452" s="84">
        <f t="shared" ca="1" si="295"/>
        <v>0</v>
      </c>
      <c r="K452" s="84">
        <f t="shared" ca="1" si="295"/>
        <v>0</v>
      </c>
    </row>
    <row r="453" spans="1:13" hidden="1" outlineLevel="2" x14ac:dyDescent="0.2">
      <c r="A453" t="str">
        <f ca="1">Language!A$391</f>
        <v xml:space="preserve">    остаточная стоимость</v>
      </c>
      <c r="C453" s="40" t="str">
        <f ca="1">CUR_Main</f>
        <v>руб.</v>
      </c>
      <c r="D453" s="16" t="s">
        <v>384</v>
      </c>
      <c r="F453" s="53">
        <f ca="1">F452-SUM($E450:F450)</f>
        <v>0</v>
      </c>
      <c r="G453" s="53">
        <f ca="1">G452-SUM($E450:G450)</f>
        <v>0</v>
      </c>
      <c r="H453" s="53">
        <f ca="1">H452-SUM($E450:H450)</f>
        <v>0</v>
      </c>
      <c r="I453" s="53">
        <f ca="1">I452-SUM($E450:I450)</f>
        <v>0</v>
      </c>
      <c r="J453" s="53">
        <f ca="1">J452-SUM($E450:J450)</f>
        <v>0</v>
      </c>
      <c r="K453" s="53">
        <f ca="1">K452-SUM($E450:K450)</f>
        <v>0</v>
      </c>
    </row>
    <row r="454" spans="1:13" outlineLevel="1" x14ac:dyDescent="0.2"/>
    <row r="455" spans="1:13" outlineLevel="1" x14ac:dyDescent="0.2">
      <c r="A455" s="35" t="str">
        <f ca="1">Language!A413</f>
        <v>Общая величина ранее осуществленных инвестиций</v>
      </c>
      <c r="C455" s="40"/>
    </row>
    <row r="456" spans="1:13" outlineLevel="1" collapsed="1" x14ac:dyDescent="0.2">
      <c r="A456" s="23" t="str">
        <f ca="1">Language!A414</f>
        <v>Незавершенные инвестиции в стартовом балансе</v>
      </c>
      <c r="B456" s="131">
        <f>SUM(B458:B461)</f>
        <v>0</v>
      </c>
      <c r="C456" s="40" t="str">
        <f t="shared" ref="C456:C470" ca="1" si="296">CUR_Main</f>
        <v>руб.</v>
      </c>
    </row>
    <row r="457" spans="1:13" hidden="1" outlineLevel="2" x14ac:dyDescent="0.2">
      <c r="A457" s="23" t="str">
        <f ca="1">Language!A415</f>
        <v xml:space="preserve">     НДС к ранее осуществленным инвестициям</v>
      </c>
      <c r="B457" s="131">
        <f>F56*IF(B$37=1,1,F$88)</f>
        <v>0</v>
      </c>
      <c r="C457" s="40" t="str">
        <f t="shared" ca="1" si="296"/>
        <v>руб.</v>
      </c>
    </row>
    <row r="458" spans="1:13" hidden="1" outlineLevel="2" x14ac:dyDescent="0.2">
      <c r="A458" s="23" t="str">
        <f ca="1">Language!A76</f>
        <v xml:space="preserve">   - здания и сооружения</v>
      </c>
      <c r="B458" s="131">
        <f>F46*IF(B$37=1,1,F$88)</f>
        <v>0</v>
      </c>
      <c r="C458" s="40" t="str">
        <f t="shared" ca="1" si="296"/>
        <v>руб.</v>
      </c>
    </row>
    <row r="459" spans="1:13" hidden="1" outlineLevel="2" x14ac:dyDescent="0.2">
      <c r="A459" s="23" t="str">
        <f ca="1">Language!A77</f>
        <v xml:space="preserve">   - земельные участки</v>
      </c>
      <c r="B459" s="131">
        <f>F45*IF(B$37=1,1,F$88)</f>
        <v>0</v>
      </c>
      <c r="C459" s="40" t="str">
        <f t="shared" ca="1" si="296"/>
        <v>руб.</v>
      </c>
    </row>
    <row r="460" spans="1:13" hidden="1" outlineLevel="2" x14ac:dyDescent="0.2">
      <c r="A460" s="23" t="str">
        <f ca="1">Language!A78</f>
        <v xml:space="preserve">   - нематериальные активы</v>
      </c>
      <c r="B460" s="131">
        <f>F47*IF(B$37=1,1,F$88)</f>
        <v>0</v>
      </c>
      <c r="C460" s="40" t="str">
        <f t="shared" ca="1" si="296"/>
        <v>руб.</v>
      </c>
    </row>
    <row r="461" spans="1:13" hidden="1" outlineLevel="2" x14ac:dyDescent="0.2">
      <c r="A461" s="23" t="str">
        <f ca="1">Language!A79</f>
        <v xml:space="preserve">   - оборудование и другие активы</v>
      </c>
      <c r="B461" s="131">
        <f>F48*IF(B$37=1,1,F$88)</f>
        <v>0</v>
      </c>
      <c r="C461" s="40" t="str">
        <f t="shared" ca="1" si="296"/>
        <v>руб.</v>
      </c>
    </row>
    <row r="462" spans="1:13" outlineLevel="1" collapsed="1" x14ac:dyDescent="0.2">
      <c r="A462" s="23" t="str">
        <f ca="1">Language!A417</f>
        <v>Незавершенные инвестиции по данным текущей таблицы</v>
      </c>
      <c r="B462" s="131">
        <f>SUM(B463:B466)</f>
        <v>0</v>
      </c>
      <c r="C462" s="40" t="str">
        <f t="shared" ca="1" si="296"/>
        <v>руб.</v>
      </c>
    </row>
    <row r="463" spans="1:13" hidden="1" outlineLevel="2" x14ac:dyDescent="0.2">
      <c r="A463" s="23" t="str">
        <f ca="1">Language!A76</f>
        <v xml:space="preserve">   - здания и сооружения</v>
      </c>
      <c r="B463" s="131">
        <f>SUMIF(D298:D341,"*1_20*",B298:B341)</f>
        <v>0</v>
      </c>
      <c r="C463" s="40" t="str">
        <f t="shared" ca="1" si="296"/>
        <v>руб.</v>
      </c>
    </row>
    <row r="464" spans="1:13" hidden="1" outlineLevel="2" x14ac:dyDescent="0.2">
      <c r="A464" s="23" t="str">
        <f ca="1">Language!A77</f>
        <v xml:space="preserve">   - земельные участки</v>
      </c>
      <c r="B464" s="131">
        <f>SUMIF(D283:D297,"*1_20*",B283:B297)</f>
        <v>0</v>
      </c>
      <c r="C464" s="40" t="str">
        <f t="shared" ca="1" si="296"/>
        <v>руб.</v>
      </c>
    </row>
    <row r="465" spans="1:13" hidden="1" outlineLevel="2" x14ac:dyDescent="0.2">
      <c r="A465" s="23" t="str">
        <f ca="1">Language!A78</f>
        <v xml:space="preserve">   - нематериальные активы</v>
      </c>
      <c r="B465" s="131">
        <f>SUMIF(D392:D414,"*1_20*",B392:B414)</f>
        <v>0</v>
      </c>
      <c r="C465" s="40" t="str">
        <f t="shared" ca="1" si="296"/>
        <v>руб.</v>
      </c>
    </row>
    <row r="466" spans="1:13" hidden="1" outlineLevel="2" x14ac:dyDescent="0.2">
      <c r="A466" s="23" t="str">
        <f ca="1">Language!A79</f>
        <v xml:space="preserve">   - оборудование и другие активы</v>
      </c>
      <c r="B466" s="131">
        <f>SUMIF(D342:D391,"*1_20*",B342:B391)</f>
        <v>0</v>
      </c>
      <c r="C466" s="40" t="str">
        <f t="shared" ca="1" si="296"/>
        <v>руб.</v>
      </c>
    </row>
    <row r="467" spans="1:13" hidden="1" outlineLevel="2" x14ac:dyDescent="0.2">
      <c r="A467" s="19" t="str">
        <f ca="1">Language!A415</f>
        <v xml:space="preserve">     НДС к ранее осуществленным инвестициям</v>
      </c>
      <c r="B467" s="25">
        <f>SUMIF(D283:D447,"*1_11*",B283:B447)</f>
        <v>0</v>
      </c>
      <c r="C467" s="40" t="str">
        <f t="shared" ca="1" si="296"/>
        <v>руб.</v>
      </c>
    </row>
    <row r="468" spans="1:13" outlineLevel="1" collapsed="1" x14ac:dyDescent="0.2">
      <c r="A468" s="19" t="str">
        <f ca="1">Language!A353</f>
        <v>Существующие активы</v>
      </c>
      <c r="B468" s="25">
        <f>E234+E240+E249+E258+E267+E273</f>
        <v>0</v>
      </c>
      <c r="C468" s="40" t="str">
        <f t="shared" ca="1" si="296"/>
        <v>руб.</v>
      </c>
    </row>
    <row r="469" spans="1:13" hidden="1" outlineLevel="2" x14ac:dyDescent="0.2">
      <c r="A469" s="19" t="str">
        <f ca="1">Language!A416</f>
        <v xml:space="preserve">     НДС к существующим активам</v>
      </c>
      <c r="B469" s="25">
        <f>IF(B468&gt;0,MAX(0,B457-B467),0)</f>
        <v>0</v>
      </c>
      <c r="C469" s="40" t="str">
        <f t="shared" ca="1" si="296"/>
        <v>руб.</v>
      </c>
    </row>
    <row r="470" spans="1:13" outlineLevel="1" collapsed="1" x14ac:dyDescent="0.2">
      <c r="A470" t="str">
        <f ca="1">Language!A418</f>
        <v>Учитывать при оценке эффективности в сумме</v>
      </c>
      <c r="B470" s="256">
        <f>IF(B456&gt;B462,B456+B457,B462+B467)+B468+B469</f>
        <v>0</v>
      </c>
      <c r="C470" s="40" t="str">
        <f t="shared" ca="1" si="296"/>
        <v>руб.</v>
      </c>
    </row>
    <row r="471" spans="1:13" s="48" customFormat="1" hidden="1" outlineLevel="2" x14ac:dyDescent="0.2">
      <c r="A471" s="48" t="str">
        <f ca="1">Language!A187</f>
        <v xml:space="preserve">         то же, в итоговой валюте</v>
      </c>
      <c r="B471" s="299"/>
      <c r="C471" s="88" t="str">
        <f ca="1">CUR_Report</f>
        <v>руб.</v>
      </c>
      <c r="F471" s="106">
        <f>$B470/IF(CUR_I_Report=2,F$88,1)</f>
        <v>0</v>
      </c>
      <c r="G471" s="106">
        <v>0</v>
      </c>
      <c r="H471" s="106">
        <v>0</v>
      </c>
      <c r="I471" s="106">
        <v>0</v>
      </c>
      <c r="J471" s="106">
        <v>0</v>
      </c>
      <c r="K471" s="106">
        <v>0</v>
      </c>
      <c r="M471" s="41"/>
    </row>
    <row r="472" spans="1:13" outlineLevel="1" x14ac:dyDescent="0.2"/>
    <row r="473" spans="1:13" s="35" customFormat="1" outlineLevel="1" collapsed="1" x14ac:dyDescent="0.2">
      <c r="A473" s="130" t="str">
        <f ca="1">Language!A419</f>
        <v xml:space="preserve"> = Итого: Земельные участки</v>
      </c>
      <c r="C473" s="40" t="str">
        <f t="shared" ref="C473:C518" ca="1" si="297">CUR_Main</f>
        <v>руб.</v>
      </c>
      <c r="F473" s="58">
        <f t="shared" ref="F473:J473" si="298">SUMIF($D283:$D297,"*1_00*",F283:F297)+SUMIF($D283:$D297,"*2_00*",F283:F297)*F$88</f>
        <v>0</v>
      </c>
      <c r="G473" s="58">
        <f t="shared" si="298"/>
        <v>0</v>
      </c>
      <c r="H473" s="58">
        <f t="shared" si="298"/>
        <v>0</v>
      </c>
      <c r="I473" s="58">
        <f t="shared" si="298"/>
        <v>0</v>
      </c>
      <c r="J473" s="58">
        <f t="shared" si="298"/>
        <v>0</v>
      </c>
      <c r="K473" s="58">
        <f t="shared" ref="K473" si="299">SUMIF($D283:$D297,"*1_00*",K283:K297)+SUMIF($D283:$D297,"*2_00*",K283:K297)*K$88</f>
        <v>0</v>
      </c>
      <c r="L473" s="58"/>
      <c r="M473" s="57">
        <f>SUM(F473:K473)</f>
        <v>0</v>
      </c>
    </row>
    <row r="474" spans="1:13" hidden="1" outlineLevel="2" x14ac:dyDescent="0.2">
      <c r="A474" s="48" t="str">
        <f ca="1">Language!A$385</f>
        <v xml:space="preserve">    сумма платежей без НДС</v>
      </c>
      <c r="C474" s="40" t="str">
        <f t="shared" ca="1" si="297"/>
        <v>руб.</v>
      </c>
      <c r="F474" s="43">
        <f t="shared" ref="F474:J474" si="300">SUMIF($D283:$D297,"*1_01*",F283:F297)</f>
        <v>0</v>
      </c>
      <c r="G474" s="43">
        <f t="shared" si="300"/>
        <v>0</v>
      </c>
      <c r="H474" s="43">
        <f t="shared" si="300"/>
        <v>0</v>
      </c>
      <c r="I474" s="43">
        <f t="shared" si="300"/>
        <v>0</v>
      </c>
      <c r="J474" s="43">
        <f t="shared" si="300"/>
        <v>0</v>
      </c>
      <c r="K474" s="43">
        <f t="shared" ref="K474" si="301">SUMIF($D283:$D297,"*1_01*",K283:K297)</f>
        <v>0</v>
      </c>
      <c r="L474" s="43"/>
      <c r="M474" s="54">
        <f>SUM(F474:K474)</f>
        <v>0</v>
      </c>
    </row>
    <row r="475" spans="1:13" hidden="1" outlineLevel="2" x14ac:dyDescent="0.2">
      <c r="A475" s="48" t="str">
        <f ca="1">Language!A$388</f>
        <v xml:space="preserve">    полная балансовая стоимость</v>
      </c>
      <c r="C475" s="40" t="str">
        <f t="shared" ca="1" si="297"/>
        <v>руб.</v>
      </c>
      <c r="D475" s="16" t="s">
        <v>384</v>
      </c>
      <c r="F475" s="43">
        <f t="shared" ref="F475:J475" ca="1" si="302">SUMIF($D283:$D297,"*1_06*",F283:F297)</f>
        <v>0</v>
      </c>
      <c r="G475" s="43">
        <f t="shared" ca="1" si="302"/>
        <v>0</v>
      </c>
      <c r="H475" s="43">
        <f t="shared" ca="1" si="302"/>
        <v>0</v>
      </c>
      <c r="I475" s="43">
        <f t="shared" ca="1" si="302"/>
        <v>0</v>
      </c>
      <c r="J475" s="43">
        <f t="shared" ca="1" si="302"/>
        <v>0</v>
      </c>
      <c r="K475" s="43">
        <f t="shared" ref="K475" ca="1" si="303">SUMIF($D283:$D297,"*1_06*",K283:K297)</f>
        <v>0</v>
      </c>
      <c r="L475" s="43"/>
      <c r="M475" s="54"/>
    </row>
    <row r="476" spans="1:13" hidden="1" outlineLevel="2" x14ac:dyDescent="0.2">
      <c r="A476" s="48" t="str">
        <f ca="1">Language!A$389</f>
        <v xml:space="preserve">    незавершенные инвестиции</v>
      </c>
      <c r="C476" s="40" t="str">
        <f t="shared" ca="1" si="297"/>
        <v>руб.</v>
      </c>
      <c r="D476" s="16" t="s">
        <v>384</v>
      </c>
      <c r="F476" s="43">
        <f t="shared" ref="F476:J476" ca="1" si="304">SUMIF($D283:$D297,"*1_07*",F283:F297)</f>
        <v>0</v>
      </c>
      <c r="G476" s="43">
        <f t="shared" ca="1" si="304"/>
        <v>0</v>
      </c>
      <c r="H476" s="43">
        <f t="shared" ca="1" si="304"/>
        <v>0</v>
      </c>
      <c r="I476" s="43">
        <f t="shared" ca="1" si="304"/>
        <v>0</v>
      </c>
      <c r="J476" s="43">
        <f t="shared" ca="1" si="304"/>
        <v>0</v>
      </c>
      <c r="K476" s="43">
        <f t="shared" ref="K476" ca="1" si="305">SUMIF($D283:$D297,"*1_07*",K283:K297)</f>
        <v>0</v>
      </c>
      <c r="L476" s="43"/>
      <c r="M476" s="54"/>
    </row>
    <row r="477" spans="1:13" hidden="1" outlineLevel="2" x14ac:dyDescent="0.2">
      <c r="A477" s="48" t="str">
        <f ca="1">Language!A$390</f>
        <v xml:space="preserve">    кредиторская задолженность</v>
      </c>
      <c r="C477" s="40" t="str">
        <f t="shared" ca="1" si="297"/>
        <v>руб.</v>
      </c>
      <c r="D477" s="16" t="s">
        <v>384</v>
      </c>
      <c r="F477" s="43">
        <f t="shared" ref="F477:J477" ca="1" si="306">SUMIF($D283:$D297,"*1_08*",F283:F297)</f>
        <v>0</v>
      </c>
      <c r="G477" s="43">
        <f t="shared" ca="1" si="306"/>
        <v>0</v>
      </c>
      <c r="H477" s="43">
        <f t="shared" ca="1" si="306"/>
        <v>0</v>
      </c>
      <c r="I477" s="43">
        <f t="shared" ca="1" si="306"/>
        <v>0</v>
      </c>
      <c r="J477" s="43">
        <f t="shared" ca="1" si="306"/>
        <v>0</v>
      </c>
      <c r="K477" s="43">
        <f t="shared" ref="K477" ca="1" si="307">SUMIF($D283:$D297,"*1_08*",K283:K297)</f>
        <v>0</v>
      </c>
      <c r="L477" s="43"/>
      <c r="M477" s="54"/>
    </row>
    <row r="478" spans="1:13" hidden="1" outlineLevel="2" x14ac:dyDescent="0.2">
      <c r="A478" s="48" t="str">
        <f ca="1">Language!A$391</f>
        <v xml:space="preserve">    остаточная стоимость</v>
      </c>
      <c r="C478" s="40" t="str">
        <f t="shared" ca="1" si="297"/>
        <v>руб.</v>
      </c>
      <c r="D478" s="16" t="s">
        <v>384</v>
      </c>
      <c r="F478" s="43">
        <f t="shared" ref="F478:J478" ca="1" si="308">SUMIF($D283:$D297,"*1_10*",F283:F297)</f>
        <v>0</v>
      </c>
      <c r="G478" s="43">
        <f t="shared" ca="1" si="308"/>
        <v>0</v>
      </c>
      <c r="H478" s="43">
        <f t="shared" ca="1" si="308"/>
        <v>0</v>
      </c>
      <c r="I478" s="43">
        <f t="shared" ca="1" si="308"/>
        <v>0</v>
      </c>
      <c r="J478" s="43">
        <f t="shared" ca="1" si="308"/>
        <v>0</v>
      </c>
      <c r="K478" s="43">
        <f t="shared" ref="K478" ca="1" si="309">SUMIF($D283:$D297,"*1_10*",K283:K297)</f>
        <v>0</v>
      </c>
      <c r="L478" s="43"/>
      <c r="M478" s="54"/>
    </row>
    <row r="479" spans="1:13" hidden="1" outlineLevel="2" x14ac:dyDescent="0.2">
      <c r="A479" s="48" t="str">
        <f ca="1">Language!A$361</f>
        <v xml:space="preserve">    реализация актива (без НДС)</v>
      </c>
      <c r="C479" s="40" t="str">
        <f t="shared" ca="1" si="297"/>
        <v>руб.</v>
      </c>
      <c r="F479" s="43">
        <f t="shared" ref="F479:J479" si="310">SUMIF($D283:$D297,"*1_13*",F283:F297)</f>
        <v>0</v>
      </c>
      <c r="G479" s="43">
        <f t="shared" si="310"/>
        <v>0</v>
      </c>
      <c r="H479" s="43">
        <f t="shared" si="310"/>
        <v>0</v>
      </c>
      <c r="I479" s="43">
        <f t="shared" si="310"/>
        <v>0</v>
      </c>
      <c r="J479" s="43">
        <f t="shared" si="310"/>
        <v>0</v>
      </c>
      <c r="K479" s="43">
        <f t="shared" ref="K479" si="311">SUMIF($D283:$D297,"*1_13*",K283:K297)</f>
        <v>0</v>
      </c>
      <c r="L479" s="43"/>
      <c r="M479" s="54">
        <f>SUM(F479:K479)</f>
        <v>0</v>
      </c>
    </row>
    <row r="480" spans="1:13" hidden="1" outlineLevel="2" x14ac:dyDescent="0.2">
      <c r="A480" s="48" t="str">
        <f ca="1">Language!A$362</f>
        <v xml:space="preserve">    прибыль/убыток от реализации актива</v>
      </c>
      <c r="C480" s="40" t="str">
        <f t="shared" ca="1" si="297"/>
        <v>руб.</v>
      </c>
      <c r="F480" s="43">
        <f t="shared" ref="F480:J480" si="312">SUMIF($D283:$D297,"*1_14*",F283:F297)</f>
        <v>0</v>
      </c>
      <c r="G480" s="43">
        <f t="shared" si="312"/>
        <v>0</v>
      </c>
      <c r="H480" s="43">
        <f t="shared" si="312"/>
        <v>0</v>
      </c>
      <c r="I480" s="43">
        <f t="shared" si="312"/>
        <v>0</v>
      </c>
      <c r="J480" s="43">
        <f t="shared" si="312"/>
        <v>0</v>
      </c>
      <c r="K480" s="43">
        <f t="shared" ref="K480" si="313">SUMIF($D283:$D297,"*1_14*",K283:K297)</f>
        <v>0</v>
      </c>
      <c r="L480" s="43"/>
      <c r="M480" s="54">
        <f>SUM(F480:K480)</f>
        <v>0</v>
      </c>
    </row>
    <row r="481" spans="1:13" s="35" customFormat="1" outlineLevel="1" collapsed="1" x14ac:dyDescent="0.2">
      <c r="A481" s="35" t="str">
        <f ca="1">Language!A420</f>
        <v xml:space="preserve"> = Итого: Здания и сооружения</v>
      </c>
      <c r="C481" s="40" t="str">
        <f t="shared" ca="1" si="297"/>
        <v>руб.</v>
      </c>
      <c r="F481" s="58">
        <f t="shared" ref="F481:J481" si="314">SUMIF($D298:$D341,"*1_00*",F298:F341)+SUMIF($D298:$D341,"*2_00*",F298:F341)*F$88</f>
        <v>40000</v>
      </c>
      <c r="G481" s="58">
        <f t="shared" si="314"/>
        <v>40000</v>
      </c>
      <c r="H481" s="58">
        <f t="shared" si="314"/>
        <v>50000</v>
      </c>
      <c r="I481" s="58">
        <f t="shared" si="314"/>
        <v>50000</v>
      </c>
      <c r="J481" s="58">
        <f t="shared" si="314"/>
        <v>50000</v>
      </c>
      <c r="K481" s="58">
        <f t="shared" ref="K481" si="315">SUMIF($D298:$D341,"*1_00*",K298:K341)+SUMIF($D298:$D341,"*2_00*",K298:K341)*K$88</f>
        <v>50000</v>
      </c>
      <c r="L481" s="58"/>
      <c r="M481" s="57">
        <f>SUM(F481:K481)</f>
        <v>280000</v>
      </c>
    </row>
    <row r="482" spans="1:13" hidden="1" outlineLevel="2" x14ac:dyDescent="0.2">
      <c r="A482" s="48" t="str">
        <f ca="1">Language!A$385</f>
        <v xml:space="preserve">    сумма платежей без НДС</v>
      </c>
      <c r="C482" s="40" t="str">
        <f t="shared" ca="1" si="297"/>
        <v>руб.</v>
      </c>
      <c r="F482" s="43">
        <f t="shared" ref="F482:J482" si="316">SUMIF($D298:$D341,"*1_01*",F298:F341)</f>
        <v>40000</v>
      </c>
      <c r="G482" s="43">
        <f t="shared" si="316"/>
        <v>40000</v>
      </c>
      <c r="H482" s="43">
        <f t="shared" si="316"/>
        <v>50000</v>
      </c>
      <c r="I482" s="43">
        <f t="shared" si="316"/>
        <v>50000</v>
      </c>
      <c r="J482" s="43">
        <f t="shared" si="316"/>
        <v>50000</v>
      </c>
      <c r="K482" s="43">
        <f t="shared" ref="K482" si="317">SUMIF($D298:$D341,"*1_01*",K298:K341)</f>
        <v>50000</v>
      </c>
      <c r="L482" s="43"/>
      <c r="M482" s="54">
        <f>SUM(F482:K482)</f>
        <v>280000</v>
      </c>
    </row>
    <row r="483" spans="1:13" hidden="1" outlineLevel="2" x14ac:dyDescent="0.2">
      <c r="A483" s="48" t="str">
        <f ca="1">Language!A$388</f>
        <v xml:space="preserve">    полная балансовая стоимость</v>
      </c>
      <c r="C483" s="40" t="str">
        <f t="shared" ca="1" si="297"/>
        <v>руб.</v>
      </c>
      <c r="D483" s="16" t="s">
        <v>384</v>
      </c>
      <c r="F483" s="43">
        <f t="shared" ref="F483:J483" ca="1" si="318">SUMIF($D298:$D341,"*1_06*",F298:F341)</f>
        <v>0</v>
      </c>
      <c r="G483" s="43">
        <f t="shared" ca="1" si="318"/>
        <v>0</v>
      </c>
      <c r="H483" s="43">
        <f t="shared" ca="1" si="318"/>
        <v>0</v>
      </c>
      <c r="I483" s="43">
        <f t="shared" ca="1" si="318"/>
        <v>0</v>
      </c>
      <c r="J483" s="43">
        <f t="shared" ca="1" si="318"/>
        <v>0</v>
      </c>
      <c r="K483" s="43">
        <f t="shared" ref="K483" ca="1" si="319">SUMIF($D298:$D341,"*1_06*",K298:K341)</f>
        <v>280000</v>
      </c>
      <c r="L483" s="43"/>
      <c r="M483" s="54"/>
    </row>
    <row r="484" spans="1:13" hidden="1" outlineLevel="2" x14ac:dyDescent="0.2">
      <c r="A484" s="48" t="str">
        <f ca="1">Language!A$389</f>
        <v xml:space="preserve">    незавершенные инвестиции</v>
      </c>
      <c r="C484" s="40" t="str">
        <f t="shared" ca="1" si="297"/>
        <v>руб.</v>
      </c>
      <c r="D484" s="16" t="s">
        <v>384</v>
      </c>
      <c r="F484" s="43">
        <f t="shared" ref="F484:J484" ca="1" si="320">SUMIF($D298:$D341,"*1_07*",F298:F341)</f>
        <v>40000</v>
      </c>
      <c r="G484" s="43">
        <f t="shared" ca="1" si="320"/>
        <v>80000</v>
      </c>
      <c r="H484" s="43">
        <f t="shared" ca="1" si="320"/>
        <v>130000</v>
      </c>
      <c r="I484" s="43">
        <f t="shared" ca="1" si="320"/>
        <v>180000</v>
      </c>
      <c r="J484" s="43">
        <f t="shared" ca="1" si="320"/>
        <v>230000</v>
      </c>
      <c r="K484" s="43">
        <f t="shared" ref="K484" ca="1" si="321">SUMIF($D298:$D341,"*1_07*",K298:K341)</f>
        <v>0</v>
      </c>
      <c r="L484" s="43"/>
      <c r="M484" s="54"/>
    </row>
    <row r="485" spans="1:13" hidden="1" outlineLevel="2" x14ac:dyDescent="0.2">
      <c r="A485" s="48" t="str">
        <f ca="1">Language!A$421</f>
        <v xml:space="preserve">    авансовая оплата</v>
      </c>
      <c r="C485" s="40" t="str">
        <f t="shared" ca="1" si="297"/>
        <v>руб.</v>
      </c>
      <c r="D485" s="16" t="s">
        <v>384</v>
      </c>
      <c r="F485" s="43">
        <f>0</f>
        <v>0</v>
      </c>
      <c r="G485" s="43">
        <f>0</f>
        <v>0</v>
      </c>
      <c r="H485" s="43">
        <f>0</f>
        <v>0</v>
      </c>
      <c r="I485" s="43">
        <f>0</f>
        <v>0</v>
      </c>
      <c r="J485" s="43">
        <f>0</f>
        <v>0</v>
      </c>
      <c r="K485" s="43">
        <f>0</f>
        <v>0</v>
      </c>
      <c r="L485" s="43"/>
      <c r="M485" s="54"/>
    </row>
    <row r="486" spans="1:13" hidden="1" outlineLevel="2" x14ac:dyDescent="0.2">
      <c r="A486" s="48" t="str">
        <f ca="1">Language!A$390</f>
        <v xml:space="preserve">    кредиторская задолженность</v>
      </c>
      <c r="C486" s="40" t="str">
        <f t="shared" ca="1" si="297"/>
        <v>руб.</v>
      </c>
      <c r="D486" s="16" t="s">
        <v>384</v>
      </c>
      <c r="F486" s="43">
        <f t="shared" ref="F486:J486" ca="1" si="322">SUMIF($D298:$D341,"*1_08*",F298:F341)</f>
        <v>0</v>
      </c>
      <c r="G486" s="43">
        <f t="shared" ca="1" si="322"/>
        <v>0</v>
      </c>
      <c r="H486" s="43">
        <f t="shared" ca="1" si="322"/>
        <v>0</v>
      </c>
      <c r="I486" s="43">
        <f t="shared" ca="1" si="322"/>
        <v>0</v>
      </c>
      <c r="J486" s="43">
        <f t="shared" ca="1" si="322"/>
        <v>0</v>
      </c>
      <c r="K486" s="43">
        <f t="shared" ref="K486" ca="1" si="323">SUMIF($D298:$D341,"*1_08*",K298:K341)</f>
        <v>0</v>
      </c>
      <c r="L486" s="43"/>
      <c r="M486" s="54"/>
    </row>
    <row r="487" spans="1:13" hidden="1" outlineLevel="2" x14ac:dyDescent="0.2">
      <c r="A487" s="48" t="str">
        <f ca="1">Language!A$422</f>
        <v xml:space="preserve">    амортизация</v>
      </c>
      <c r="C487" s="40" t="str">
        <f t="shared" ca="1" si="297"/>
        <v>руб.</v>
      </c>
      <c r="F487" s="43">
        <f t="shared" ref="F487:J487" ca="1" si="324">SUMIF($D298:$D341,"*1_02*",F298:F341)+SUMIF($D298:$D341,"*1_03*",F298:F341)</f>
        <v>0</v>
      </c>
      <c r="G487" s="43">
        <f t="shared" ca="1" si="324"/>
        <v>0</v>
      </c>
      <c r="H487" s="43">
        <f t="shared" ca="1" si="324"/>
        <v>0</v>
      </c>
      <c r="I487" s="43">
        <f t="shared" ca="1" si="324"/>
        <v>0</v>
      </c>
      <c r="J487" s="43">
        <f t="shared" ca="1" si="324"/>
        <v>0</v>
      </c>
      <c r="K487" s="43">
        <f t="shared" ref="K487" ca="1" si="325">SUMIF($D298:$D341,"*1_02*",K298:K341)+SUMIF($D298:$D341,"*1_03*",K298:K341)</f>
        <v>1166.6666666666667</v>
      </c>
      <c r="L487" s="43"/>
      <c r="M487" s="54">
        <f ca="1">SUM(F487:K487)</f>
        <v>1166.6666666666667</v>
      </c>
    </row>
    <row r="488" spans="1:13" hidden="1" outlineLevel="2" x14ac:dyDescent="0.2">
      <c r="A488" s="48" t="str">
        <f ca="1">Language!A$391</f>
        <v xml:space="preserve">    остаточная стоимость</v>
      </c>
      <c r="C488" s="40" t="str">
        <f t="shared" ca="1" si="297"/>
        <v>руб.</v>
      </c>
      <c r="D488" s="16" t="s">
        <v>384</v>
      </c>
      <c r="F488" s="43">
        <f t="shared" ref="F488:J488" ca="1" si="326">SUMIF($D298:$D341,"*1_10*",F298:F341)</f>
        <v>0</v>
      </c>
      <c r="G488" s="43">
        <f t="shared" ca="1" si="326"/>
        <v>0</v>
      </c>
      <c r="H488" s="43">
        <f t="shared" ca="1" si="326"/>
        <v>0</v>
      </c>
      <c r="I488" s="43">
        <f t="shared" ca="1" si="326"/>
        <v>0</v>
      </c>
      <c r="J488" s="43">
        <f t="shared" ca="1" si="326"/>
        <v>0</v>
      </c>
      <c r="K488" s="43">
        <f t="shared" ref="K488" ca="1" si="327">SUMIF($D298:$D341,"*1_10*",K298:K341)</f>
        <v>278833.33333333331</v>
      </c>
      <c r="L488" s="43"/>
      <c r="M488" s="54"/>
    </row>
    <row r="489" spans="1:13" hidden="1" outlineLevel="2" x14ac:dyDescent="0.2">
      <c r="A489" s="48" t="str">
        <f ca="1">Language!A$395</f>
        <v xml:space="preserve">    выплаченный НДС</v>
      </c>
      <c r="C489" s="40" t="str">
        <f t="shared" ca="1" si="297"/>
        <v>руб.</v>
      </c>
      <c r="F489" s="43">
        <f t="shared" ref="F489:J489" si="328">SUMIF($D298:$D341,"*1_04*",F298:F341)</f>
        <v>0</v>
      </c>
      <c r="G489" s="43">
        <f t="shared" si="328"/>
        <v>0</v>
      </c>
      <c r="H489" s="43">
        <f t="shared" si="328"/>
        <v>0</v>
      </c>
      <c r="I489" s="43">
        <f t="shared" si="328"/>
        <v>0</v>
      </c>
      <c r="J489" s="43">
        <f t="shared" si="328"/>
        <v>0</v>
      </c>
      <c r="K489" s="43">
        <f t="shared" ref="K489" si="329">SUMIF($D298:$D341,"*1_04*",K298:K341)</f>
        <v>0</v>
      </c>
      <c r="L489" s="43"/>
      <c r="M489" s="54">
        <f t="shared" ref="M489:M496" si="330">SUM(F489:K489)</f>
        <v>0</v>
      </c>
    </row>
    <row r="490" spans="1:13" hidden="1" outlineLevel="2" x14ac:dyDescent="0.2">
      <c r="A490" s="48" t="str">
        <f ca="1">Language!A$399</f>
        <v xml:space="preserve">    зачет НДС</v>
      </c>
      <c r="C490" s="40" t="str">
        <f t="shared" ca="1" si="297"/>
        <v>руб.</v>
      </c>
      <c r="F490" s="43">
        <f t="shared" ref="F490:J490" ca="1" si="331">SUMIF($D298:$D341,"*1_12*",F298:F341)</f>
        <v>0</v>
      </c>
      <c r="G490" s="43">
        <f t="shared" ca="1" si="331"/>
        <v>0</v>
      </c>
      <c r="H490" s="43">
        <f t="shared" ca="1" si="331"/>
        <v>0</v>
      </c>
      <c r="I490" s="43">
        <f t="shared" ca="1" si="331"/>
        <v>0</v>
      </c>
      <c r="J490" s="43">
        <f t="shared" ca="1" si="331"/>
        <v>0</v>
      </c>
      <c r="K490" s="43">
        <f t="shared" ref="K490" ca="1" si="332">SUMIF($D298:$D341,"*1_12*",K298:K341)</f>
        <v>0</v>
      </c>
      <c r="L490" s="43"/>
      <c r="M490" s="54">
        <f t="shared" ca="1" si="330"/>
        <v>0</v>
      </c>
    </row>
    <row r="491" spans="1:13" hidden="1" outlineLevel="2" x14ac:dyDescent="0.2">
      <c r="A491" s="48" t="str">
        <f ca="1">Language!A$361</f>
        <v xml:space="preserve">    реализация актива (без НДС)</v>
      </c>
      <c r="C491" s="40" t="str">
        <f t="shared" ca="1" si="297"/>
        <v>руб.</v>
      </c>
      <c r="F491" s="43">
        <f t="shared" ref="F491:J491" si="333">SUMIF($D298:$D341,"*1_13*",F298:F341)</f>
        <v>0</v>
      </c>
      <c r="G491" s="43">
        <f t="shared" si="333"/>
        <v>0</v>
      </c>
      <c r="H491" s="43">
        <f t="shared" si="333"/>
        <v>0</v>
      </c>
      <c r="I491" s="43">
        <f t="shared" si="333"/>
        <v>0</v>
      </c>
      <c r="J491" s="43">
        <f t="shared" si="333"/>
        <v>0</v>
      </c>
      <c r="K491" s="43">
        <f t="shared" ref="K491" si="334">SUMIF($D298:$D341,"*1_13*",K298:K341)</f>
        <v>0</v>
      </c>
      <c r="L491" s="43"/>
      <c r="M491" s="54">
        <f t="shared" si="330"/>
        <v>0</v>
      </c>
    </row>
    <row r="492" spans="1:13" hidden="1" outlineLevel="2" x14ac:dyDescent="0.2">
      <c r="A492" s="48" t="str">
        <f ca="1">Language!A$362</f>
        <v xml:space="preserve">    прибыль/убыток от реализации актива</v>
      </c>
      <c r="C492" s="40" t="str">
        <f t="shared" ca="1" si="297"/>
        <v>руб.</v>
      </c>
      <c r="F492" s="43">
        <f t="shared" ref="F492:J492" si="335">SUMIF($D298:$D341,"*1_14*",F298:F341)</f>
        <v>0</v>
      </c>
      <c r="G492" s="43">
        <f t="shared" si="335"/>
        <v>0</v>
      </c>
      <c r="H492" s="43">
        <f t="shared" si="335"/>
        <v>0</v>
      </c>
      <c r="I492" s="43">
        <f t="shared" si="335"/>
        <v>0</v>
      </c>
      <c r="J492" s="43">
        <f t="shared" si="335"/>
        <v>0</v>
      </c>
      <c r="K492" s="43">
        <f t="shared" ref="K492" si="336">SUMIF($D298:$D341,"*1_14*",K298:K341)</f>
        <v>0</v>
      </c>
      <c r="L492" s="43"/>
      <c r="M492" s="54">
        <f t="shared" si="330"/>
        <v>0</v>
      </c>
    </row>
    <row r="493" spans="1:13" hidden="1" outlineLevel="2" x14ac:dyDescent="0.2">
      <c r="A493" s="48" t="str">
        <f ca="1">Language!A$423</f>
        <v xml:space="preserve">    прибыль/убыток от строительной деятельности</v>
      </c>
      <c r="C493" s="40" t="str">
        <f t="shared" ca="1" si="297"/>
        <v>руб.</v>
      </c>
      <c r="F493" s="43">
        <f>0</f>
        <v>0</v>
      </c>
      <c r="G493" s="43">
        <f>0</f>
        <v>0</v>
      </c>
      <c r="H493" s="43">
        <f>0</f>
        <v>0</v>
      </c>
      <c r="I493" s="43">
        <f>0</f>
        <v>0</v>
      </c>
      <c r="J493" s="43">
        <f>0</f>
        <v>0</v>
      </c>
      <c r="K493" s="43">
        <f>0</f>
        <v>0</v>
      </c>
      <c r="L493" s="43"/>
      <c r="M493" s="54">
        <f t="shared" si="330"/>
        <v>0</v>
      </c>
    </row>
    <row r="494" spans="1:13" hidden="1" outlineLevel="2" x14ac:dyDescent="0.2">
      <c r="A494" t="str">
        <f ca="1">Language!A$400</f>
        <v xml:space="preserve">    НДС к выручке от реализации актива</v>
      </c>
      <c r="C494" s="40" t="str">
        <f t="shared" ca="1" si="297"/>
        <v>руб.</v>
      </c>
      <c r="F494" s="43">
        <f t="shared" ref="F494:J494" si="337">SUMIF($D298:$D341,"*1_15*",F298:F341)</f>
        <v>0</v>
      </c>
      <c r="G494" s="43">
        <f t="shared" si="337"/>
        <v>0</v>
      </c>
      <c r="H494" s="43">
        <f t="shared" si="337"/>
        <v>0</v>
      </c>
      <c r="I494" s="43">
        <f t="shared" si="337"/>
        <v>0</v>
      </c>
      <c r="J494" s="43">
        <f t="shared" si="337"/>
        <v>0</v>
      </c>
      <c r="K494" s="43">
        <f t="shared" ref="K494" si="338">SUMIF($D298:$D341,"*1_15*",K298:K341)</f>
        <v>0</v>
      </c>
      <c r="L494" s="43"/>
      <c r="M494" s="54">
        <f t="shared" si="330"/>
        <v>0</v>
      </c>
    </row>
    <row r="495" spans="1:13" s="35" customFormat="1" outlineLevel="1" collapsed="1" x14ac:dyDescent="0.2">
      <c r="A495" s="35" t="str">
        <f ca="1">Language!A424</f>
        <v xml:space="preserve"> = Итого: Оборудование и другие активы</v>
      </c>
      <c r="C495" s="40" t="str">
        <f t="shared" ca="1" si="297"/>
        <v>руб.</v>
      </c>
      <c r="F495" s="58">
        <f t="shared" ref="F495:J495" si="339">F496+F502+F504</f>
        <v>500000</v>
      </c>
      <c r="G495" s="58">
        <f t="shared" si="339"/>
        <v>0</v>
      </c>
      <c r="H495" s="58">
        <f t="shared" si="339"/>
        <v>0</v>
      </c>
      <c r="I495" s="58">
        <f t="shared" si="339"/>
        <v>700000</v>
      </c>
      <c r="J495" s="58">
        <f t="shared" si="339"/>
        <v>0</v>
      </c>
      <c r="K495" s="58">
        <f t="shared" ref="K495" si="340">K496+K502+K504</f>
        <v>0</v>
      </c>
      <c r="L495" s="58"/>
      <c r="M495" s="57">
        <f t="shared" si="330"/>
        <v>1200000</v>
      </c>
    </row>
    <row r="496" spans="1:13" hidden="1" outlineLevel="2" x14ac:dyDescent="0.2">
      <c r="A496" s="48" t="str">
        <f ca="1">Language!A$385</f>
        <v xml:space="preserve">    сумма платежей без НДС</v>
      </c>
      <c r="C496" s="40" t="str">
        <f t="shared" ca="1" si="297"/>
        <v>руб.</v>
      </c>
      <c r="F496" s="43">
        <f t="shared" ref="F496:J496" si="341">SUMIF($D342:$D391,"*1_01*",F342:F391)</f>
        <v>500000</v>
      </c>
      <c r="G496" s="43">
        <f t="shared" si="341"/>
        <v>0</v>
      </c>
      <c r="H496" s="43">
        <f t="shared" si="341"/>
        <v>0</v>
      </c>
      <c r="I496" s="43">
        <f t="shared" si="341"/>
        <v>700000</v>
      </c>
      <c r="J496" s="43">
        <f t="shared" si="341"/>
        <v>0</v>
      </c>
      <c r="K496" s="43">
        <f t="shared" ref="K496" si="342">SUMIF($D342:$D391,"*1_01*",K342:K391)</f>
        <v>0</v>
      </c>
      <c r="L496" s="43"/>
      <c r="M496" s="54">
        <f t="shared" si="330"/>
        <v>1200000</v>
      </c>
    </row>
    <row r="497" spans="1:13" hidden="1" outlineLevel="2" x14ac:dyDescent="0.2">
      <c r="A497" s="48" t="str">
        <f ca="1">Language!A$388</f>
        <v xml:space="preserve">    полная балансовая стоимость</v>
      </c>
      <c r="C497" s="40" t="str">
        <f t="shared" ca="1" si="297"/>
        <v>руб.</v>
      </c>
      <c r="D497" s="16" t="s">
        <v>384</v>
      </c>
      <c r="F497" s="106">
        <f t="shared" ref="F497:J497" ca="1" si="343">SUMIF($D342:$D391,"*1_06*",F342:F391)+F452</f>
        <v>0</v>
      </c>
      <c r="G497" s="106">
        <f t="shared" ca="1" si="343"/>
        <v>0</v>
      </c>
      <c r="H497" s="106">
        <f t="shared" ca="1" si="343"/>
        <v>0</v>
      </c>
      <c r="I497" s="106">
        <f t="shared" ca="1" si="343"/>
        <v>1200000</v>
      </c>
      <c r="J497" s="106">
        <f t="shared" ca="1" si="343"/>
        <v>1200000</v>
      </c>
      <c r="K497" s="106">
        <f t="shared" ref="K497" ca="1" si="344">SUMIF($D342:$D391,"*1_06*",K342:K391)+K452</f>
        <v>1200000</v>
      </c>
      <c r="L497" s="43"/>
      <c r="M497" s="54"/>
    </row>
    <row r="498" spans="1:13" hidden="1" outlineLevel="2" x14ac:dyDescent="0.2">
      <c r="A498" s="48" t="str">
        <f ca="1">Language!A$389</f>
        <v xml:space="preserve">    незавершенные инвестиции</v>
      </c>
      <c r="C498" s="40" t="str">
        <f t="shared" ca="1" si="297"/>
        <v>руб.</v>
      </c>
      <c r="D498" s="16" t="s">
        <v>384</v>
      </c>
      <c r="F498" s="106">
        <f t="shared" ref="F498:J498" ca="1" si="345">SUMIF($D342:$D391,"*1_07*",F342:F391)+F451</f>
        <v>500000</v>
      </c>
      <c r="G498" s="106">
        <f t="shared" ca="1" si="345"/>
        <v>500000</v>
      </c>
      <c r="H498" s="106">
        <f t="shared" ca="1" si="345"/>
        <v>500000</v>
      </c>
      <c r="I498" s="106">
        <f t="shared" ca="1" si="345"/>
        <v>0</v>
      </c>
      <c r="J498" s="106">
        <f t="shared" ca="1" si="345"/>
        <v>0</v>
      </c>
      <c r="K498" s="106">
        <f t="shared" ref="K498" ca="1" si="346">SUMIF($D342:$D391,"*1_07*",K342:K391)+K451</f>
        <v>0</v>
      </c>
      <c r="L498" s="43"/>
      <c r="M498" s="54"/>
    </row>
    <row r="499" spans="1:13" hidden="1" outlineLevel="2" x14ac:dyDescent="0.2">
      <c r="A499" s="48" t="str">
        <f ca="1">Language!A$390</f>
        <v xml:space="preserve">    кредиторская задолженность</v>
      </c>
      <c r="C499" s="40" t="str">
        <f t="shared" ca="1" si="297"/>
        <v>руб.</v>
      </c>
      <c r="D499" s="16" t="s">
        <v>384</v>
      </c>
      <c r="F499" s="43">
        <f t="shared" ref="F499:J499" ca="1" si="347">SUMIF($D342:$D391,"*1_08*",F342:F391)</f>
        <v>0</v>
      </c>
      <c r="G499" s="43">
        <f t="shared" ca="1" si="347"/>
        <v>0</v>
      </c>
      <c r="H499" s="43">
        <f t="shared" ca="1" si="347"/>
        <v>0</v>
      </c>
      <c r="I499" s="43">
        <f t="shared" ca="1" si="347"/>
        <v>0</v>
      </c>
      <c r="J499" s="43">
        <f t="shared" ca="1" si="347"/>
        <v>0</v>
      </c>
      <c r="K499" s="43">
        <f t="shared" ref="K499" ca="1" si="348">SUMIF($D342:$D391,"*1_08*",K342:K391)</f>
        <v>0</v>
      </c>
      <c r="L499" s="43"/>
      <c r="M499" s="54"/>
    </row>
    <row r="500" spans="1:13" hidden="1" outlineLevel="2" x14ac:dyDescent="0.2">
      <c r="A500" s="48" t="str">
        <f ca="1">Language!A$422</f>
        <v xml:space="preserve">    амортизация</v>
      </c>
      <c r="C500" s="40" t="str">
        <f t="shared" ca="1" si="297"/>
        <v>руб.</v>
      </c>
      <c r="F500" s="106">
        <f t="shared" ref="F500:J500" ca="1" si="349">SUMIF($D342:$D391,"*1_02*",F342:F391)+SUMIF($D342:$D391,"*1_03*",F342:F391)+F450</f>
        <v>0</v>
      </c>
      <c r="G500" s="106">
        <f t="shared" ca="1" si="349"/>
        <v>0</v>
      </c>
      <c r="H500" s="106">
        <f t="shared" ca="1" si="349"/>
        <v>0</v>
      </c>
      <c r="I500" s="106">
        <f t="shared" ca="1" si="349"/>
        <v>20000</v>
      </c>
      <c r="J500" s="106">
        <f t="shared" ca="1" si="349"/>
        <v>20000</v>
      </c>
      <c r="K500" s="106">
        <f t="shared" ref="K500" ca="1" si="350">SUMIF($D342:$D391,"*1_02*",K342:K391)+SUMIF($D342:$D391,"*1_03*",K342:K391)+K450</f>
        <v>20000</v>
      </c>
      <c r="L500" s="43"/>
      <c r="M500" s="54">
        <f ca="1">SUM(F500:K500)</f>
        <v>60000</v>
      </c>
    </row>
    <row r="501" spans="1:13" hidden="1" outlineLevel="2" x14ac:dyDescent="0.2">
      <c r="A501" s="48" t="str">
        <f ca="1">Language!A$391</f>
        <v xml:space="preserve">    остаточная стоимость</v>
      </c>
      <c r="C501" s="40" t="str">
        <f t="shared" ca="1" si="297"/>
        <v>руб.</v>
      </c>
      <c r="D501" s="16" t="s">
        <v>384</v>
      </c>
      <c r="F501" s="106">
        <f t="shared" ref="F501:J501" ca="1" si="351">SUMIF($D342:$D391,"*1_10*",F342:F391)+F453</f>
        <v>0</v>
      </c>
      <c r="G501" s="106">
        <f t="shared" ca="1" si="351"/>
        <v>0</v>
      </c>
      <c r="H501" s="106">
        <f t="shared" ca="1" si="351"/>
        <v>0</v>
      </c>
      <c r="I501" s="106">
        <f t="shared" ca="1" si="351"/>
        <v>1180000</v>
      </c>
      <c r="J501" s="106">
        <f t="shared" ca="1" si="351"/>
        <v>1160000</v>
      </c>
      <c r="K501" s="106">
        <f t="shared" ref="K501" ca="1" si="352">SUMIF($D342:$D391,"*1_10*",K342:K391)+K453</f>
        <v>1140000</v>
      </c>
      <c r="L501" s="43"/>
      <c r="M501" s="54"/>
    </row>
    <row r="502" spans="1:13" hidden="1" outlineLevel="2" x14ac:dyDescent="0.2">
      <c r="A502" s="48" t="str">
        <f ca="1">Language!A$395</f>
        <v xml:space="preserve">    выплаченный НДС</v>
      </c>
      <c r="C502" s="40" t="str">
        <f t="shared" ca="1" si="297"/>
        <v>руб.</v>
      </c>
      <c r="F502" s="43">
        <f t="shared" ref="F502:J502" si="353">SUMIF($D342:$D391,"*1_04*",F342:F391)</f>
        <v>0</v>
      </c>
      <c r="G502" s="43">
        <f t="shared" si="353"/>
        <v>0</v>
      </c>
      <c r="H502" s="43">
        <f t="shared" si="353"/>
        <v>0</v>
      </c>
      <c r="I502" s="43">
        <f t="shared" si="353"/>
        <v>0</v>
      </c>
      <c r="J502" s="43">
        <f t="shared" si="353"/>
        <v>0</v>
      </c>
      <c r="K502" s="43">
        <f t="shared" ref="K502" si="354">SUMIF($D342:$D391,"*1_04*",K342:K391)</f>
        <v>0</v>
      </c>
      <c r="L502" s="43"/>
      <c r="M502" s="54">
        <f t="shared" ref="M502:M509" si="355">SUM(F502:K502)</f>
        <v>0</v>
      </c>
    </row>
    <row r="503" spans="1:13" hidden="1" outlineLevel="2" x14ac:dyDescent="0.2">
      <c r="A503" s="48" t="str">
        <f ca="1">Language!A$399</f>
        <v xml:space="preserve">    зачет НДС</v>
      </c>
      <c r="C503" s="40" t="str">
        <f t="shared" ca="1" si="297"/>
        <v>руб.</v>
      </c>
      <c r="F503" s="43">
        <f t="shared" ref="F503:J503" ca="1" si="356">SUMIF($D342:$D391,"*1_12*",F342:F391)</f>
        <v>0</v>
      </c>
      <c r="G503" s="43">
        <f t="shared" ca="1" si="356"/>
        <v>0</v>
      </c>
      <c r="H503" s="43">
        <f t="shared" ca="1" si="356"/>
        <v>0</v>
      </c>
      <c r="I503" s="43">
        <f t="shared" ca="1" si="356"/>
        <v>0</v>
      </c>
      <c r="J503" s="43">
        <f t="shared" ca="1" si="356"/>
        <v>0</v>
      </c>
      <c r="K503" s="43">
        <f t="shared" ref="K503" ca="1" si="357">SUMIF($D342:$D391,"*1_12*",K342:K391)</f>
        <v>0</v>
      </c>
      <c r="L503" s="43"/>
      <c r="M503" s="54">
        <f t="shared" ca="1" si="355"/>
        <v>0</v>
      </c>
    </row>
    <row r="504" spans="1:13" hidden="1" outlineLevel="2" x14ac:dyDescent="0.2">
      <c r="A504" s="74" t="str">
        <f ca="1">Language!A$404</f>
        <v xml:space="preserve">    импортная пошлина</v>
      </c>
      <c r="C504" s="40" t="str">
        <f t="shared" ca="1" si="297"/>
        <v>руб.</v>
      </c>
      <c r="F504" s="43">
        <f t="shared" ref="F504:J504" si="358">SUMIF($D342:$D391,"*1_18*",F342:F391)</f>
        <v>0</v>
      </c>
      <c r="G504" s="43">
        <f t="shared" si="358"/>
        <v>0</v>
      </c>
      <c r="H504" s="43">
        <f t="shared" si="358"/>
        <v>0</v>
      </c>
      <c r="I504" s="43">
        <f t="shared" si="358"/>
        <v>0</v>
      </c>
      <c r="J504" s="43">
        <f t="shared" si="358"/>
        <v>0</v>
      </c>
      <c r="K504" s="43">
        <f t="shared" ref="K504" si="359">SUMIF($D342:$D391,"*1_18*",K342:K391)</f>
        <v>0</v>
      </c>
      <c r="L504" s="43"/>
      <c r="M504" s="54">
        <f t="shared" si="355"/>
        <v>0</v>
      </c>
    </row>
    <row r="505" spans="1:13" hidden="1" outlineLevel="2" x14ac:dyDescent="0.2">
      <c r="A505" s="19" t="str">
        <f ca="1">Language!A$361</f>
        <v xml:space="preserve">    реализация актива (без НДС)</v>
      </c>
      <c r="C505" s="40" t="str">
        <f t="shared" ca="1" si="297"/>
        <v>руб.</v>
      </c>
      <c r="F505" s="43">
        <f t="shared" ref="F505:J505" si="360">SUMIF($D342:$D391,"*1_13*",F342:F391)</f>
        <v>0</v>
      </c>
      <c r="G505" s="43">
        <f t="shared" si="360"/>
        <v>0</v>
      </c>
      <c r="H505" s="43">
        <f t="shared" si="360"/>
        <v>0</v>
      </c>
      <c r="I505" s="43">
        <f t="shared" si="360"/>
        <v>0</v>
      </c>
      <c r="J505" s="43">
        <f t="shared" si="360"/>
        <v>0</v>
      </c>
      <c r="K505" s="43">
        <f t="shared" ref="K505" si="361">SUMIF($D342:$D391,"*1_13*",K342:K391)</f>
        <v>0</v>
      </c>
      <c r="L505" s="43"/>
      <c r="M505" s="54">
        <f t="shared" si="355"/>
        <v>0</v>
      </c>
    </row>
    <row r="506" spans="1:13" hidden="1" outlineLevel="2" x14ac:dyDescent="0.2">
      <c r="A506" s="19" t="str">
        <f ca="1">Language!A$362</f>
        <v xml:space="preserve">    прибыль/убыток от реализации актива</v>
      </c>
      <c r="C506" s="40" t="str">
        <f t="shared" ca="1" si="297"/>
        <v>руб.</v>
      </c>
      <c r="F506" s="43">
        <f t="shared" ref="F506:J506" si="362">SUMIF($D342:$D391,"*1_14*",F342:F391)</f>
        <v>0</v>
      </c>
      <c r="G506" s="43">
        <f t="shared" si="362"/>
        <v>0</v>
      </c>
      <c r="H506" s="43">
        <f t="shared" si="362"/>
        <v>0</v>
      </c>
      <c r="I506" s="43">
        <f t="shared" si="362"/>
        <v>0</v>
      </c>
      <c r="J506" s="43">
        <f t="shared" si="362"/>
        <v>0</v>
      </c>
      <c r="K506" s="43">
        <f t="shared" ref="K506" si="363">SUMIF($D342:$D391,"*1_14*",K342:K391)</f>
        <v>0</v>
      </c>
      <c r="L506" s="43"/>
      <c r="M506" s="54">
        <f t="shared" si="355"/>
        <v>0</v>
      </c>
    </row>
    <row r="507" spans="1:13" hidden="1" outlineLevel="2" x14ac:dyDescent="0.2">
      <c r="A507" t="str">
        <f ca="1">Language!A$400</f>
        <v xml:space="preserve">    НДС к выручке от реализации актива</v>
      </c>
      <c r="C507" s="40" t="str">
        <f t="shared" ca="1" si="297"/>
        <v>руб.</v>
      </c>
      <c r="F507" s="43">
        <f t="shared" ref="F507:J507" si="364">SUMIF($D342:$D391,"*1_15*",F342:F391)</f>
        <v>0</v>
      </c>
      <c r="G507" s="43">
        <f t="shared" si="364"/>
        <v>0</v>
      </c>
      <c r="H507" s="43">
        <f t="shared" si="364"/>
        <v>0</v>
      </c>
      <c r="I507" s="43">
        <f t="shared" si="364"/>
        <v>0</v>
      </c>
      <c r="J507" s="43">
        <f t="shared" si="364"/>
        <v>0</v>
      </c>
      <c r="K507" s="43">
        <f t="shared" ref="K507" si="365">SUMIF($D342:$D391,"*1_15*",K342:K391)</f>
        <v>0</v>
      </c>
      <c r="L507" s="43"/>
      <c r="M507" s="54">
        <f t="shared" si="355"/>
        <v>0</v>
      </c>
    </row>
    <row r="508" spans="1:13" outlineLevel="1" collapsed="1" x14ac:dyDescent="0.2">
      <c r="A508" s="130" t="str">
        <f ca="1">Language!A425</f>
        <v xml:space="preserve"> = Итого: Нематериальные активы</v>
      </c>
      <c r="C508" s="40" t="str">
        <f t="shared" ca="1" si="297"/>
        <v>руб.</v>
      </c>
      <c r="F508" s="58">
        <f t="shared" ref="F508:J508" si="366">SUMIF($D392:$D414,"*1_00*",F392:F414)+SUMIF($D392:$D414,"*2_00*",F392:F414)*F$88</f>
        <v>0</v>
      </c>
      <c r="G508" s="58">
        <f t="shared" si="366"/>
        <v>0</v>
      </c>
      <c r="H508" s="58">
        <f t="shared" si="366"/>
        <v>0</v>
      </c>
      <c r="I508" s="58">
        <f t="shared" si="366"/>
        <v>0</v>
      </c>
      <c r="J508" s="58">
        <f t="shared" si="366"/>
        <v>0</v>
      </c>
      <c r="K508" s="58">
        <f t="shared" ref="K508" si="367">SUMIF($D392:$D414,"*1_00*",K392:K414)+SUMIF($D392:$D414,"*2_00*",K392:K414)*K$88</f>
        <v>0</v>
      </c>
      <c r="L508" s="43"/>
      <c r="M508" s="57">
        <f t="shared" si="355"/>
        <v>0</v>
      </c>
    </row>
    <row r="509" spans="1:13" hidden="1" outlineLevel="2" x14ac:dyDescent="0.2">
      <c r="A509" s="48" t="str">
        <f ca="1">Language!A$385</f>
        <v xml:space="preserve">    сумма платежей без НДС</v>
      </c>
      <c r="C509" s="40" t="str">
        <f t="shared" ca="1" si="297"/>
        <v>руб.</v>
      </c>
      <c r="F509" s="43">
        <f t="shared" ref="F509:J509" si="368">SUMIF($D392:$D414,"*1_01*",F392:F414)</f>
        <v>0</v>
      </c>
      <c r="G509" s="43">
        <f t="shared" si="368"/>
        <v>0</v>
      </c>
      <c r="H509" s="43">
        <f t="shared" si="368"/>
        <v>0</v>
      </c>
      <c r="I509" s="43">
        <f t="shared" si="368"/>
        <v>0</v>
      </c>
      <c r="J509" s="43">
        <f t="shared" si="368"/>
        <v>0</v>
      </c>
      <c r="K509" s="43">
        <f t="shared" ref="K509" si="369">SUMIF($D392:$D414,"*1_01*",K392:K414)</f>
        <v>0</v>
      </c>
      <c r="L509" s="43"/>
      <c r="M509" s="54">
        <f t="shared" si="355"/>
        <v>0</v>
      </c>
    </row>
    <row r="510" spans="1:13" hidden="1" outlineLevel="2" x14ac:dyDescent="0.2">
      <c r="A510" s="48" t="str">
        <f ca="1">Language!A$388</f>
        <v xml:space="preserve">    полная балансовая стоимость</v>
      </c>
      <c r="C510" s="40" t="str">
        <f t="shared" ca="1" si="297"/>
        <v>руб.</v>
      </c>
      <c r="D510" s="16" t="s">
        <v>384</v>
      </c>
      <c r="F510" s="43">
        <f t="shared" ref="F510:J510" ca="1" si="370">SUMIF($D392:$D414,"*1_06*",F392:F414)</f>
        <v>0</v>
      </c>
      <c r="G510" s="43">
        <f t="shared" ca="1" si="370"/>
        <v>0</v>
      </c>
      <c r="H510" s="43">
        <f t="shared" ca="1" si="370"/>
        <v>0</v>
      </c>
      <c r="I510" s="43">
        <f t="shared" ca="1" si="370"/>
        <v>0</v>
      </c>
      <c r="J510" s="43">
        <f t="shared" ca="1" si="370"/>
        <v>0</v>
      </c>
      <c r="K510" s="43">
        <f t="shared" ref="K510" ca="1" si="371">SUMIF($D392:$D414,"*1_06*",K392:K414)</f>
        <v>0</v>
      </c>
      <c r="L510" s="43"/>
      <c r="M510" s="54"/>
    </row>
    <row r="511" spans="1:13" hidden="1" outlineLevel="2" x14ac:dyDescent="0.2">
      <c r="A511" s="48" t="str">
        <f ca="1">Language!A$389</f>
        <v xml:space="preserve">    незавершенные инвестиции</v>
      </c>
      <c r="C511" s="40" t="str">
        <f t="shared" ca="1" si="297"/>
        <v>руб.</v>
      </c>
      <c r="D511" s="16" t="s">
        <v>384</v>
      </c>
      <c r="F511" s="43">
        <f t="shared" ref="F511:J511" ca="1" si="372">SUMIF($D392:$D414,"*1_07*",F392:F414)</f>
        <v>0</v>
      </c>
      <c r="G511" s="43">
        <f t="shared" ca="1" si="372"/>
        <v>0</v>
      </c>
      <c r="H511" s="43">
        <f t="shared" ca="1" si="372"/>
        <v>0</v>
      </c>
      <c r="I511" s="43">
        <f t="shared" ca="1" si="372"/>
        <v>0</v>
      </c>
      <c r="J511" s="43">
        <f t="shared" ca="1" si="372"/>
        <v>0</v>
      </c>
      <c r="K511" s="43">
        <f t="shared" ref="K511" ca="1" si="373">SUMIF($D392:$D414,"*1_07*",K392:K414)</f>
        <v>0</v>
      </c>
      <c r="L511" s="43"/>
      <c r="M511" s="54"/>
    </row>
    <row r="512" spans="1:13" hidden="1" outlineLevel="2" x14ac:dyDescent="0.2">
      <c r="A512" s="48" t="str">
        <f ca="1">Language!A$390</f>
        <v xml:space="preserve">    кредиторская задолженность</v>
      </c>
      <c r="C512" s="40" t="str">
        <f t="shared" ca="1" si="297"/>
        <v>руб.</v>
      </c>
      <c r="D512" s="16" t="s">
        <v>384</v>
      </c>
      <c r="F512" s="43">
        <f t="shared" ref="F512:J512" ca="1" si="374">SUMIF($D392:$D414,"*1_08*",F392:F414)</f>
        <v>0</v>
      </c>
      <c r="G512" s="43">
        <f t="shared" ca="1" si="374"/>
        <v>0</v>
      </c>
      <c r="H512" s="43">
        <f t="shared" ca="1" si="374"/>
        <v>0</v>
      </c>
      <c r="I512" s="43">
        <f t="shared" ca="1" si="374"/>
        <v>0</v>
      </c>
      <c r="J512" s="43">
        <f t="shared" ca="1" si="374"/>
        <v>0</v>
      </c>
      <c r="K512" s="43">
        <f t="shared" ref="K512" ca="1" si="375">SUMIF($D392:$D414,"*1_08*",K392:K414)</f>
        <v>0</v>
      </c>
      <c r="L512" s="43"/>
      <c r="M512" s="54"/>
    </row>
    <row r="513" spans="1:13" hidden="1" outlineLevel="2" x14ac:dyDescent="0.2">
      <c r="A513" s="48" t="str">
        <f ca="1">Language!A$422</f>
        <v xml:space="preserve">    амортизация</v>
      </c>
      <c r="C513" s="40" t="str">
        <f t="shared" ca="1" si="297"/>
        <v>руб.</v>
      </c>
      <c r="F513" s="43">
        <f t="shared" ref="F513:J513" ca="1" si="376">SUMIF($D392:$D414,"*1_02*",F392:F414)+SUMIF($D392:$D414,"*1_03*",F392:F414)</f>
        <v>0</v>
      </c>
      <c r="G513" s="43">
        <f t="shared" ca="1" si="376"/>
        <v>0</v>
      </c>
      <c r="H513" s="43">
        <f t="shared" ca="1" si="376"/>
        <v>0</v>
      </c>
      <c r="I513" s="43">
        <f t="shared" ca="1" si="376"/>
        <v>0</v>
      </c>
      <c r="J513" s="43">
        <f t="shared" ca="1" si="376"/>
        <v>0</v>
      </c>
      <c r="K513" s="43">
        <f t="shared" ref="K513" ca="1" si="377">SUMIF($D392:$D414,"*1_02*",K392:K414)+SUMIF($D392:$D414,"*1_03*",K392:K414)</f>
        <v>0</v>
      </c>
      <c r="L513" s="43"/>
      <c r="M513" s="54">
        <f ca="1">SUM(F513:K513)</f>
        <v>0</v>
      </c>
    </row>
    <row r="514" spans="1:13" hidden="1" outlineLevel="2" x14ac:dyDescent="0.2">
      <c r="A514" s="48" t="str">
        <f ca="1">Language!A$391</f>
        <v xml:space="preserve">    остаточная стоимость</v>
      </c>
      <c r="C514" s="40" t="str">
        <f t="shared" ca="1" si="297"/>
        <v>руб.</v>
      </c>
      <c r="D514" s="16" t="s">
        <v>384</v>
      </c>
      <c r="F514" s="43">
        <f t="shared" ref="F514:J514" ca="1" si="378">SUMIF($D392:$D414,"*1_10*",F392:F414)</f>
        <v>0</v>
      </c>
      <c r="G514" s="43">
        <f t="shared" ca="1" si="378"/>
        <v>0</v>
      </c>
      <c r="H514" s="43">
        <f t="shared" ca="1" si="378"/>
        <v>0</v>
      </c>
      <c r="I514" s="43">
        <f t="shared" ca="1" si="378"/>
        <v>0</v>
      </c>
      <c r="J514" s="43">
        <f t="shared" ca="1" si="378"/>
        <v>0</v>
      </c>
      <c r="K514" s="43">
        <f t="shared" ref="K514" ca="1" si="379">SUMIF($D392:$D414,"*1_10*",K392:K414)</f>
        <v>0</v>
      </c>
      <c r="L514" s="43"/>
      <c r="M514" s="54"/>
    </row>
    <row r="515" spans="1:13" hidden="1" outlineLevel="2" x14ac:dyDescent="0.2">
      <c r="A515" s="48" t="str">
        <f ca="1">Language!A$395</f>
        <v xml:space="preserve">    выплаченный НДС</v>
      </c>
      <c r="C515" s="40" t="str">
        <f t="shared" ca="1" si="297"/>
        <v>руб.</v>
      </c>
      <c r="F515" s="43">
        <f t="shared" ref="F515:J515" si="380">SUMIF($D392:$D414,"*1_04*",F392:F414)</f>
        <v>0</v>
      </c>
      <c r="G515" s="43">
        <f t="shared" si="380"/>
        <v>0</v>
      </c>
      <c r="H515" s="43">
        <f t="shared" si="380"/>
        <v>0</v>
      </c>
      <c r="I515" s="43">
        <f t="shared" si="380"/>
        <v>0</v>
      </c>
      <c r="J515" s="43">
        <f t="shared" si="380"/>
        <v>0</v>
      </c>
      <c r="K515" s="43">
        <f t="shared" ref="K515" si="381">SUMIF($D392:$D414,"*1_04*",K392:K414)</f>
        <v>0</v>
      </c>
      <c r="L515" s="43"/>
      <c r="M515" s="54">
        <f t="shared" ref="M515:M521" si="382">SUM(F515:K515)</f>
        <v>0</v>
      </c>
    </row>
    <row r="516" spans="1:13" hidden="1" outlineLevel="2" x14ac:dyDescent="0.2">
      <c r="A516" s="48" t="str">
        <f ca="1">Language!A$399</f>
        <v xml:space="preserve">    зачет НДС</v>
      </c>
      <c r="C516" s="40" t="str">
        <f t="shared" ca="1" si="297"/>
        <v>руб.</v>
      </c>
      <c r="F516" s="43">
        <f t="shared" ref="F516:J516" ca="1" si="383">SUMIF($D392:$D414,"*1_12*",F392:F414)</f>
        <v>0</v>
      </c>
      <c r="G516" s="43">
        <f t="shared" ca="1" si="383"/>
        <v>0</v>
      </c>
      <c r="H516" s="43">
        <f t="shared" ca="1" si="383"/>
        <v>0</v>
      </c>
      <c r="I516" s="43">
        <f t="shared" ca="1" si="383"/>
        <v>0</v>
      </c>
      <c r="J516" s="43">
        <f t="shared" ca="1" si="383"/>
        <v>0</v>
      </c>
      <c r="K516" s="43">
        <f t="shared" ref="K516" ca="1" si="384">SUMIF($D392:$D414,"*1_12*",K392:K414)</f>
        <v>0</v>
      </c>
      <c r="L516" s="43"/>
      <c r="M516" s="54">
        <f t="shared" ca="1" si="382"/>
        <v>0</v>
      </c>
    </row>
    <row r="517" spans="1:13" hidden="1" outlineLevel="2" x14ac:dyDescent="0.2">
      <c r="A517" s="19" t="str">
        <f ca="1">Language!A$361</f>
        <v xml:space="preserve">    реализация актива (без НДС)</v>
      </c>
      <c r="C517" s="40" t="str">
        <f t="shared" ca="1" si="297"/>
        <v>руб.</v>
      </c>
      <c r="F517" s="43">
        <f t="shared" ref="F517:J517" si="385">SUMIF($D392:$D414,"*1_13*",F392:F414)</f>
        <v>0</v>
      </c>
      <c r="G517" s="43">
        <f t="shared" si="385"/>
        <v>0</v>
      </c>
      <c r="H517" s="43">
        <f t="shared" si="385"/>
        <v>0</v>
      </c>
      <c r="I517" s="43">
        <f t="shared" si="385"/>
        <v>0</v>
      </c>
      <c r="J517" s="43">
        <f t="shared" si="385"/>
        <v>0</v>
      </c>
      <c r="K517" s="43">
        <f t="shared" ref="K517" si="386">SUMIF($D392:$D414,"*1_13*",K392:K414)</f>
        <v>0</v>
      </c>
      <c r="L517" s="43"/>
      <c r="M517" s="54">
        <f t="shared" si="382"/>
        <v>0</v>
      </c>
    </row>
    <row r="518" spans="1:13" hidden="1" outlineLevel="2" x14ac:dyDescent="0.2">
      <c r="A518" s="19" t="str">
        <f ca="1">Language!A$362</f>
        <v xml:space="preserve">    прибыль/убыток от реализации актива</v>
      </c>
      <c r="C518" s="40" t="str">
        <f t="shared" ca="1" si="297"/>
        <v>руб.</v>
      </c>
      <c r="F518" s="43">
        <f t="shared" ref="F518:J518" si="387">SUMIF($D392:$D414,"*1_14*",F392:F414)</f>
        <v>0</v>
      </c>
      <c r="G518" s="43">
        <f t="shared" si="387"/>
        <v>0</v>
      </c>
      <c r="H518" s="43">
        <f t="shared" si="387"/>
        <v>0</v>
      </c>
      <c r="I518" s="43">
        <f t="shared" si="387"/>
        <v>0</v>
      </c>
      <c r="J518" s="43">
        <f t="shared" si="387"/>
        <v>0</v>
      </c>
      <c r="K518" s="43">
        <f t="shared" ref="K518" si="388">SUMIF($D392:$D414,"*1_14*",K392:K414)</f>
        <v>0</v>
      </c>
      <c r="L518" s="43"/>
      <c r="M518" s="54">
        <f t="shared" si="382"/>
        <v>0</v>
      </c>
    </row>
    <row r="519" spans="1:13" hidden="1" outlineLevel="2" x14ac:dyDescent="0.2">
      <c r="A519" t="str">
        <f ca="1">Language!A$400</f>
        <v xml:space="preserve">    НДС к выручке от реализации актива</v>
      </c>
      <c r="C519" s="40" t="str">
        <f t="shared" ref="C519:C536" ca="1" si="389">CUR_Main</f>
        <v>руб.</v>
      </c>
      <c r="F519" s="43">
        <f t="shared" ref="F519:J519" si="390">SUMIF($D392:$D414,"*1_15*",F392:F414)</f>
        <v>0</v>
      </c>
      <c r="G519" s="43">
        <f t="shared" si="390"/>
        <v>0</v>
      </c>
      <c r="H519" s="43">
        <f t="shared" si="390"/>
        <v>0</v>
      </c>
      <c r="I519" s="43">
        <f t="shared" si="390"/>
        <v>0</v>
      </c>
      <c r="J519" s="43">
        <f t="shared" si="390"/>
        <v>0</v>
      </c>
      <c r="K519" s="43">
        <f t="shared" ref="K519" si="391">SUMIF($D392:$D414,"*1_15*",K392:K414)</f>
        <v>0</v>
      </c>
      <c r="L519" s="43"/>
      <c r="M519" s="54">
        <f t="shared" si="382"/>
        <v>0</v>
      </c>
    </row>
    <row r="520" spans="1:13" s="35" customFormat="1" outlineLevel="1" collapsed="1" x14ac:dyDescent="0.2">
      <c r="A520" s="35" t="str">
        <f ca="1">Language!A426</f>
        <v xml:space="preserve"> = Итого: Финансовые вложения</v>
      </c>
      <c r="C520" s="40" t="str">
        <f t="shared" ca="1" si="389"/>
        <v>руб.</v>
      </c>
      <c r="F520" s="405">
        <f t="shared" ref="F520:J520" si="392">SUMIF($D415:$D431,"*1_00*",F415:F431)+SUMIF($D415:$D431,"*2_00*",F415:F431)*F$88</f>
        <v>0</v>
      </c>
      <c r="G520" s="58">
        <f t="shared" si="392"/>
        <v>0</v>
      </c>
      <c r="H520" s="58">
        <f t="shared" si="392"/>
        <v>0</v>
      </c>
      <c r="I520" s="58">
        <f t="shared" si="392"/>
        <v>0</v>
      </c>
      <c r="J520" s="58">
        <f t="shared" si="392"/>
        <v>0</v>
      </c>
      <c r="K520" s="58">
        <f t="shared" ref="K520" si="393">SUMIF($D415:$D431,"*1_00*",K415:K431)+SUMIF($D415:$D431,"*2_00*",K415:K431)*K$88</f>
        <v>0</v>
      </c>
      <c r="L520" s="58"/>
      <c r="M520" s="57">
        <f t="shared" si="382"/>
        <v>0</v>
      </c>
    </row>
    <row r="521" spans="1:13" hidden="1" outlineLevel="2" x14ac:dyDescent="0.2">
      <c r="A521" s="48" t="str">
        <f ca="1">Language!A$385</f>
        <v xml:space="preserve">    сумма платежей без НДС</v>
      </c>
      <c r="C521" s="40" t="str">
        <f t="shared" ca="1" si="389"/>
        <v>руб.</v>
      </c>
      <c r="F521" s="43">
        <f t="shared" ref="F521:J521" si="394">SUMIF($D415:$D431,"*1_01*",F415:F431)</f>
        <v>0</v>
      </c>
      <c r="G521" s="43">
        <f t="shared" si="394"/>
        <v>0</v>
      </c>
      <c r="H521" s="43">
        <f t="shared" si="394"/>
        <v>0</v>
      </c>
      <c r="I521" s="43">
        <f t="shared" si="394"/>
        <v>0</v>
      </c>
      <c r="J521" s="43">
        <f t="shared" si="394"/>
        <v>0</v>
      </c>
      <c r="K521" s="43">
        <f t="shared" ref="K521" si="395">SUMIF($D415:$D431,"*1_01*",K415:K431)</f>
        <v>0</v>
      </c>
      <c r="L521" s="43"/>
      <c r="M521" s="54">
        <f t="shared" si="382"/>
        <v>0</v>
      </c>
    </row>
    <row r="522" spans="1:13" hidden="1" outlineLevel="2" x14ac:dyDescent="0.2">
      <c r="A522" s="48" t="str">
        <f ca="1">Language!A$388</f>
        <v xml:space="preserve">    полная балансовая стоимость</v>
      </c>
      <c r="C522" s="40" t="str">
        <f t="shared" ca="1" si="389"/>
        <v>руб.</v>
      </c>
      <c r="D522" s="16" t="s">
        <v>384</v>
      </c>
      <c r="F522" s="43">
        <f t="shared" ref="F522:J522" ca="1" si="396">SUMIF($D415:$D431,"*1_06*",F415:F431)</f>
        <v>0</v>
      </c>
      <c r="G522" s="43">
        <f t="shared" ca="1" si="396"/>
        <v>0</v>
      </c>
      <c r="H522" s="43">
        <f t="shared" ca="1" si="396"/>
        <v>0</v>
      </c>
      <c r="I522" s="43">
        <f t="shared" ca="1" si="396"/>
        <v>0</v>
      </c>
      <c r="J522" s="43">
        <f t="shared" ca="1" si="396"/>
        <v>0</v>
      </c>
      <c r="K522" s="43">
        <f t="shared" ref="K522" ca="1" si="397">SUMIF($D415:$D431,"*1_06*",K415:K431)</f>
        <v>0</v>
      </c>
      <c r="L522" s="43"/>
      <c r="M522" s="54"/>
    </row>
    <row r="523" spans="1:13" hidden="1" outlineLevel="2" x14ac:dyDescent="0.2">
      <c r="A523" s="23" t="str">
        <f ca="1">Language!A$407</f>
        <v xml:space="preserve">    доходность финансовых вложений</v>
      </c>
      <c r="C523" s="40" t="str">
        <f t="shared" ca="1" si="389"/>
        <v>руб.</v>
      </c>
      <c r="D523" s="16"/>
      <c r="F523" s="43">
        <f t="shared" ref="F523:J523" ca="1" si="398">SUMIF($D415:$D431,"*1_16*",F415:F431)</f>
        <v>0</v>
      </c>
      <c r="G523" s="43">
        <f t="shared" ca="1" si="398"/>
        <v>0</v>
      </c>
      <c r="H523" s="43">
        <f t="shared" ca="1" si="398"/>
        <v>0</v>
      </c>
      <c r="I523" s="43">
        <f t="shared" ca="1" si="398"/>
        <v>0</v>
      </c>
      <c r="J523" s="43">
        <f t="shared" ca="1" si="398"/>
        <v>0</v>
      </c>
      <c r="K523" s="43">
        <f t="shared" ref="K523" ca="1" si="399">SUMIF($D415:$D431,"*1_16*",K415:K431)</f>
        <v>0</v>
      </c>
      <c r="L523" s="43"/>
      <c r="M523" s="54">
        <f ca="1">SUM(F523:K523)</f>
        <v>0</v>
      </c>
    </row>
    <row r="524" spans="1:13" hidden="1" outlineLevel="2" x14ac:dyDescent="0.2">
      <c r="A524" s="48" t="str">
        <f ca="1">Language!A$408</f>
        <v xml:space="preserve">    авансы выданные</v>
      </c>
      <c r="C524" s="40" t="str">
        <f t="shared" ca="1" si="389"/>
        <v>руб.</v>
      </c>
      <c r="D524" s="16" t="s">
        <v>384</v>
      </c>
      <c r="F524" s="43">
        <f t="shared" ref="F524:J524" ca="1" si="400">SUMIF($D415:$D431,"*1_17*",F415:F431)</f>
        <v>0</v>
      </c>
      <c r="G524" s="43">
        <f t="shared" ca="1" si="400"/>
        <v>0</v>
      </c>
      <c r="H524" s="43">
        <f t="shared" ca="1" si="400"/>
        <v>0</v>
      </c>
      <c r="I524" s="43">
        <f t="shared" ca="1" si="400"/>
        <v>0</v>
      </c>
      <c r="J524" s="43">
        <f t="shared" ca="1" si="400"/>
        <v>0</v>
      </c>
      <c r="K524" s="43">
        <f t="shared" ref="K524" ca="1" si="401">SUMIF($D415:$D431,"*1_17*",K415:K431)</f>
        <v>0</v>
      </c>
      <c r="L524" s="43"/>
      <c r="M524" s="54"/>
    </row>
    <row r="525" spans="1:13" hidden="1" outlineLevel="2" x14ac:dyDescent="0.2">
      <c r="A525" s="48" t="str">
        <f ca="1">Language!A$390</f>
        <v xml:space="preserve">    кредиторская задолженность</v>
      </c>
      <c r="C525" s="40" t="str">
        <f t="shared" ca="1" si="389"/>
        <v>руб.</v>
      </c>
      <c r="D525" s="16" t="s">
        <v>384</v>
      </c>
      <c r="F525" s="43">
        <f t="shared" ref="F525:J525" ca="1" si="402">SUMIF($D415:$D431,"*1_08*",F415:F431)</f>
        <v>0</v>
      </c>
      <c r="G525" s="43">
        <f t="shared" ca="1" si="402"/>
        <v>0</v>
      </c>
      <c r="H525" s="43">
        <f t="shared" ca="1" si="402"/>
        <v>0</v>
      </c>
      <c r="I525" s="43">
        <f t="shared" ca="1" si="402"/>
        <v>0</v>
      </c>
      <c r="J525" s="43">
        <f t="shared" ca="1" si="402"/>
        <v>0</v>
      </c>
      <c r="K525" s="43">
        <f t="shared" ref="K525" ca="1" si="403">SUMIF($D415:$D431,"*1_08*",K415:K431)</f>
        <v>0</v>
      </c>
      <c r="L525" s="43"/>
      <c r="M525" s="54"/>
    </row>
    <row r="526" spans="1:13" hidden="1" outlineLevel="2" x14ac:dyDescent="0.2">
      <c r="A526" s="48" t="str">
        <f ca="1">Language!A$395</f>
        <v xml:space="preserve">    выплаченный НДС</v>
      </c>
      <c r="C526" s="40" t="str">
        <f t="shared" ca="1" si="389"/>
        <v>руб.</v>
      </c>
      <c r="F526" s="43">
        <f t="shared" ref="F526:J526" si="404">SUMIF($D415:$D431,"*1_04*",F415:F431)</f>
        <v>0</v>
      </c>
      <c r="G526" s="43">
        <f t="shared" si="404"/>
        <v>0</v>
      </c>
      <c r="H526" s="43">
        <f t="shared" si="404"/>
        <v>0</v>
      </c>
      <c r="I526" s="43">
        <f t="shared" si="404"/>
        <v>0</v>
      </c>
      <c r="J526" s="43">
        <f t="shared" si="404"/>
        <v>0</v>
      </c>
      <c r="K526" s="43">
        <f t="shared" ref="K526" si="405">SUMIF($D415:$D431,"*1_04*",K415:K431)</f>
        <v>0</v>
      </c>
      <c r="L526" s="43"/>
      <c r="M526" s="54">
        <f t="shared" ref="M526:M532" si="406">SUM(F526:K526)</f>
        <v>0</v>
      </c>
    </row>
    <row r="527" spans="1:13" hidden="1" outlineLevel="2" x14ac:dyDescent="0.2">
      <c r="A527" s="48" t="str">
        <f ca="1">Language!A$399</f>
        <v xml:space="preserve">    зачет НДС</v>
      </c>
      <c r="C527" s="40" t="str">
        <f t="shared" ca="1" si="389"/>
        <v>руб.</v>
      </c>
      <c r="F527" s="43">
        <f t="shared" ref="F527:J527" ca="1" si="407">SUMIF($D415:$D431,"*1_12*",F415:F431)</f>
        <v>0</v>
      </c>
      <c r="G527" s="43">
        <f t="shared" ca="1" si="407"/>
        <v>0</v>
      </c>
      <c r="H527" s="43">
        <f t="shared" ca="1" si="407"/>
        <v>0</v>
      </c>
      <c r="I527" s="43">
        <f t="shared" ca="1" si="407"/>
        <v>0</v>
      </c>
      <c r="J527" s="43">
        <f t="shared" ca="1" si="407"/>
        <v>0</v>
      </c>
      <c r="K527" s="43">
        <f t="shared" ref="K527" ca="1" si="408">SUMIF($D415:$D431,"*1_12*",K415:K431)</f>
        <v>0</v>
      </c>
      <c r="L527" s="43"/>
      <c r="M527" s="54">
        <f t="shared" ca="1" si="406"/>
        <v>0</v>
      </c>
    </row>
    <row r="528" spans="1:13" hidden="1" outlineLevel="2" x14ac:dyDescent="0.2">
      <c r="A528" s="19" t="str">
        <f ca="1">Language!A$361</f>
        <v xml:space="preserve">    реализация актива (без НДС)</v>
      </c>
      <c r="C528" s="40" t="str">
        <f t="shared" ca="1" si="389"/>
        <v>руб.</v>
      </c>
      <c r="F528" s="43">
        <f t="shared" ref="F528:J528" si="409">SUMIF($D415:$D431,"*1_13*",F415:F431)</f>
        <v>0</v>
      </c>
      <c r="G528" s="43">
        <f t="shared" si="409"/>
        <v>0</v>
      </c>
      <c r="H528" s="43">
        <f t="shared" si="409"/>
        <v>0</v>
      </c>
      <c r="I528" s="43">
        <f t="shared" si="409"/>
        <v>0</v>
      </c>
      <c r="J528" s="43">
        <f t="shared" si="409"/>
        <v>0</v>
      </c>
      <c r="K528" s="43">
        <f t="shared" ref="K528" si="410">SUMIF($D415:$D431,"*1_13*",K415:K431)</f>
        <v>0</v>
      </c>
      <c r="L528" s="43"/>
      <c r="M528" s="54">
        <f t="shared" si="406"/>
        <v>0</v>
      </c>
    </row>
    <row r="529" spans="1:13" hidden="1" outlineLevel="2" x14ac:dyDescent="0.2">
      <c r="A529" s="19" t="str">
        <f ca="1">Language!A$362</f>
        <v xml:space="preserve">    прибыль/убыток от реализации актива</v>
      </c>
      <c r="C529" s="40" t="str">
        <f t="shared" ca="1" si="389"/>
        <v>руб.</v>
      </c>
      <c r="F529" s="43">
        <f t="shared" ref="F529:J529" si="411">SUMIF($D415:$D431,"*1_14*",F415:F431)</f>
        <v>0</v>
      </c>
      <c r="G529" s="43">
        <f t="shared" si="411"/>
        <v>0</v>
      </c>
      <c r="H529" s="43">
        <f t="shared" si="411"/>
        <v>0</v>
      </c>
      <c r="I529" s="43">
        <f t="shared" si="411"/>
        <v>0</v>
      </c>
      <c r="J529" s="43">
        <f t="shared" si="411"/>
        <v>0</v>
      </c>
      <c r="K529" s="43">
        <f t="shared" ref="K529" si="412">SUMIF($D415:$D431,"*1_14*",K415:K431)</f>
        <v>0</v>
      </c>
      <c r="L529" s="43"/>
      <c r="M529" s="54">
        <f t="shared" si="406"/>
        <v>0</v>
      </c>
    </row>
    <row r="530" spans="1:13" hidden="1" outlineLevel="2" x14ac:dyDescent="0.2">
      <c r="A530" t="str">
        <f ca="1">Language!A$400</f>
        <v xml:space="preserve">    НДС к выручке от реализации актива</v>
      </c>
      <c r="C530" s="40" t="str">
        <f t="shared" ca="1" si="389"/>
        <v>руб.</v>
      </c>
      <c r="F530" s="43">
        <f t="shared" ref="F530:J530" si="413">SUMIF($D415:$D431,"*1_15*",F415:F431)</f>
        <v>0</v>
      </c>
      <c r="G530" s="43">
        <f t="shared" si="413"/>
        <v>0</v>
      </c>
      <c r="H530" s="43">
        <f t="shared" si="413"/>
        <v>0</v>
      </c>
      <c r="I530" s="43">
        <f t="shared" si="413"/>
        <v>0</v>
      </c>
      <c r="J530" s="43">
        <f t="shared" si="413"/>
        <v>0</v>
      </c>
      <c r="K530" s="43">
        <f t="shared" ref="K530" si="414">SUMIF($D415:$D431,"*1_15*",K415:K431)</f>
        <v>0</v>
      </c>
      <c r="L530" s="43"/>
      <c r="M530" s="54">
        <f t="shared" si="406"/>
        <v>0</v>
      </c>
    </row>
    <row r="531" spans="1:13" s="35" customFormat="1" outlineLevel="1" collapsed="1" x14ac:dyDescent="0.2">
      <c r="A531" s="35" t="s">
        <v>2357</v>
      </c>
      <c r="C531" s="40" t="str">
        <f t="shared" ca="1" si="389"/>
        <v>руб.</v>
      </c>
      <c r="F531" s="58">
        <f t="shared" ref="F531:J531" si="415">SUMIF($D432:$D447,"*1_00*",F432:F447)+SUMIF($D432:$D447,"*2_00*",F432:F447)*F$88</f>
        <v>0</v>
      </c>
      <c r="G531" s="58">
        <f t="shared" si="415"/>
        <v>0</v>
      </c>
      <c r="H531" s="58">
        <f t="shared" si="415"/>
        <v>0</v>
      </c>
      <c r="I531" s="58">
        <f t="shared" si="415"/>
        <v>0</v>
      </c>
      <c r="J531" s="58">
        <f t="shared" si="415"/>
        <v>0</v>
      </c>
      <c r="K531" s="58">
        <f t="shared" ref="K531" si="416">SUMIF($D432:$D447,"*1_00*",K432:K447)+SUMIF($D432:$D447,"*2_00*",K432:K447)*K$88</f>
        <v>0</v>
      </c>
      <c r="L531" s="58"/>
      <c r="M531" s="57">
        <f t="shared" si="406"/>
        <v>0</v>
      </c>
    </row>
    <row r="532" spans="1:13" hidden="1" outlineLevel="2" x14ac:dyDescent="0.2">
      <c r="A532" s="48" t="str">
        <f ca="1">Language!A$385</f>
        <v xml:space="preserve">    сумма платежей без НДС</v>
      </c>
      <c r="C532" s="40" t="str">
        <f t="shared" ca="1" si="389"/>
        <v>руб.</v>
      </c>
      <c r="F532" s="43">
        <f t="shared" ref="F532:J532" si="417">SUMIF($D432:$D447,"*1_01*",F432:F447)</f>
        <v>0</v>
      </c>
      <c r="G532" s="43">
        <f t="shared" si="417"/>
        <v>0</v>
      </c>
      <c r="H532" s="43">
        <f t="shared" si="417"/>
        <v>0</v>
      </c>
      <c r="I532" s="43">
        <f t="shared" si="417"/>
        <v>0</v>
      </c>
      <c r="J532" s="43">
        <f t="shared" si="417"/>
        <v>0</v>
      </c>
      <c r="K532" s="43">
        <f t="shared" ref="K532" si="418">SUMIF($D432:$D447,"*1_01*",K432:K447)</f>
        <v>0</v>
      </c>
      <c r="L532" s="43"/>
      <c r="M532" s="54">
        <f t="shared" si="406"/>
        <v>0</v>
      </c>
    </row>
    <row r="533" spans="1:13" hidden="1" outlineLevel="2" x14ac:dyDescent="0.2">
      <c r="A533" s="48" t="str">
        <f ca="1">Language!A$388</f>
        <v xml:space="preserve">    полная балансовая стоимость</v>
      </c>
      <c r="C533" s="40" t="str">
        <f t="shared" ca="1" si="389"/>
        <v>руб.</v>
      </c>
      <c r="D533" s="16" t="s">
        <v>384</v>
      </c>
      <c r="F533" s="43">
        <f t="shared" ref="F533:J533" ca="1" si="419">SUMIF($D432:$D447,"*1_06*",F432:F447)</f>
        <v>0</v>
      </c>
      <c r="G533" s="43">
        <f t="shared" ca="1" si="419"/>
        <v>0</v>
      </c>
      <c r="H533" s="43">
        <f t="shared" ca="1" si="419"/>
        <v>0</v>
      </c>
      <c r="I533" s="43">
        <f t="shared" ca="1" si="419"/>
        <v>0</v>
      </c>
      <c r="J533" s="43">
        <f t="shared" ca="1" si="419"/>
        <v>0</v>
      </c>
      <c r="K533" s="43">
        <f t="shared" ref="K533" ca="1" si="420">SUMIF($D432:$D447,"*1_06*",K432:K447)</f>
        <v>0</v>
      </c>
      <c r="L533" s="43"/>
      <c r="M533" s="54"/>
    </row>
    <row r="534" spans="1:13" hidden="1" outlineLevel="2" x14ac:dyDescent="0.2">
      <c r="A534" s="48" t="str">
        <f ca="1">Language!A$408</f>
        <v xml:space="preserve">    авансы выданные</v>
      </c>
      <c r="C534" s="40" t="str">
        <f t="shared" ca="1" si="389"/>
        <v>руб.</v>
      </c>
      <c r="D534" s="16" t="s">
        <v>384</v>
      </c>
      <c r="F534" s="43">
        <f t="shared" ref="F534:J534" ca="1" si="421">SUMIF($D432:$D447,"*1_17*",F432:F447)</f>
        <v>0</v>
      </c>
      <c r="G534" s="43">
        <f t="shared" ca="1" si="421"/>
        <v>0</v>
      </c>
      <c r="H534" s="43">
        <f t="shared" ca="1" si="421"/>
        <v>0</v>
      </c>
      <c r="I534" s="43">
        <f t="shared" ca="1" si="421"/>
        <v>0</v>
      </c>
      <c r="J534" s="43">
        <f t="shared" ca="1" si="421"/>
        <v>0</v>
      </c>
      <c r="K534" s="43">
        <f t="shared" ref="K534" ca="1" si="422">SUMIF($D432:$D447,"*1_17*",K432:K447)</f>
        <v>0</v>
      </c>
      <c r="L534" s="43"/>
      <c r="M534" s="54"/>
    </row>
    <row r="535" spans="1:13" hidden="1" outlineLevel="2" x14ac:dyDescent="0.2">
      <c r="A535" s="48" t="str">
        <f ca="1">Language!A$390</f>
        <v xml:space="preserve">    кредиторская задолженность</v>
      </c>
      <c r="C535" s="40" t="str">
        <f t="shared" ca="1" si="389"/>
        <v>руб.</v>
      </c>
      <c r="D535" s="16" t="s">
        <v>384</v>
      </c>
      <c r="F535" s="43">
        <f t="shared" ref="F535:J535" ca="1" si="423">SUMIF($D432:$D447,"*1_08*",F432:F447)</f>
        <v>0</v>
      </c>
      <c r="G535" s="43">
        <f t="shared" ca="1" si="423"/>
        <v>0</v>
      </c>
      <c r="H535" s="43">
        <f t="shared" ca="1" si="423"/>
        <v>0</v>
      </c>
      <c r="I535" s="43">
        <f t="shared" ca="1" si="423"/>
        <v>0</v>
      </c>
      <c r="J535" s="43">
        <f t="shared" ca="1" si="423"/>
        <v>0</v>
      </c>
      <c r="K535" s="43">
        <f t="shared" ref="K535" ca="1" si="424">SUMIF($D432:$D447,"*1_08*",K432:K447)</f>
        <v>0</v>
      </c>
      <c r="L535" s="43"/>
      <c r="M535" s="54"/>
    </row>
    <row r="536" spans="1:13" hidden="1" outlineLevel="2" x14ac:dyDescent="0.2">
      <c r="A536" s="48" t="str">
        <f ca="1">Language!A$422</f>
        <v xml:space="preserve">    амортизация</v>
      </c>
      <c r="C536" s="40" t="str">
        <f t="shared" ca="1" si="389"/>
        <v>руб.</v>
      </c>
      <c r="F536" s="43">
        <f t="shared" ref="F536:J536" ca="1" si="425">SUMIF($D432:$D447,"*1_02*",F432:F447)</f>
        <v>0</v>
      </c>
      <c r="G536" s="43">
        <f t="shared" ca="1" si="425"/>
        <v>0</v>
      </c>
      <c r="H536" s="43">
        <f t="shared" ca="1" si="425"/>
        <v>0</v>
      </c>
      <c r="I536" s="43">
        <f t="shared" ca="1" si="425"/>
        <v>0</v>
      </c>
      <c r="J536" s="43">
        <f t="shared" ca="1" si="425"/>
        <v>0</v>
      </c>
      <c r="K536" s="43">
        <f t="shared" ref="K536" ca="1" si="426">SUMIF($D432:$D447,"*1_02*",K432:K447)</f>
        <v>0</v>
      </c>
      <c r="L536" s="43"/>
      <c r="M536" s="54">
        <f ca="1">SUM(F536:K536)</f>
        <v>0</v>
      </c>
    </row>
    <row r="537" spans="1:13" hidden="1" outlineLevel="2" x14ac:dyDescent="0.2">
      <c r="A537" s="48" t="str">
        <f ca="1">Language!A$391</f>
        <v xml:space="preserve">    остаточная стоимость</v>
      </c>
      <c r="C537" s="40" t="str">
        <f ca="1">CUR_Main</f>
        <v>руб.</v>
      </c>
      <c r="D537" s="16" t="s">
        <v>384</v>
      </c>
      <c r="F537" s="43">
        <f t="shared" ref="F537:J537" ca="1" si="427">SUMIF($D432:$D447,"*1_10*",F432:F447)</f>
        <v>0</v>
      </c>
      <c r="G537" s="43">
        <f t="shared" ca="1" si="427"/>
        <v>0</v>
      </c>
      <c r="H537" s="43">
        <f t="shared" ca="1" si="427"/>
        <v>0</v>
      </c>
      <c r="I537" s="43">
        <f t="shared" ca="1" si="427"/>
        <v>0</v>
      </c>
      <c r="J537" s="43">
        <f t="shared" ca="1" si="427"/>
        <v>0</v>
      </c>
      <c r="K537" s="43">
        <f t="shared" ref="K537" ca="1" si="428">SUMIF($D432:$D447,"*1_10*",K432:K447)</f>
        <v>0</v>
      </c>
      <c r="L537" s="43"/>
      <c r="M537" s="54"/>
    </row>
    <row r="538" spans="1:13" hidden="1" outlineLevel="2" x14ac:dyDescent="0.2">
      <c r="A538" s="48" t="str">
        <f ca="1">Language!A$395</f>
        <v xml:space="preserve">    выплаченный НДС</v>
      </c>
      <c r="C538" s="40" t="str">
        <f ca="1">CUR_Main</f>
        <v>руб.</v>
      </c>
      <c r="F538" s="43">
        <f t="shared" ref="F538:J538" si="429">SUMIF($D432:$D447,"*1_04*",F432:F447)</f>
        <v>0</v>
      </c>
      <c r="G538" s="43">
        <f t="shared" si="429"/>
        <v>0</v>
      </c>
      <c r="H538" s="43">
        <f t="shared" si="429"/>
        <v>0</v>
      </c>
      <c r="I538" s="43">
        <f t="shared" si="429"/>
        <v>0</v>
      </c>
      <c r="J538" s="43">
        <f t="shared" si="429"/>
        <v>0</v>
      </c>
      <c r="K538" s="43">
        <f t="shared" ref="K538" si="430">SUMIF($D432:$D447,"*1_04*",K432:K447)</f>
        <v>0</v>
      </c>
      <c r="L538" s="43"/>
      <c r="M538" s="54">
        <f>SUM(F538:K538)</f>
        <v>0</v>
      </c>
    </row>
    <row r="539" spans="1:13" hidden="1" outlineLevel="2" x14ac:dyDescent="0.2">
      <c r="A539" s="48" t="str">
        <f ca="1">Language!A$399</f>
        <v xml:space="preserve">    зачет НДС</v>
      </c>
      <c r="C539" s="40" t="str">
        <f ca="1">CUR_Main</f>
        <v>руб.</v>
      </c>
      <c r="F539" s="43">
        <f t="shared" ref="F539:J539" ca="1" si="431">SUMIF($D432:$D447,"*1_12*",F432:F447)</f>
        <v>0</v>
      </c>
      <c r="G539" s="43">
        <f t="shared" ca="1" si="431"/>
        <v>0</v>
      </c>
      <c r="H539" s="43">
        <f t="shared" ca="1" si="431"/>
        <v>0</v>
      </c>
      <c r="I539" s="43">
        <f t="shared" ca="1" si="431"/>
        <v>0</v>
      </c>
      <c r="J539" s="43">
        <f t="shared" ca="1" si="431"/>
        <v>0</v>
      </c>
      <c r="K539" s="43">
        <f t="shared" ref="K539" ca="1" si="432">SUMIF($D432:$D447,"*1_12*",K432:K447)</f>
        <v>0</v>
      </c>
      <c r="L539" s="43"/>
      <c r="M539" s="54">
        <f ca="1">SUM(F539:K539)</f>
        <v>0</v>
      </c>
    </row>
    <row r="540" spans="1:13" s="35" customFormat="1" outlineLevel="1" x14ac:dyDescent="0.2">
      <c r="A540" s="35" t="str">
        <f ca="1">Language!A428</f>
        <v xml:space="preserve"> = Итого: ВСЕ АКТИВЫ</v>
      </c>
      <c r="C540" s="40" t="str">
        <f ca="1">CUR_Main</f>
        <v>руб.</v>
      </c>
      <c r="F540" s="58">
        <f t="shared" ref="F540:J540" si="433">F481+F473+F508+F520+F495+F531</f>
        <v>540000</v>
      </c>
      <c r="G540" s="58">
        <f t="shared" si="433"/>
        <v>40000</v>
      </c>
      <c r="H540" s="58">
        <f t="shared" si="433"/>
        <v>50000</v>
      </c>
      <c r="I540" s="58">
        <f t="shared" si="433"/>
        <v>750000</v>
      </c>
      <c r="J540" s="58">
        <f t="shared" si="433"/>
        <v>50000</v>
      </c>
      <c r="K540" s="58">
        <f t="shared" ref="K540" si="434">K481+K473+K508+K520+K495+K531</f>
        <v>50000</v>
      </c>
      <c r="L540" s="58"/>
      <c r="M540" s="57">
        <f>SUM(F540:K540)</f>
        <v>1480000</v>
      </c>
    </row>
    <row r="541" spans="1:13" outlineLevel="1" x14ac:dyDescent="0.2">
      <c r="A541" s="63"/>
      <c r="B541" s="63"/>
      <c r="C541" s="63"/>
      <c r="D541" s="63"/>
      <c r="E541" s="63"/>
      <c r="F541" s="63"/>
      <c r="G541" s="63"/>
      <c r="H541" s="63"/>
      <c r="I541" s="63"/>
      <c r="J541" s="63"/>
      <c r="K541" s="63"/>
      <c r="L541" s="63"/>
      <c r="M541" s="64"/>
    </row>
    <row r="542" spans="1:13" outlineLevel="1" x14ac:dyDescent="0.2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22"/>
    </row>
    <row r="543" spans="1:13" s="4" customFormat="1" ht="15.9" customHeight="1" thickBot="1" x14ac:dyDescent="0.25">
      <c r="A543" s="166" t="str">
        <f ca="1">Language!A429</f>
        <v xml:space="preserve">         ЛИЗИНГ</v>
      </c>
      <c r="B543" s="166"/>
      <c r="C543" s="166"/>
      <c r="D543" s="166"/>
      <c r="E543" s="166"/>
      <c r="F543" s="178" t="str">
        <f t="shared" ref="F543:K543" si="435">PeriodTitle</f>
        <v>4/ 2020</v>
      </c>
      <c r="G543" s="178" t="str">
        <f t="shared" si="435"/>
        <v>5/ 2020</v>
      </c>
      <c r="H543" s="178" t="str">
        <f t="shared" si="435"/>
        <v>6/ 2020</v>
      </c>
      <c r="I543" s="178" t="str">
        <f t="shared" si="435"/>
        <v>7/ 2020</v>
      </c>
      <c r="J543" s="178" t="str">
        <f t="shared" si="435"/>
        <v>8/ 2020</v>
      </c>
      <c r="K543" s="178" t="str">
        <f t="shared" si="435"/>
        <v>9/ 2020</v>
      </c>
      <c r="L543" s="166"/>
      <c r="M543" s="195" t="str">
        <f ca="1">Language!$A$371</f>
        <v>ИТОГО</v>
      </c>
    </row>
    <row r="544" spans="1:13" ht="10.8" outlineLevel="1" thickTop="1" x14ac:dyDescent="0.2">
      <c r="D544">
        <v>1</v>
      </c>
      <c r="E544" s="48">
        <v>23</v>
      </c>
    </row>
    <row r="545" spans="1:13" outlineLevel="1" x14ac:dyDescent="0.2">
      <c r="A545" s="274" t="str">
        <f ca="1">Language!A$430</f>
        <v>Наименование</v>
      </c>
    </row>
    <row r="546" spans="1:13" outlineLevel="1" x14ac:dyDescent="0.2">
      <c r="A546" s="52" t="str">
        <f ca="1">Language!A$73</f>
        <v>Валюта</v>
      </c>
      <c r="B546" s="255">
        <v>1</v>
      </c>
    </row>
    <row r="547" spans="1:13" outlineLevel="1" x14ac:dyDescent="0.2">
      <c r="A547" s="52" t="str">
        <f ca="1">Language!A$431</f>
        <v xml:space="preserve">    тип лизинга</v>
      </c>
      <c r="B547" s="255">
        <v>1</v>
      </c>
      <c r="C547" s="11" t="str">
        <f ca="1">OFFSET(Language!A$467,B547-1,0)</f>
        <v>с выкупом (учет на балансе лизингодателя)</v>
      </c>
    </row>
    <row r="548" spans="1:13" outlineLevel="1" x14ac:dyDescent="0.2">
      <c r="A548" s="52" t="str">
        <f ca="1">Language!A$432</f>
        <v xml:space="preserve">    № периода ввода в действие оборудования</v>
      </c>
      <c r="B548" s="255">
        <v>1</v>
      </c>
    </row>
    <row r="549" spans="1:13" outlineLevel="1" x14ac:dyDescent="0.2">
      <c r="A549" s="52" t="str">
        <f ca="1">Language!A$433</f>
        <v xml:space="preserve">    срок лизинга</v>
      </c>
      <c r="B549" s="255">
        <v>4</v>
      </c>
      <c r="C549" s="5" t="str">
        <f ca="1">PRJ_Step_SName</f>
        <v>мес.</v>
      </c>
    </row>
    <row r="550" spans="1:13" outlineLevel="1" x14ac:dyDescent="0.2">
      <c r="A550" s="52" t="str">
        <f ca="1">Language!A$434</f>
        <v>Стоимость объекта (с НДС)</v>
      </c>
      <c r="B550" s="278">
        <v>0</v>
      </c>
      <c r="C550" s="5" t="str">
        <f ca="1">CHOOSE(B546,CUR_Main,CUR_Foreign)</f>
        <v>руб.</v>
      </c>
      <c r="D550" s="16" t="str">
        <f>TEXT(B546,"0")&amp;"_01"</f>
        <v>1_01</v>
      </c>
      <c r="E550" s="43">
        <f>B550/(1+B557)</f>
        <v>0</v>
      </c>
      <c r="F550" s="53">
        <f>IF(F$29&gt;=$B548,$E550,0)*IF(SUM($E551:E551)&gt;=$E550,0,1)*IF(AND(F$29&gt;=$B548+$B549,OR($B547=3,$B547=4)),0,1)</f>
        <v>0</v>
      </c>
      <c r="G550" s="53">
        <f>IF(G$29&gt;=$B548,$E550,0)*IF(SUM($E551:F551)&gt;=$E550,0,1)*IF(AND(G$29&gt;=$B548+$B549,OR($B547=3,$B547=4)),0,1)</f>
        <v>0</v>
      </c>
      <c r="H550" s="53">
        <f>IF(H$29&gt;=$B548,$E550,0)*IF(SUM($E551:G551)&gt;=$E550,0,1)*IF(AND(H$29&gt;=$B548+$B549,OR($B547=3,$B547=4)),0,1)</f>
        <v>0</v>
      </c>
      <c r="I550" s="53">
        <f>IF(I$29&gt;=$B548,$E550,0)*IF(SUM($E551:H551)&gt;=$E550,0,1)*IF(AND(I$29&gt;=$B548+$B549,OR($B547=3,$B547=4)),0,1)</f>
        <v>0</v>
      </c>
      <c r="J550" s="53">
        <f>IF(J$29&gt;=$B548,$E550,0)*IF(SUM($E551:I551)&gt;=$E550,0,1)*IF(AND(J$29&gt;=$B548+$B549,OR($B547=3,$B547=4)),0,1)</f>
        <v>0</v>
      </c>
      <c r="K550" s="53">
        <f>IF(K$29&gt;=$B548,$E550,0)*IF(SUM($E551:J551)&gt;=$E550,0,1)*IF(AND(K$29&gt;=$B548+$B549,OR($B547=3,$B547=4)),0,1)</f>
        <v>0</v>
      </c>
    </row>
    <row r="551" spans="1:13" outlineLevel="1" x14ac:dyDescent="0.2">
      <c r="A551" s="52" t="str">
        <f ca="1">Language!A$435</f>
        <v xml:space="preserve">    амортизационные отчисления</v>
      </c>
      <c r="B551" s="279">
        <v>0.2</v>
      </c>
      <c r="C551" s="5" t="str">
        <f ca="1">CHOOSE(B546,CUR_Main,CUR_Foreign)</f>
        <v>руб.</v>
      </c>
      <c r="D551" t="str">
        <f>TEXT(B546,"0")&amp;"_02"</f>
        <v>1_02</v>
      </c>
      <c r="E551" s="43"/>
      <c r="F551" s="53">
        <f t="shared" ref="F551:K551" si="436">IF(F$29&gt;=$B548,MIN(E560,$E550*$B551*PRJ_Step/360),0)</f>
        <v>0</v>
      </c>
      <c r="G551" s="53">
        <f t="shared" si="436"/>
        <v>0</v>
      </c>
      <c r="H551" s="53">
        <f t="shared" si="436"/>
        <v>0</v>
      </c>
      <c r="I551" s="53">
        <f t="shared" si="436"/>
        <v>0</v>
      </c>
      <c r="J551" s="53">
        <f t="shared" si="436"/>
        <v>0</v>
      </c>
      <c r="K551" s="53">
        <f t="shared" si="436"/>
        <v>0</v>
      </c>
      <c r="M551" s="54">
        <f t="shared" ref="M551:M558" si="437">SUM(F551:K551)</f>
        <v>0</v>
      </c>
    </row>
    <row r="552" spans="1:13" outlineLevel="1" x14ac:dyDescent="0.2">
      <c r="A552" s="52" t="str">
        <f ca="1">Language!A$437</f>
        <v xml:space="preserve">    вознаграждение лизингодателю</v>
      </c>
      <c r="B552" s="279">
        <v>0.15</v>
      </c>
      <c r="C552" s="5" t="str">
        <f ca="1">CHOOSE(B546,CUR_Main,CUR_Foreign)</f>
        <v>руб.</v>
      </c>
      <c r="D552" t="str">
        <f>TEXT(B546,"0")&amp;"_04"</f>
        <v>1_04</v>
      </c>
      <c r="E552" s="43"/>
      <c r="F552" s="53">
        <f t="shared" ref="F552:J552" si="438">IF(AND(F$29&gt;$B548-1,F$29&lt;=$B548+$B549-1),F560*$B552*PRJ_Step/360,0)</f>
        <v>0</v>
      </c>
      <c r="G552" s="53">
        <f t="shared" si="438"/>
        <v>0</v>
      </c>
      <c r="H552" s="53">
        <f t="shared" si="438"/>
        <v>0</v>
      </c>
      <c r="I552" s="53">
        <f t="shared" si="438"/>
        <v>0</v>
      </c>
      <c r="J552" s="53">
        <f t="shared" si="438"/>
        <v>0</v>
      </c>
      <c r="K552" s="53">
        <f t="shared" ref="K552" si="439">IF(AND(K$29&gt;$B548-1,K$29&lt;=$B548+$B549-1),K560*$B552*PRJ_Step/360,0)</f>
        <v>0</v>
      </c>
      <c r="M552" s="54">
        <f t="shared" si="437"/>
        <v>0</v>
      </c>
    </row>
    <row r="553" spans="1:13" outlineLevel="1" x14ac:dyDescent="0.2">
      <c r="A553" s="52" t="str">
        <f ca="1">Language!A$440</f>
        <v>Авансовый платеж (с НДС)</v>
      </c>
      <c r="B553" s="279">
        <v>0.3</v>
      </c>
      <c r="C553" s="5" t="str">
        <f ca="1">CHOOSE(B546,CUR_Main,CUR_Foreign)</f>
        <v>руб.</v>
      </c>
      <c r="D553" t="str">
        <f>TEXT(B546,"0")&amp;"_07"</f>
        <v>1_07</v>
      </c>
      <c r="E553" s="43"/>
      <c r="F553" s="43">
        <f t="shared" ref="F553:J553" ca="1" si="440">IF(F$29=$B548,$B553*$B558,0)</f>
        <v>0</v>
      </c>
      <c r="G553" s="43">
        <f t="shared" si="440"/>
        <v>0</v>
      </c>
      <c r="H553" s="43">
        <f t="shared" si="440"/>
        <v>0</v>
      </c>
      <c r="I553" s="43">
        <f t="shared" si="440"/>
        <v>0</v>
      </c>
      <c r="J553" s="43">
        <f t="shared" si="440"/>
        <v>0</v>
      </c>
      <c r="K553" s="43">
        <f t="shared" ref="K553" si="441">IF(K$29=$B548,$B553*$B558,0)</f>
        <v>0</v>
      </c>
      <c r="M553" s="54">
        <f t="shared" ca="1" si="437"/>
        <v>0</v>
      </c>
    </row>
    <row r="554" spans="1:13" outlineLevel="1" collapsed="1" x14ac:dyDescent="0.2">
      <c r="A554" s="52" t="str">
        <f ca="1">Language!A$441</f>
        <v>График лизинговых платежей (с НДС)</v>
      </c>
      <c r="C554" s="5" t="str">
        <f ca="1">CHOOSE(B546,CUR_Main,CUR_Foreign)</f>
        <v>руб.</v>
      </c>
      <c r="D554" t="str">
        <f>TEXT(B546,"0")&amp;"_08"</f>
        <v>1_08</v>
      </c>
      <c r="E554" s="43"/>
      <c r="F554" s="311">
        <f t="shared" ref="F554:K554" ca="1" si="442">IF($B549=1,F558,IF($M553=0,F558,IF(F553&gt;0,F553+($M558-$M553)/$B549,IF(AND(F$29&gt;$B548,F$29&lt;=$B548+$B549-1),($M558-$M553)/$B549,0))))</f>
        <v>0</v>
      </c>
      <c r="G554" s="311">
        <f t="shared" ca="1" si="442"/>
        <v>0</v>
      </c>
      <c r="H554" s="311">
        <f t="shared" ca="1" si="442"/>
        <v>0</v>
      </c>
      <c r="I554" s="311">
        <f t="shared" ca="1" si="442"/>
        <v>0</v>
      </c>
      <c r="J554" s="311">
        <f t="shared" ca="1" si="442"/>
        <v>0</v>
      </c>
      <c r="K554" s="311">
        <f t="shared" ca="1" si="442"/>
        <v>0</v>
      </c>
      <c r="M554" s="54">
        <f t="shared" ca="1" si="437"/>
        <v>0</v>
      </c>
    </row>
    <row r="555" spans="1:13" hidden="1" outlineLevel="2" x14ac:dyDescent="0.2">
      <c r="A555" s="52" t="str">
        <f ca="1">Language!A$442</f>
        <v>Зачет лизинговых платежей в себестоимости (с НДС)</v>
      </c>
      <c r="B555" s="55">
        <f ca="1">M554</f>
        <v>0</v>
      </c>
      <c r="C555" s="5" t="str">
        <f ca="1">CHOOSE(B546,CUR_Main,CUR_Foreign)</f>
        <v>руб.</v>
      </c>
      <c r="D555" t="str">
        <f>TEXT(B546,"0")&amp;"_06"</f>
        <v>1_06</v>
      </c>
      <c r="E555" s="43"/>
      <c r="F555" s="53">
        <f t="shared" ref="F555:J555" ca="1" si="443">$B555/MAX(1,$B549)*IF(AND(F$29+1&gt;$B548,F$29+1&lt;=$B548+$B549),1,0)</f>
        <v>0</v>
      </c>
      <c r="G555" s="53">
        <f t="shared" ca="1" si="443"/>
        <v>0</v>
      </c>
      <c r="H555" s="53">
        <f t="shared" ca="1" si="443"/>
        <v>0</v>
      </c>
      <c r="I555" s="53">
        <f t="shared" ca="1" si="443"/>
        <v>0</v>
      </c>
      <c r="J555" s="53">
        <f t="shared" ca="1" si="443"/>
        <v>0</v>
      </c>
      <c r="K555" s="53">
        <f t="shared" ref="K555" ca="1" si="444">$B555/MAX(1,$B549)*IF(AND(K$29+1&gt;$B548,K$29+1&lt;=$B548+$B549),1,0)</f>
        <v>0</v>
      </c>
      <c r="M555" s="54">
        <f t="shared" ca="1" si="437"/>
        <v>0</v>
      </c>
    </row>
    <row r="556" spans="1:13" hidden="1" outlineLevel="2" x14ac:dyDescent="0.2">
      <c r="A556" s="52" t="str">
        <f ca="1">Language!A$443</f>
        <v>зачет лизинговых платежей (без НДС)</v>
      </c>
      <c r="B556" s="55">
        <f ca="1">M556</f>
        <v>0</v>
      </c>
      <c r="C556" s="5" t="str">
        <f ca="1">CHOOSE(B546,CUR_Main,CUR_Foreign)</f>
        <v>руб.</v>
      </c>
      <c r="D556" t="str">
        <f>TEXT(B546,"0")&amp;"_05"</f>
        <v>1_05</v>
      </c>
      <c r="E556" s="43"/>
      <c r="F556" s="53">
        <f t="shared" ref="F556:J556" ca="1" si="445">F555/(1+$B557)</f>
        <v>0</v>
      </c>
      <c r="G556" s="53">
        <f t="shared" ca="1" si="445"/>
        <v>0</v>
      </c>
      <c r="H556" s="53">
        <f t="shared" ca="1" si="445"/>
        <v>0</v>
      </c>
      <c r="I556" s="53">
        <f t="shared" ca="1" si="445"/>
        <v>0</v>
      </c>
      <c r="J556" s="53">
        <f t="shared" ca="1" si="445"/>
        <v>0</v>
      </c>
      <c r="K556" s="53">
        <f t="shared" ref="K556" ca="1" si="446">K555/(1+$B557)</f>
        <v>0</v>
      </c>
      <c r="M556" s="54">
        <f t="shared" ca="1" si="437"/>
        <v>0</v>
      </c>
    </row>
    <row r="557" spans="1:13" hidden="1" outlineLevel="2" x14ac:dyDescent="0.2">
      <c r="A557" s="52" t="str">
        <f ca="1">Language!A$446</f>
        <v xml:space="preserve">    НДС к платежам</v>
      </c>
      <c r="B557" s="279">
        <f>VAT</f>
        <v>0</v>
      </c>
      <c r="C557" s="5" t="str">
        <f ca="1">CHOOSE(B546,CUR_Main,CUR_Foreign)</f>
        <v>руб.</v>
      </c>
      <c r="D557" t="str">
        <f>TEXT(B546,"0")&amp;"_09"</f>
        <v>1_09</v>
      </c>
      <c r="E557" s="43"/>
      <c r="F557" s="53">
        <f t="shared" ref="F557:J557" ca="1" si="447">F554-F554/(1+$B557)</f>
        <v>0</v>
      </c>
      <c r="G557" s="53">
        <f t="shared" ca="1" si="447"/>
        <v>0</v>
      </c>
      <c r="H557" s="53">
        <f t="shared" ca="1" si="447"/>
        <v>0</v>
      </c>
      <c r="I557" s="53">
        <f t="shared" ca="1" si="447"/>
        <v>0</v>
      </c>
      <c r="J557" s="53">
        <f t="shared" ca="1" si="447"/>
        <v>0</v>
      </c>
      <c r="K557" s="53">
        <f t="shared" ref="K557" ca="1" si="448">K554-K554/(1+$B557)</f>
        <v>0</v>
      </c>
      <c r="M557" s="54">
        <f t="shared" ca="1" si="437"/>
        <v>0</v>
      </c>
    </row>
    <row r="558" spans="1:13" s="48" customFormat="1" hidden="1" outlineLevel="2" x14ac:dyDescent="0.2">
      <c r="A558" s="52" t="str">
        <f ca="1">Language!A$444</f>
        <v xml:space="preserve">   лизинговые платежи для  расчета графика платежей</v>
      </c>
      <c r="B558" s="312">
        <f ca="1">(M552+SUM(F551:OFFSET($E551,0,$B548+$B549-1)))*(1+$B567)</f>
        <v>0</v>
      </c>
      <c r="C558" s="73" t="str">
        <f ca="1">CHOOSE(B546,CUR_Main,CUR_Foreign)</f>
        <v>руб.</v>
      </c>
      <c r="E558" s="106"/>
      <c r="F558" s="84">
        <f t="shared" ref="F558:J558" ca="1" si="449">$B558/MAX(1,$B549)*IF(AND(F$29+1&gt;$B548,F$29+1&lt;=$B548+$B549),1,0)</f>
        <v>0</v>
      </c>
      <c r="G558" s="84">
        <f t="shared" ca="1" si="449"/>
        <v>0</v>
      </c>
      <c r="H558" s="84">
        <f t="shared" ca="1" si="449"/>
        <v>0</v>
      </c>
      <c r="I558" s="84">
        <f t="shared" ca="1" si="449"/>
        <v>0</v>
      </c>
      <c r="J558" s="84">
        <f t="shared" ca="1" si="449"/>
        <v>0</v>
      </c>
      <c r="K558" s="84">
        <f t="shared" ref="K558" ca="1" si="450">$B558/MAX(1,$B549)*IF(AND(K$29+1&gt;$B548,K$29+1&lt;=$B548+$B549),1,0)</f>
        <v>0</v>
      </c>
      <c r="M558" s="94">
        <f t="shared" ca="1" si="437"/>
        <v>0</v>
      </c>
    </row>
    <row r="559" spans="1:13" hidden="1" outlineLevel="2" x14ac:dyDescent="0.2">
      <c r="A559" s="52" t="str">
        <f ca="1">Language!A$447</f>
        <v xml:space="preserve">    авансы, уплаченные лизингодателю</v>
      </c>
      <c r="C559" s="5" t="str">
        <f ca="1">CHOOSE(B546,CUR_Main,CUR_Foreign)</f>
        <v>руб.</v>
      </c>
      <c r="D559" t="str">
        <f>TEXT(B546,"0")&amp;"_10"&amp;";int_end"</f>
        <v>1_10;int_end</v>
      </c>
      <c r="E559" s="43"/>
      <c r="F559" s="53">
        <f ca="1">SUM($F554:F554)-SUM($F557:F557)-SUM($F556:F556)</f>
        <v>0</v>
      </c>
      <c r="G559" s="53">
        <f ca="1">SUM($F554:G554)-SUM($F557:G557)-SUM($F556:G556)</f>
        <v>0</v>
      </c>
      <c r="H559" s="53">
        <f ca="1">SUM($F554:H554)-SUM($F557:H557)-SUM($F556:H556)</f>
        <v>0</v>
      </c>
      <c r="I559" s="53">
        <f ca="1">SUM($F554:I554)-SUM($F557:I557)-SUM($F556:I556)</f>
        <v>0</v>
      </c>
      <c r="J559" s="53">
        <f ca="1">SUM($F554:J554)-SUM($F557:J557)-SUM($F556:J556)</f>
        <v>0</v>
      </c>
      <c r="K559" s="53">
        <f ca="1">SUM($F554:K554)-SUM($F557:K557)-SUM($F556:K556)</f>
        <v>0</v>
      </c>
      <c r="L559" s="53"/>
      <c r="M559" s="84"/>
    </row>
    <row r="560" spans="1:13" hidden="1" outlineLevel="2" x14ac:dyDescent="0.2">
      <c r="A560" s="52" t="str">
        <f ca="1">Language!A$436</f>
        <v xml:space="preserve">    остаточная стоимость (без НДС)</v>
      </c>
      <c r="C560" s="5" t="str">
        <f ca="1">CHOOSE(B546,CUR_Main,CUR_Foreign)</f>
        <v>руб.</v>
      </c>
      <c r="D560" t="str">
        <f>TEXT(B546,"0")&amp;"_03"&amp;";int_end"</f>
        <v>1_03;int_end</v>
      </c>
      <c r="E560" s="43">
        <f>E550</f>
        <v>0</v>
      </c>
      <c r="F560" s="53">
        <f>IF(F550&gt;0,F550-SUM($E551:F551),0)</f>
        <v>0</v>
      </c>
      <c r="G560" s="53">
        <f>IF(G550&gt;0,G550-SUM($E551:G551),0)</f>
        <v>0</v>
      </c>
      <c r="H560" s="53">
        <f>IF(H550&gt;0,H550-SUM($E551:H551),0)</f>
        <v>0</v>
      </c>
      <c r="I560" s="53">
        <f>IF(I550&gt;0,I550-SUM($E551:I551),0)</f>
        <v>0</v>
      </c>
      <c r="J560" s="53">
        <f>IF(J550&gt;0,J550-SUM($E551:J551),0)</f>
        <v>0</v>
      </c>
      <c r="K560" s="53">
        <f>IF(K550&gt;0,K550-SUM($E551:K551),0)</f>
        <v>0</v>
      </c>
    </row>
    <row r="561" spans="1:13" hidden="1" outlineLevel="2" x14ac:dyDescent="0.2">
      <c r="A561" s="52" t="str">
        <f ca="1">Language!A$448</f>
        <v xml:space="preserve">    арендованные основные средства (ост. стоимость)</v>
      </c>
      <c r="C561" s="5" t="str">
        <f ca="1">CHOOSE(B546,CUR_Main,CUR_Foreign)</f>
        <v>руб.</v>
      </c>
      <c r="D561" t="str">
        <f>TEXT(B546,"0")&amp;"_11"&amp;";int_end"</f>
        <v>1_11;int_end</v>
      </c>
      <c r="E561" s="43"/>
      <c r="F561" s="53">
        <f t="shared" ref="F561:J561" si="451">IF(AND(F$29&gt;=$B548,F$29&lt;$B548+$B549),F560,0)</f>
        <v>0</v>
      </c>
      <c r="G561" s="53">
        <f t="shared" si="451"/>
        <v>0</v>
      </c>
      <c r="H561" s="53">
        <f t="shared" si="451"/>
        <v>0</v>
      </c>
      <c r="I561" s="53">
        <f t="shared" si="451"/>
        <v>0</v>
      </c>
      <c r="J561" s="53">
        <f t="shared" si="451"/>
        <v>0</v>
      </c>
      <c r="K561" s="53">
        <f t="shared" ref="K561" si="452">IF(AND(K$29&gt;=$B548,K$29&lt;$B548+$B549),K560,0)</f>
        <v>0</v>
      </c>
    </row>
    <row r="562" spans="1:13" hidden="1" outlineLevel="2" x14ac:dyDescent="0.2">
      <c r="A562" s="52" t="str">
        <f ca="1">Language!A$449</f>
        <v xml:space="preserve">    налогооблагаемое имущество</v>
      </c>
      <c r="C562" s="5" t="str">
        <f ca="1">CHOOSE(B546,CUR_Main,CUR_Foreign)</f>
        <v>руб.</v>
      </c>
      <c r="D562" t="str">
        <f>TEXT(B546,"0")&amp;"_12"&amp;";int_end"</f>
        <v>1_12;int_end</v>
      </c>
      <c r="E562" s="43"/>
      <c r="F562" s="53">
        <f t="shared" ref="F562:J562" si="453">IF(F$29&gt;=$B548,CHOOSE($B547,IF(F$29&gt;=$B548+$B549-1,F565,0),SUM(F561,F565),0,IF(F$29=$B548+$B549,F565,F561)),0)</f>
        <v>0</v>
      </c>
      <c r="G562" s="53">
        <f t="shared" si="453"/>
        <v>0</v>
      </c>
      <c r="H562" s="53">
        <f t="shared" si="453"/>
        <v>0</v>
      </c>
      <c r="I562" s="53">
        <f t="shared" si="453"/>
        <v>0</v>
      </c>
      <c r="J562" s="53">
        <f t="shared" si="453"/>
        <v>0</v>
      </c>
      <c r="K562" s="53">
        <f t="shared" ref="K562" si="454">IF(K$29&gt;=$B548,CHOOSE($B547,IF(K$29&gt;=$B548+$B549-1,K565,0),SUM(K561,K565),0,IF(K$29=$B548+$B549,K565,K561)),0)</f>
        <v>0</v>
      </c>
    </row>
    <row r="563" spans="1:13" hidden="1" outlineLevel="2" x14ac:dyDescent="0.2">
      <c r="A563" s="52" t="str">
        <f ca="1">Language!A$450</f>
        <v>Выкуп основных средств по остаточной стоимости</v>
      </c>
      <c r="C563" s="5" t="str">
        <f ca="1">CHOOSE(B546,CUR_Main,CUR_Foreign)</f>
        <v>руб.</v>
      </c>
      <c r="D563" t="str">
        <f>TEXT(B546,"0")&amp;"_13"</f>
        <v>1_13</v>
      </c>
      <c r="E563" s="43"/>
      <c r="F563" s="53">
        <f t="shared" ref="F563:K563" si="455">IF(AND(F$29=$B548+$B549,OR($B547=1,$B547=2)),E560,0)</f>
        <v>0</v>
      </c>
      <c r="G563" s="53">
        <f t="shared" si="455"/>
        <v>0</v>
      </c>
      <c r="H563" s="53">
        <f t="shared" si="455"/>
        <v>0</v>
      </c>
      <c r="I563" s="53">
        <f t="shared" si="455"/>
        <v>0</v>
      </c>
      <c r="J563" s="53">
        <f t="shared" si="455"/>
        <v>0</v>
      </c>
      <c r="K563" s="53">
        <f t="shared" si="455"/>
        <v>0</v>
      </c>
      <c r="M563" s="54">
        <f>SUM(F563:K563)</f>
        <v>0</v>
      </c>
    </row>
    <row r="564" spans="1:13" hidden="1" outlineLevel="2" x14ac:dyDescent="0.2">
      <c r="A564" s="52" t="str">
        <f ca="1">Language!A$451</f>
        <v xml:space="preserve">    балансовая стоимость после выкупа</v>
      </c>
      <c r="C564" s="5" t="str">
        <f ca="1">CHOOSE(B546,CUR_Main,CUR_Foreign)</f>
        <v>руб.</v>
      </c>
      <c r="D564" t="str">
        <f>TEXT(B546,"0")&amp;"_14"&amp;";int_end"</f>
        <v>1_14;int_end</v>
      </c>
      <c r="E564" s="43"/>
      <c r="F564" s="53">
        <f>IF(SUM($E563:F563)&gt;0,F550,0)</f>
        <v>0</v>
      </c>
      <c r="G564" s="53">
        <f>IF(SUM($E563:G563)&gt;0,G550,0)</f>
        <v>0</v>
      </c>
      <c r="H564" s="53">
        <f>IF(SUM($E563:H563)&gt;0,H550,0)</f>
        <v>0</v>
      </c>
      <c r="I564" s="53">
        <f>IF(SUM($E563:I563)&gt;0,I550,0)</f>
        <v>0</v>
      </c>
      <c r="J564" s="53">
        <f>IF(SUM($E563:J563)&gt;0,J550,0)</f>
        <v>0</v>
      </c>
      <c r="K564" s="53">
        <f>IF(SUM($E563:K563)&gt;0,K550,0)</f>
        <v>0</v>
      </c>
    </row>
    <row r="565" spans="1:13" hidden="1" outlineLevel="2" x14ac:dyDescent="0.2">
      <c r="A565" s="52" t="str">
        <f ca="1">Language!A$452</f>
        <v xml:space="preserve">    остаточная стоимость после выкупа</v>
      </c>
      <c r="C565" s="5" t="str">
        <f ca="1">CHOOSE(B546,CUR_Main,CUR_Foreign)</f>
        <v>руб.</v>
      </c>
      <c r="D565" t="str">
        <f>TEXT(B546,"0")&amp;"_15"&amp;";int_end"</f>
        <v>1_15;int_end</v>
      </c>
      <c r="E565" s="43"/>
      <c r="F565" s="53">
        <f>IF(SUM($E563:F563)&gt;0,F560,0)</f>
        <v>0</v>
      </c>
      <c r="G565" s="53">
        <f>IF(SUM($E563:G563)&gt;0,G560,0)</f>
        <v>0</v>
      </c>
      <c r="H565" s="53">
        <f>IF(SUM($E563:H563)&gt;0,H560,0)</f>
        <v>0</v>
      </c>
      <c r="I565" s="53">
        <f>IF(SUM($E563:I563)&gt;0,I560,0)</f>
        <v>0</v>
      </c>
      <c r="J565" s="53">
        <f>IF(SUM($E563:J563)&gt;0,J560,0)</f>
        <v>0</v>
      </c>
      <c r="K565" s="53">
        <f>IF(SUM($E563:K563)&gt;0,K560,0)</f>
        <v>0</v>
      </c>
    </row>
    <row r="566" spans="1:13" hidden="1" outlineLevel="2" x14ac:dyDescent="0.2">
      <c r="A566" s="52" t="str">
        <f ca="1">Language!A$453</f>
        <v xml:space="preserve">    амортизация средств у лизингополучателя после выкупа</v>
      </c>
      <c r="C566" s="5" t="str">
        <f ca="1">CHOOSE(B546,CUR_Main,CUR_Foreign)</f>
        <v>руб.</v>
      </c>
      <c r="D566" t="str">
        <f>TEXT(B546,"0")&amp;"_16"</f>
        <v>1_16</v>
      </c>
      <c r="E566" s="43">
        <v>0</v>
      </c>
      <c r="F566" s="53">
        <f>IF(SUM($E563:F563)&gt;0,F551,0)</f>
        <v>0</v>
      </c>
      <c r="G566" s="53">
        <f>IF(SUM($E563:G563)&gt;0,G551,0)</f>
        <v>0</v>
      </c>
      <c r="H566" s="53">
        <f>IF(SUM($E563:H563)&gt;0,H551,0)</f>
        <v>0</v>
      </c>
      <c r="I566" s="53">
        <f>IF(SUM($E563:I563)&gt;0,I551,0)</f>
        <v>0</v>
      </c>
      <c r="J566" s="53">
        <f>IF(SUM($E563:J563)&gt;0,J551,0)</f>
        <v>0</v>
      </c>
      <c r="K566" s="53">
        <f>IF(SUM($E563:K563)&gt;0,K551,0)</f>
        <v>0</v>
      </c>
      <c r="M566" s="54">
        <f>SUM(F566:K566)</f>
        <v>0</v>
      </c>
    </row>
    <row r="567" spans="1:13" hidden="1" outlineLevel="2" x14ac:dyDescent="0.2">
      <c r="A567" s="52" t="str">
        <f ca="1">Language!A$454</f>
        <v xml:space="preserve">    НДС уплаченный при выкупе </v>
      </c>
      <c r="B567" s="279">
        <f>VAT</f>
        <v>0</v>
      </c>
      <c r="C567" s="5" t="str">
        <f ca="1">CHOOSE(B546,CUR_Main,CUR_Foreign)</f>
        <v>руб.</v>
      </c>
      <c r="D567" t="str">
        <f>TEXT(B546,"0")&amp;"_17"</f>
        <v>1_17</v>
      </c>
      <c r="E567" s="43"/>
      <c r="F567" s="53">
        <f t="shared" ref="F567:J567" si="456">F563*$B567</f>
        <v>0</v>
      </c>
      <c r="G567" s="53">
        <f t="shared" si="456"/>
        <v>0</v>
      </c>
      <c r="H567" s="53">
        <f t="shared" si="456"/>
        <v>0</v>
      </c>
      <c r="I567" s="53">
        <f t="shared" si="456"/>
        <v>0</v>
      </c>
      <c r="J567" s="53">
        <f t="shared" si="456"/>
        <v>0</v>
      </c>
      <c r="K567" s="53">
        <f t="shared" ref="K567" si="457">K563*$B567</f>
        <v>0</v>
      </c>
      <c r="M567" s="54">
        <f>SUM(F567:K567)</f>
        <v>0</v>
      </c>
    </row>
    <row r="568" spans="1:13" outlineLevel="1" x14ac:dyDescent="0.2">
      <c r="C568" s="5"/>
      <c r="E568" s="43"/>
      <c r="F568" s="43"/>
      <c r="G568" s="43"/>
      <c r="H568" s="43"/>
      <c r="I568" s="43"/>
      <c r="J568" s="43"/>
      <c r="K568" s="43"/>
    </row>
    <row r="569" spans="1:13" outlineLevel="1" x14ac:dyDescent="0.2">
      <c r="A569" s="35" t="str">
        <f ca="1">Language!A455</f>
        <v xml:space="preserve"> = Итого лизинговые платежи, начисленные, без НДС</v>
      </c>
      <c r="C569" s="5" t="str">
        <f t="shared" ref="C569:C580" ca="1" si="458">CUR_Main</f>
        <v>руб.</v>
      </c>
      <c r="E569" s="43"/>
      <c r="F569" s="56">
        <f t="shared" ref="F569:J569" ca="1" si="459">SUMIF($D544:$D568,"*1_05*",F544:F568)+SUMIF($D544:$D568,"*2_05*",F544:F568)*F$88</f>
        <v>0</v>
      </c>
      <c r="G569" s="56">
        <f t="shared" ca="1" si="459"/>
        <v>0</v>
      </c>
      <c r="H569" s="56">
        <f t="shared" ca="1" si="459"/>
        <v>0</v>
      </c>
      <c r="I569" s="56">
        <f t="shared" ca="1" si="459"/>
        <v>0</v>
      </c>
      <c r="J569" s="56">
        <f t="shared" ca="1" si="459"/>
        <v>0</v>
      </c>
      <c r="K569" s="56">
        <f t="shared" ref="K569" ca="1" si="460">SUMIF($D544:$D568,"*1_05*",K544:K568)+SUMIF($D544:$D568,"*2_05*",K544:K568)*K$88</f>
        <v>0</v>
      </c>
      <c r="L569" s="35"/>
      <c r="M569" s="57">
        <f ca="1">SUM(F569:K569)</f>
        <v>0</v>
      </c>
    </row>
    <row r="570" spans="1:13" outlineLevel="1" x14ac:dyDescent="0.2">
      <c r="A570" s="35" t="str">
        <f ca="1">Language!A456</f>
        <v xml:space="preserve"> = Итого лизинговые платежи, начисленные, с НДС</v>
      </c>
      <c r="C570" s="5" t="str">
        <f t="shared" ca="1" si="458"/>
        <v>руб.</v>
      </c>
      <c r="E570" s="43"/>
      <c r="F570" s="56">
        <f t="shared" ref="F570:J570" ca="1" si="461">SUMIF($D544:$D568,"*1_06*",F544:F568)+SUMIF($D544:$D568,"*2_06*",F544:F568)*F$88</f>
        <v>0</v>
      </c>
      <c r="G570" s="56">
        <f t="shared" ca="1" si="461"/>
        <v>0</v>
      </c>
      <c r="H570" s="56">
        <f t="shared" ca="1" si="461"/>
        <v>0</v>
      </c>
      <c r="I570" s="56">
        <f t="shared" ca="1" si="461"/>
        <v>0</v>
      </c>
      <c r="J570" s="56">
        <f t="shared" ca="1" si="461"/>
        <v>0</v>
      </c>
      <c r="K570" s="56">
        <f t="shared" ref="K570" ca="1" si="462">SUMIF($D544:$D568,"*1_06*",K544:K568)+SUMIF($D544:$D568,"*2_06*",K544:K568)*K$88</f>
        <v>0</v>
      </c>
      <c r="L570" s="35"/>
      <c r="M570" s="57">
        <f ca="1">SUM(F570:K570)</f>
        <v>0</v>
      </c>
    </row>
    <row r="571" spans="1:13" outlineLevel="1" x14ac:dyDescent="0.2">
      <c r="A571" s="35" t="str">
        <f ca="1">Language!A457</f>
        <v xml:space="preserve"> = Итого лизинговые платежи, уплаченные, с НДС</v>
      </c>
      <c r="C571" s="5" t="str">
        <f t="shared" ca="1" si="458"/>
        <v>руб.</v>
      </c>
      <c r="E571" s="43"/>
      <c r="F571" s="56">
        <f t="shared" ref="F571:J571" ca="1" si="463">SUMIF($D544:$D568,"*1_08*",F544:F568)+SUMIF($D544:$D568,"*2_08*",F544:F568)*F$88</f>
        <v>0</v>
      </c>
      <c r="G571" s="56">
        <f t="shared" ca="1" si="463"/>
        <v>0</v>
      </c>
      <c r="H571" s="56">
        <f t="shared" ca="1" si="463"/>
        <v>0</v>
      </c>
      <c r="I571" s="56">
        <f t="shared" ca="1" si="463"/>
        <v>0</v>
      </c>
      <c r="J571" s="56">
        <f t="shared" ca="1" si="463"/>
        <v>0</v>
      </c>
      <c r="K571" s="56">
        <f t="shared" ref="K571" ca="1" si="464">SUMIF($D544:$D568,"*1_08*",K544:K568)+SUMIF($D544:$D568,"*2_08*",K544:K568)*K$88</f>
        <v>0</v>
      </c>
      <c r="L571" s="35"/>
      <c r="M571" s="57">
        <f ca="1">SUM(F571:K571)</f>
        <v>0</v>
      </c>
    </row>
    <row r="572" spans="1:13" outlineLevel="1" collapsed="1" x14ac:dyDescent="0.2">
      <c r="A572" s="35" t="str">
        <f ca="1">Language!A458</f>
        <v xml:space="preserve"> = Итого выкуп основных средств, с НДС</v>
      </c>
      <c r="C572" s="5" t="str">
        <f t="shared" ca="1" si="458"/>
        <v>руб.</v>
      </c>
      <c r="E572" s="43"/>
      <c r="F572" s="58">
        <f t="shared" ref="F572:J572" si="465">SUMIF($D544:$D568,"*1_13*",F544:F568)+SUMIF($D544:$D568,"*2_13*",F544:F568)*F$88+SUMIF($D544:$D568,"*1_17*",F544:F568)+SUMIF($D544:$D568,"*2_17*",F544:F568)*F$88</f>
        <v>0</v>
      </c>
      <c r="G572" s="58">
        <f t="shared" si="465"/>
        <v>0</v>
      </c>
      <c r="H572" s="58">
        <f t="shared" si="465"/>
        <v>0</v>
      </c>
      <c r="I572" s="58">
        <f t="shared" si="465"/>
        <v>0</v>
      </c>
      <c r="J572" s="58">
        <f t="shared" si="465"/>
        <v>0</v>
      </c>
      <c r="K572" s="58">
        <f t="shared" ref="K572" si="466">SUMIF($D544:$D568,"*1_13*",K544:K568)+SUMIF($D544:$D568,"*2_13*",K544:K568)*K$88+SUMIF($D544:$D568,"*1_17*",K544:K568)+SUMIF($D544:$D568,"*2_17*",K544:K568)*K$88</f>
        <v>0</v>
      </c>
      <c r="L572" s="35"/>
      <c r="M572" s="57">
        <f>SUM(F572:K572)</f>
        <v>0</v>
      </c>
    </row>
    <row r="573" spans="1:13" hidden="1" outlineLevel="2" x14ac:dyDescent="0.2">
      <c r="A573" s="23" t="str">
        <f ca="1">Language!A459</f>
        <v xml:space="preserve">    НДС к лизинговым платежам</v>
      </c>
      <c r="C573" s="5" t="str">
        <f t="shared" ca="1" si="458"/>
        <v>руб.</v>
      </c>
      <c r="E573" s="43"/>
      <c r="F573" s="43">
        <f t="shared" ref="F573:J573" ca="1" si="467">SUMIF($D544:$D568,"*1_09*",F544:F568)+SUMIF($D544:$D568,"*2_09*",F544:F568)*F$88</f>
        <v>0</v>
      </c>
      <c r="G573" s="43">
        <f t="shared" ca="1" si="467"/>
        <v>0</v>
      </c>
      <c r="H573" s="43">
        <f t="shared" ca="1" si="467"/>
        <v>0</v>
      </c>
      <c r="I573" s="43">
        <f t="shared" ca="1" si="467"/>
        <v>0</v>
      </c>
      <c r="J573" s="43">
        <f t="shared" ca="1" si="467"/>
        <v>0</v>
      </c>
      <c r="K573" s="43">
        <f t="shared" ref="K573" ca="1" si="468">SUMIF($D544:$D568,"*1_09*",K544:K568)+SUMIF($D544:$D568,"*2_09*",K544:K568)*K$88</f>
        <v>0</v>
      </c>
      <c r="M573" s="54">
        <f ca="1">SUM(F573:K573)</f>
        <v>0</v>
      </c>
    </row>
    <row r="574" spans="1:13" hidden="1" outlineLevel="2" x14ac:dyDescent="0.2">
      <c r="A574" s="23" t="str">
        <f ca="1">Language!A460</f>
        <v xml:space="preserve">    НДС к выкупу</v>
      </c>
      <c r="C574" s="5" t="str">
        <f t="shared" ca="1" si="458"/>
        <v>руб.</v>
      </c>
      <c r="E574" s="43"/>
      <c r="F574" s="43">
        <f t="shared" ref="F574:J574" si="469">SUMIF($D544:$D568,"*1_17*",F544:F568)+SUMIF($D544:$D568,"*2_17*",F544:F568)*F$88</f>
        <v>0</v>
      </c>
      <c r="G574" s="43">
        <f t="shared" si="469"/>
        <v>0</v>
      </c>
      <c r="H574" s="43">
        <f t="shared" si="469"/>
        <v>0</v>
      </c>
      <c r="I574" s="43">
        <f t="shared" si="469"/>
        <v>0</v>
      </c>
      <c r="J574" s="43">
        <f t="shared" si="469"/>
        <v>0</v>
      </c>
      <c r="K574" s="43">
        <f t="shared" ref="K574" si="470">SUMIF($D544:$D568,"*1_17*",K544:K568)+SUMIF($D544:$D568,"*2_17*",K544:K568)*K$88</f>
        <v>0</v>
      </c>
      <c r="M574" s="54"/>
    </row>
    <row r="575" spans="1:13" hidden="1" outlineLevel="2" x14ac:dyDescent="0.2">
      <c r="A575" s="23" t="str">
        <f ca="1">Language!A461</f>
        <v xml:space="preserve">    авансы, уплаченные лизингодателю</v>
      </c>
      <c r="C575" s="5" t="str">
        <f t="shared" ca="1" si="458"/>
        <v>руб.</v>
      </c>
      <c r="E575" s="43"/>
      <c r="F575" s="53">
        <f ca="1">SUM($F571:F571)-SUM($F573:F573)-SUM($F569:F569)</f>
        <v>0</v>
      </c>
      <c r="G575" s="53">
        <f ca="1">SUM($F571:G571)-SUM($F573:G573)-SUM($F569:G569)</f>
        <v>0</v>
      </c>
      <c r="H575" s="53">
        <f ca="1">SUM($F571:H571)-SUM($F573:H573)-SUM($F569:H569)</f>
        <v>0</v>
      </c>
      <c r="I575" s="53">
        <f ca="1">SUM($F571:I571)-SUM($F573:I573)-SUM($F569:I569)</f>
        <v>0</v>
      </c>
      <c r="J575" s="53">
        <f ca="1">SUM($F571:J571)-SUM($F573:J573)-SUM($F569:J569)</f>
        <v>0</v>
      </c>
      <c r="K575" s="53">
        <f ca="1">SUM($F571:K571)-SUM($F573:K573)-SUM($F569:K569)</f>
        <v>0</v>
      </c>
    </row>
    <row r="576" spans="1:13" hidden="1" outlineLevel="2" x14ac:dyDescent="0.2">
      <c r="A576" s="23" t="str">
        <f ca="1">Language!A462</f>
        <v xml:space="preserve">    арендованные основные средства </v>
      </c>
      <c r="C576" s="5" t="str">
        <f t="shared" ca="1" si="458"/>
        <v>руб.</v>
      </c>
      <c r="E576" s="43"/>
      <c r="F576" s="43">
        <f t="shared" ref="F576:J576" si="471">SUMIF($D544:$D568,"*1_11*",F544:F568)+SUMIF($D544:$D568,"*2_11*",F544:F568)*F$88</f>
        <v>0</v>
      </c>
      <c r="G576" s="43">
        <f t="shared" si="471"/>
        <v>0</v>
      </c>
      <c r="H576" s="43">
        <f t="shared" si="471"/>
        <v>0</v>
      </c>
      <c r="I576" s="43">
        <f t="shared" si="471"/>
        <v>0</v>
      </c>
      <c r="J576" s="43">
        <f t="shared" si="471"/>
        <v>0</v>
      </c>
      <c r="K576" s="43">
        <f t="shared" ref="K576" si="472">SUMIF($D544:$D568,"*1_11*",K544:K568)+SUMIF($D544:$D568,"*2_11*",K544:K568)*K$88</f>
        <v>0</v>
      </c>
    </row>
    <row r="577" spans="1:13" hidden="1" outlineLevel="2" x14ac:dyDescent="0.2">
      <c r="A577" s="23" t="str">
        <f ca="1">Language!A463</f>
        <v xml:space="preserve">    налогооблагаемое имущество</v>
      </c>
      <c r="C577" s="5" t="str">
        <f t="shared" ca="1" si="458"/>
        <v>руб.</v>
      </c>
      <c r="E577" s="43"/>
      <c r="F577" s="43">
        <f t="shared" ref="F577:J577" si="473">SUMIF($D544:$D568,"*1_12*",F544:F568)+SUMIF($D544:$D568,"*2_12*",F544:F568)*F$88</f>
        <v>0</v>
      </c>
      <c r="G577" s="43">
        <f t="shared" si="473"/>
        <v>0</v>
      </c>
      <c r="H577" s="43">
        <f t="shared" si="473"/>
        <v>0</v>
      </c>
      <c r="I577" s="43">
        <f t="shared" si="473"/>
        <v>0</v>
      </c>
      <c r="J577" s="43">
        <f t="shared" si="473"/>
        <v>0</v>
      </c>
      <c r="K577" s="43">
        <f t="shared" ref="K577" si="474">SUMIF($D544:$D568,"*1_12*",K544:K568)+SUMIF($D544:$D568,"*2_12*",K544:K568)*K$88</f>
        <v>0</v>
      </c>
    </row>
    <row r="578" spans="1:13" hidden="1" outlineLevel="2" x14ac:dyDescent="0.2">
      <c r="A578" s="23" t="str">
        <f ca="1">Language!A464</f>
        <v xml:space="preserve">    балансовая стоимость после выкупа</v>
      </c>
      <c r="C578" s="5" t="str">
        <f t="shared" ca="1" si="458"/>
        <v>руб.</v>
      </c>
      <c r="E578" s="43"/>
      <c r="F578" s="43">
        <f t="shared" ref="F578:J578" si="475">SUMIF($D544:$D568,"*1_14*",F544:F568)+SUMIF($D544:$D568,"*2_14*",F544:F568)*F$88</f>
        <v>0</v>
      </c>
      <c r="G578" s="43">
        <f t="shared" si="475"/>
        <v>0</v>
      </c>
      <c r="H578" s="43">
        <f t="shared" si="475"/>
        <v>0</v>
      </c>
      <c r="I578" s="43">
        <f t="shared" si="475"/>
        <v>0</v>
      </c>
      <c r="J578" s="43">
        <f t="shared" si="475"/>
        <v>0</v>
      </c>
      <c r="K578" s="43">
        <f t="shared" ref="K578" si="476">SUMIF($D544:$D568,"*1_14*",K544:K568)+SUMIF($D544:$D568,"*2_14*",K544:K568)*K$88</f>
        <v>0</v>
      </c>
    </row>
    <row r="579" spans="1:13" hidden="1" outlineLevel="2" x14ac:dyDescent="0.2">
      <c r="A579" s="23" t="str">
        <f ca="1">Language!A465</f>
        <v xml:space="preserve">    остаточная стоимость после выкупа</v>
      </c>
      <c r="C579" s="5" t="str">
        <f t="shared" ca="1" si="458"/>
        <v>руб.</v>
      </c>
      <c r="E579" s="43"/>
      <c r="F579" s="43">
        <f t="shared" ref="F579:J579" si="477">SUMIF($D544:$D568,"*1_15*",F544:F568)+SUMIF($D544:$D568,"*2_15*",F544:F568)*F$88</f>
        <v>0</v>
      </c>
      <c r="G579" s="43">
        <f t="shared" si="477"/>
        <v>0</v>
      </c>
      <c r="H579" s="43">
        <f t="shared" si="477"/>
        <v>0</v>
      </c>
      <c r="I579" s="43">
        <f t="shared" si="477"/>
        <v>0</v>
      </c>
      <c r="J579" s="43">
        <f t="shared" si="477"/>
        <v>0</v>
      </c>
      <c r="K579" s="43">
        <f t="shared" ref="K579" si="478">SUMIF($D544:$D568,"*1_15*",K544:K568)+SUMIF($D544:$D568,"*2_15*",K544:K568)*K$88</f>
        <v>0</v>
      </c>
    </row>
    <row r="580" spans="1:13" hidden="1" outlineLevel="2" x14ac:dyDescent="0.2">
      <c r="A580" s="24" t="str">
        <f ca="1">Language!A466</f>
        <v xml:space="preserve">    амортизация средств у лизингополучателя после выкупа</v>
      </c>
      <c r="B580" s="19"/>
      <c r="C580" s="26" t="str">
        <f t="shared" ca="1" si="458"/>
        <v>руб.</v>
      </c>
      <c r="D580" s="19"/>
      <c r="E580" s="65"/>
      <c r="F580" s="65">
        <f t="shared" ref="F580:J580" si="479">SUMIF($D544:$D568,"*1_16*",F544:F568)+SUMIF($D544:$D568,"*2_16*",F544:F568)*F$88</f>
        <v>0</v>
      </c>
      <c r="G580" s="65">
        <f t="shared" si="479"/>
        <v>0</v>
      </c>
      <c r="H580" s="65">
        <f t="shared" si="479"/>
        <v>0</v>
      </c>
      <c r="I580" s="65">
        <f t="shared" si="479"/>
        <v>0</v>
      </c>
      <c r="J580" s="65">
        <f t="shared" si="479"/>
        <v>0</v>
      </c>
      <c r="K580" s="65">
        <f t="shared" ref="K580" si="480">SUMIF($D544:$D568,"*1_16*",K544:K568)+SUMIF($D544:$D568,"*2_16*",K544:K568)*K$88</f>
        <v>0</v>
      </c>
      <c r="L580" s="19"/>
      <c r="M580" s="66">
        <f>SUM(F580:K580)</f>
        <v>0</v>
      </c>
    </row>
    <row r="581" spans="1:13" outlineLevel="1" x14ac:dyDescent="0.2">
      <c r="A581" s="112"/>
      <c r="B581" s="63"/>
      <c r="C581" s="67"/>
      <c r="D581" s="63"/>
      <c r="E581" s="121"/>
      <c r="F581" s="121"/>
      <c r="G581" s="121"/>
      <c r="H581" s="121"/>
      <c r="I581" s="121"/>
      <c r="J581" s="121"/>
      <c r="K581" s="121"/>
      <c r="L581" s="63"/>
      <c r="M581" s="122"/>
    </row>
    <row r="582" spans="1:13" outlineLevel="1" x14ac:dyDescent="0.2">
      <c r="A582" s="24"/>
      <c r="B582" s="19"/>
      <c r="C582" s="26"/>
      <c r="D582" s="19"/>
      <c r="E582" s="65"/>
      <c r="F582" s="65"/>
      <c r="G582" s="65"/>
      <c r="H582" s="65"/>
      <c r="I582" s="65"/>
      <c r="J582" s="65"/>
      <c r="K582" s="65"/>
      <c r="L582" s="19"/>
      <c r="M582" s="66"/>
    </row>
    <row r="583" spans="1:13" s="4" customFormat="1" ht="15.9" customHeight="1" thickBot="1" x14ac:dyDescent="0.25">
      <c r="A583" s="166" t="str">
        <f ca="1">Language!A526</f>
        <v xml:space="preserve">         ПЛАН РЕАЛИЗАЦИИ</v>
      </c>
      <c r="B583" s="166"/>
      <c r="C583" s="166"/>
      <c r="D583" s="166">
        <v>1</v>
      </c>
      <c r="E583" s="166"/>
      <c r="F583" s="178" t="str">
        <f t="shared" ref="F583:K583" si="481">PeriodTitle</f>
        <v>4/ 2020</v>
      </c>
      <c r="G583" s="178" t="str">
        <f t="shared" si="481"/>
        <v>5/ 2020</v>
      </c>
      <c r="H583" s="178" t="str">
        <f t="shared" si="481"/>
        <v>6/ 2020</v>
      </c>
      <c r="I583" s="178" t="str">
        <f t="shared" si="481"/>
        <v>7/ 2020</v>
      </c>
      <c r="J583" s="178" t="str">
        <f t="shared" si="481"/>
        <v>8/ 2020</v>
      </c>
      <c r="K583" s="178" t="str">
        <f t="shared" si="481"/>
        <v>9/ 2020</v>
      </c>
      <c r="L583" s="166"/>
      <c r="M583" s="195" t="str">
        <f ca="1">Language!$A$371</f>
        <v>ИТОГО</v>
      </c>
    </row>
    <row r="584" spans="1:13" ht="10.8" outlineLevel="1" thickTop="1" x14ac:dyDescent="0.2"/>
    <row r="585" spans="1:13" outlineLevel="1" x14ac:dyDescent="0.2">
      <c r="B585" s="85" t="str">
        <f ca="1">Language!A$528</f>
        <v>Номинальный объем</v>
      </c>
      <c r="D585">
        <v>2</v>
      </c>
      <c r="E585">
        <v>1</v>
      </c>
    </row>
    <row r="586" spans="1:13" outlineLevel="1" x14ac:dyDescent="0.2">
      <c r="A586" s="274" t="s">
        <v>2690</v>
      </c>
      <c r="B586" s="406">
        <v>0</v>
      </c>
      <c r="C586" s="255" t="s">
        <v>2683</v>
      </c>
      <c r="D586" s="46" t="s">
        <v>176</v>
      </c>
      <c r="F586" s="280">
        <v>0</v>
      </c>
      <c r="G586" s="280">
        <v>0</v>
      </c>
      <c r="H586" s="402">
        <v>0.01</v>
      </c>
      <c r="I586" s="280">
        <v>0.05</v>
      </c>
      <c r="J586" s="280">
        <v>0.1</v>
      </c>
      <c r="K586" s="280">
        <v>0.1</v>
      </c>
    </row>
    <row r="587" spans="1:13" outlineLevel="1" x14ac:dyDescent="0.2">
      <c r="A587" s="274" t="s">
        <v>2694</v>
      </c>
      <c r="B587" s="406">
        <v>10000</v>
      </c>
      <c r="C587" s="255" t="s">
        <v>2683</v>
      </c>
      <c r="D587" s="46" t="s">
        <v>176</v>
      </c>
      <c r="F587" s="280">
        <v>0.3</v>
      </c>
      <c r="G587" s="280">
        <v>0.7</v>
      </c>
      <c r="H587" s="402">
        <v>1</v>
      </c>
      <c r="I587" s="280">
        <v>1</v>
      </c>
      <c r="J587" s="280">
        <v>1</v>
      </c>
      <c r="K587" s="280">
        <v>1</v>
      </c>
    </row>
    <row r="588" spans="1:13" outlineLevel="1" x14ac:dyDescent="0.2"/>
    <row r="589" spans="1:13" outlineLevel="1" x14ac:dyDescent="0.2">
      <c r="A589" s="63"/>
      <c r="B589" s="404"/>
      <c r="C589" s="63"/>
      <c r="D589" s="63"/>
      <c r="E589" s="63"/>
      <c r="F589" s="63"/>
      <c r="G589" s="63"/>
      <c r="H589" s="63"/>
      <c r="I589" s="63"/>
      <c r="J589" s="63"/>
      <c r="K589" s="63"/>
      <c r="L589" s="63"/>
      <c r="M589" s="64"/>
    </row>
    <row r="590" spans="1:13" outlineLevel="1" x14ac:dyDescent="0.2"/>
    <row r="591" spans="1:13" s="4" customFormat="1" ht="15.9" customHeight="1" thickBot="1" x14ac:dyDescent="0.25">
      <c r="A591" s="166" t="str">
        <f ca="1">Language!A531</f>
        <v xml:space="preserve">         ОБЪЕМЫ РЕАЛИЗАЦИИ (в единицах)</v>
      </c>
      <c r="B591" s="166"/>
      <c r="C591" s="166"/>
      <c r="D591" s="166"/>
      <c r="E591" s="166"/>
      <c r="F591" s="178" t="str">
        <f t="shared" ref="F591:K591" si="482">PeriodTitle</f>
        <v>4/ 2020</v>
      </c>
      <c r="G591" s="178" t="str">
        <f t="shared" si="482"/>
        <v>5/ 2020</v>
      </c>
      <c r="H591" s="178" t="str">
        <f t="shared" si="482"/>
        <v>6/ 2020</v>
      </c>
      <c r="I591" s="178" t="str">
        <f t="shared" si="482"/>
        <v>7/ 2020</v>
      </c>
      <c r="J591" s="178" t="str">
        <f t="shared" si="482"/>
        <v>8/ 2020</v>
      </c>
      <c r="K591" s="178" t="str">
        <f t="shared" si="482"/>
        <v>9/ 2020</v>
      </c>
      <c r="L591" s="166"/>
      <c r="M591" s="195" t="str">
        <f ca="1">Language!$A$371</f>
        <v>ИТОГО</v>
      </c>
    </row>
    <row r="592" spans="1:13" ht="10.8" outlineLevel="1" thickTop="1" x14ac:dyDescent="0.2">
      <c r="D592">
        <v>0</v>
      </c>
      <c r="E592">
        <v>1</v>
      </c>
    </row>
    <row r="593" spans="1:13" outlineLevel="1" x14ac:dyDescent="0.2">
      <c r="A593" t="str">
        <f>A586</f>
        <v>Наименование товара</v>
      </c>
      <c r="B593" s="71"/>
      <c r="C593" s="5" t="str">
        <f>C586</f>
        <v>шт</v>
      </c>
      <c r="F593" s="281">
        <f t="shared" ref="F593:J593" si="483">$B586*F586</f>
        <v>0</v>
      </c>
      <c r="G593" s="281">
        <f t="shared" si="483"/>
        <v>0</v>
      </c>
      <c r="H593" s="281">
        <f t="shared" si="483"/>
        <v>0</v>
      </c>
      <c r="I593" s="281">
        <f t="shared" si="483"/>
        <v>0</v>
      </c>
      <c r="J593" s="281">
        <f t="shared" si="483"/>
        <v>0</v>
      </c>
      <c r="K593" s="281">
        <f t="shared" ref="K593" si="484">$B586*K586</f>
        <v>0</v>
      </c>
      <c r="L593" s="43"/>
      <c r="M593" s="57">
        <f>SUM(F593:K593)</f>
        <v>0</v>
      </c>
    </row>
    <row r="594" spans="1:13" outlineLevel="1" x14ac:dyDescent="0.2">
      <c r="A594" t="str">
        <f>A587</f>
        <v>Лицензия продукта</v>
      </c>
      <c r="B594" s="71"/>
      <c r="C594" s="5" t="str">
        <f>C587</f>
        <v>шт</v>
      </c>
      <c r="F594" s="281">
        <f t="shared" ref="F594:K594" si="485">$B587*F587</f>
        <v>3000</v>
      </c>
      <c r="G594" s="281">
        <f t="shared" si="485"/>
        <v>7000</v>
      </c>
      <c r="H594" s="281">
        <f t="shared" si="485"/>
        <v>10000</v>
      </c>
      <c r="I594" s="281">
        <f t="shared" si="485"/>
        <v>10000</v>
      </c>
      <c r="J594" s="281">
        <f t="shared" si="485"/>
        <v>10000</v>
      </c>
      <c r="K594" s="281">
        <f t="shared" si="485"/>
        <v>10000</v>
      </c>
      <c r="L594" s="43"/>
      <c r="M594" s="57">
        <f>SUM(F594:K594)</f>
        <v>50000</v>
      </c>
    </row>
    <row r="595" spans="1:13" outlineLevel="1" x14ac:dyDescent="0.2">
      <c r="A595" s="41"/>
      <c r="B595" s="72"/>
      <c r="C595" s="73"/>
      <c r="D595" s="74"/>
      <c r="E595" s="48"/>
      <c r="F595" s="75"/>
      <c r="G595" s="75"/>
      <c r="H595" s="75"/>
      <c r="I595" s="75"/>
      <c r="J595" s="75"/>
      <c r="K595" s="75"/>
    </row>
    <row r="596" spans="1:13" outlineLevel="1" x14ac:dyDescent="0.2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63"/>
      <c r="M596" s="64"/>
    </row>
    <row r="597" spans="1:13" outlineLevel="1" x14ac:dyDescent="0.2">
      <c r="A597" s="24"/>
      <c r="B597" s="19"/>
      <c r="C597" s="26"/>
      <c r="D597" s="19"/>
      <c r="E597" s="65"/>
      <c r="F597" s="65"/>
      <c r="G597" s="65"/>
      <c r="H597" s="65"/>
      <c r="I597" s="65"/>
      <c r="J597" s="65"/>
      <c r="K597" s="65"/>
      <c r="L597" s="19"/>
      <c r="M597" s="66"/>
    </row>
    <row r="598" spans="1:13" s="4" customFormat="1" ht="15.9" customHeight="1" thickBot="1" x14ac:dyDescent="0.25">
      <c r="A598" s="166" t="str">
        <f ca="1">Language!A532</f>
        <v xml:space="preserve">         ЦЕНА РЕАЛИЗАЦИИ (за единицу, с НДС)</v>
      </c>
      <c r="B598" s="166"/>
      <c r="C598" s="166"/>
      <c r="D598" s="166"/>
      <c r="E598" s="166"/>
      <c r="F598" s="178" t="str">
        <f t="shared" ref="F598:K598" si="486">PeriodTitle</f>
        <v>4/ 2020</v>
      </c>
      <c r="G598" s="178" t="str">
        <f t="shared" si="486"/>
        <v>5/ 2020</v>
      </c>
      <c r="H598" s="178" t="str">
        <f t="shared" si="486"/>
        <v>6/ 2020</v>
      </c>
      <c r="I598" s="178" t="str">
        <f t="shared" si="486"/>
        <v>7/ 2020</v>
      </c>
      <c r="J598" s="178" t="str">
        <f t="shared" si="486"/>
        <v>8/ 2020</v>
      </c>
      <c r="K598" s="178" t="str">
        <f t="shared" si="486"/>
        <v>9/ 2020</v>
      </c>
      <c r="L598" s="166"/>
      <c r="M598" s="195"/>
    </row>
    <row r="599" spans="1:13" ht="10.8" outlineLevel="1" thickTop="1" x14ac:dyDescent="0.2">
      <c r="B599" s="36" t="str">
        <f ca="1">Language!A$73</f>
        <v>Валюта</v>
      </c>
      <c r="D599">
        <v>0</v>
      </c>
      <c r="E599">
        <v>7</v>
      </c>
    </row>
    <row r="600" spans="1:13" outlineLevel="1" collapsed="1" x14ac:dyDescent="0.2">
      <c r="A600" t="str">
        <f>A586</f>
        <v>Наименование товара</v>
      </c>
      <c r="B600" s="255">
        <v>1</v>
      </c>
      <c r="C600" s="79" t="str">
        <f ca="1">CHOOSE(B600,CUR_Main,CUR_Foreign)</f>
        <v>руб.</v>
      </c>
      <c r="D600" s="46" t="s">
        <v>176</v>
      </c>
      <c r="F600" s="407">
        <v>0</v>
      </c>
      <c r="G600" s="407">
        <f t="shared" ref="G600" si="487">F600*IF(CalcMethod=2,1+F602,1)</f>
        <v>0</v>
      </c>
      <c r="H600" s="407">
        <f t="shared" ref="H600" si="488">G600*IF(CalcMethod=2,1+G602,1)</f>
        <v>0</v>
      </c>
      <c r="I600" s="407">
        <f t="shared" ref="I600" si="489">H600*IF(CalcMethod=2,1+H602,1)</f>
        <v>0</v>
      </c>
      <c r="J600" s="407">
        <f t="shared" ref="J600:K600" si="490">I600*IF(CalcMethod=2,1+I602,1)</f>
        <v>0</v>
      </c>
      <c r="K600" s="407">
        <f t="shared" si="490"/>
        <v>0</v>
      </c>
    </row>
    <row r="601" spans="1:13" hidden="1" outlineLevel="2" x14ac:dyDescent="0.2">
      <c r="A601" t="str">
        <f ca="1">Language!A$104</f>
        <v>Предполагаемый темп годового роста цен</v>
      </c>
      <c r="C601" s="5" t="s">
        <v>177</v>
      </c>
      <c r="D601" s="16" t="s">
        <v>176</v>
      </c>
      <c r="F601" s="269">
        <f t="shared" ref="F601:J601" si="491">CHOOSE($B600,F$80,F$91)</f>
        <v>7.0000000000000007E-2</v>
      </c>
      <c r="G601" s="269">
        <f t="shared" si="491"/>
        <v>7.0000000000000007E-2</v>
      </c>
      <c r="H601" s="269">
        <f t="shared" si="491"/>
        <v>7.0000000000000007E-2</v>
      </c>
      <c r="I601" s="269">
        <f t="shared" si="491"/>
        <v>7.0000000000000007E-2</v>
      </c>
      <c r="J601" s="269">
        <f t="shared" si="491"/>
        <v>7.0000000000000007E-2</v>
      </c>
      <c r="K601" s="269">
        <f t="shared" ref="K601" si="492">CHOOSE($B600,K$80,K$91)</f>
        <v>7.0000000000000007E-2</v>
      </c>
    </row>
    <row r="602" spans="1:13" hidden="1" outlineLevel="2" x14ac:dyDescent="0.2">
      <c r="A602" t="str">
        <f ca="1">Language!A$106</f>
        <v>То же, в пересчете на период, равный шагу проекта</v>
      </c>
      <c r="C602" s="5" t="s">
        <v>177</v>
      </c>
      <c r="D602" s="16" t="s">
        <v>176</v>
      </c>
      <c r="F602" s="30">
        <f t="shared" ref="F602:J602" si="493">POWER(1+F601,PRJ_Step/360)-1</f>
        <v>5.6541453874052738E-3</v>
      </c>
      <c r="G602" s="30">
        <f t="shared" si="493"/>
        <v>5.6541453874052738E-3</v>
      </c>
      <c r="H602" s="30">
        <f t="shared" si="493"/>
        <v>5.6541453874052738E-3</v>
      </c>
      <c r="I602" s="30">
        <f t="shared" si="493"/>
        <v>5.6541453874052738E-3</v>
      </c>
      <c r="J602" s="30">
        <f t="shared" si="493"/>
        <v>5.6541453874052738E-3</v>
      </c>
      <c r="K602" s="30">
        <f t="shared" ref="K602" si="494">POWER(1+K601,PRJ_Step/360)-1</f>
        <v>5.6541453874052738E-3</v>
      </c>
    </row>
    <row r="603" spans="1:13" hidden="1" outlineLevel="2" x14ac:dyDescent="0.2">
      <c r="A603" t="str">
        <f ca="1">Language!A$533</f>
        <v xml:space="preserve">    цена без НДС и акцизов</v>
      </c>
      <c r="B603" s="36" t="str">
        <f ca="1">Language!A$537</f>
        <v>Адвалорные</v>
      </c>
      <c r="C603" s="36" t="str">
        <f ca="1">Language!A$538</f>
        <v>Твердые</v>
      </c>
      <c r="D603" s="46" t="s">
        <v>176</v>
      </c>
      <c r="F603" s="82">
        <f t="shared" ref="F603:J603" si="495">(F600/(1+$B606)-$C604)/(1+$B604)</f>
        <v>0</v>
      </c>
      <c r="G603" s="82">
        <f t="shared" si="495"/>
        <v>0</v>
      </c>
      <c r="H603" s="82">
        <f t="shared" si="495"/>
        <v>0</v>
      </c>
      <c r="I603" s="82">
        <f t="shared" si="495"/>
        <v>0</v>
      </c>
      <c r="J603" s="82">
        <f t="shared" si="495"/>
        <v>0</v>
      </c>
      <c r="K603" s="82">
        <f t="shared" ref="K603" si="496">(K600/(1+$B606)-$C604)/(1+$B604)</f>
        <v>0</v>
      </c>
    </row>
    <row r="604" spans="1:13" hidden="1" outlineLevel="2" x14ac:dyDescent="0.2">
      <c r="A604" t="str">
        <f ca="1">Language!A$534</f>
        <v xml:space="preserve">    акцизы</v>
      </c>
      <c r="B604" s="282">
        <v>0</v>
      </c>
      <c r="C604" s="284">
        <v>0</v>
      </c>
      <c r="D604" s="46" t="s">
        <v>176</v>
      </c>
      <c r="F604" s="82">
        <f t="shared" ref="F604:J604" si="497">F603*$B604+$C604</f>
        <v>0</v>
      </c>
      <c r="G604" s="82">
        <f t="shared" si="497"/>
        <v>0</v>
      </c>
      <c r="H604" s="82">
        <f t="shared" si="497"/>
        <v>0</v>
      </c>
      <c r="I604" s="82">
        <f t="shared" si="497"/>
        <v>0</v>
      </c>
      <c r="J604" s="82">
        <f t="shared" si="497"/>
        <v>0</v>
      </c>
      <c r="K604" s="82">
        <f t="shared" ref="K604" si="498">K603*$B604+$C604</f>
        <v>0</v>
      </c>
    </row>
    <row r="605" spans="1:13" hidden="1" outlineLevel="2" x14ac:dyDescent="0.2">
      <c r="A605" t="str">
        <f ca="1">Language!A$535</f>
        <v xml:space="preserve">    налог с продаж</v>
      </c>
      <c r="B605" s="283">
        <v>0</v>
      </c>
      <c r="C605" s="80" t="str">
        <f ca="1">CHOOSE(B600,CUR_Main,CUR_Foreign)</f>
        <v>руб.</v>
      </c>
      <c r="D605" s="46" t="s">
        <v>176</v>
      </c>
      <c r="F605" s="82">
        <f t="shared" ref="F605:J605" si="499">(F603+F604)*$B605</f>
        <v>0</v>
      </c>
      <c r="G605" s="82">
        <f t="shared" si="499"/>
        <v>0</v>
      </c>
      <c r="H605" s="82">
        <f t="shared" si="499"/>
        <v>0</v>
      </c>
      <c r="I605" s="82">
        <f t="shared" si="499"/>
        <v>0</v>
      </c>
      <c r="J605" s="82">
        <f t="shared" si="499"/>
        <v>0</v>
      </c>
      <c r="K605" s="82">
        <f t="shared" ref="K605" si="500">(K603+K604)*$B605</f>
        <v>0</v>
      </c>
    </row>
    <row r="606" spans="1:13" hidden="1" outlineLevel="2" x14ac:dyDescent="0.2">
      <c r="A606" t="str">
        <f ca="1">Language!A$536</f>
        <v xml:space="preserve">    НДС</v>
      </c>
      <c r="B606" s="283">
        <f>VAT</f>
        <v>0</v>
      </c>
      <c r="C606" s="81" t="str">
        <f ca="1">CHOOSE(B600,CUR_Main,CUR_Foreign)</f>
        <v>руб.</v>
      </c>
      <c r="D606" s="46" t="s">
        <v>176</v>
      </c>
      <c r="F606" s="82">
        <f t="shared" ref="F606:J606" si="501">(F603+F604)*$B606</f>
        <v>0</v>
      </c>
      <c r="G606" s="82">
        <f t="shared" si="501"/>
        <v>0</v>
      </c>
      <c r="H606" s="82">
        <f t="shared" si="501"/>
        <v>0</v>
      </c>
      <c r="I606" s="82">
        <f t="shared" si="501"/>
        <v>0</v>
      </c>
      <c r="J606" s="82">
        <f t="shared" si="501"/>
        <v>0</v>
      </c>
      <c r="K606" s="82">
        <f t="shared" ref="K606" si="502">(K603+K604)*$B606</f>
        <v>0</v>
      </c>
    </row>
    <row r="607" spans="1:13" outlineLevel="1" collapsed="1" x14ac:dyDescent="0.2">
      <c r="A607" t="str">
        <f>A587</f>
        <v>Лицензия продукта</v>
      </c>
      <c r="B607" s="255">
        <v>1</v>
      </c>
      <c r="C607" s="79" t="str">
        <f ca="1">CHOOSE(B607,CUR_Main,CUR_Foreign)</f>
        <v>руб.</v>
      </c>
      <c r="D607" s="46" t="s">
        <v>176</v>
      </c>
      <c r="F607" s="407">
        <v>12000</v>
      </c>
      <c r="G607" s="407">
        <f>F607*IF(CalcMethod=2,1+F609,1)</f>
        <v>12000</v>
      </c>
      <c r="H607" s="407">
        <f>G607*IF(CalcMethod=2,1+G609,1)</f>
        <v>12000</v>
      </c>
      <c r="I607" s="407">
        <f>H607*IF(CalcMethod=2,1+H609,1)</f>
        <v>12000</v>
      </c>
      <c r="J607" s="407">
        <f>I607*IF(CalcMethod=2,1+I609,1)</f>
        <v>12000</v>
      </c>
      <c r="K607" s="407">
        <f>J607*IF(CalcMethod=2,1+J609,1)</f>
        <v>12000</v>
      </c>
    </row>
    <row r="608" spans="1:13" hidden="1" outlineLevel="2" x14ac:dyDescent="0.2">
      <c r="A608" t="str">
        <f ca="1">Language!A$104</f>
        <v>Предполагаемый темп годового роста цен</v>
      </c>
      <c r="C608" s="5" t="s">
        <v>177</v>
      </c>
      <c r="D608" s="16" t="s">
        <v>176</v>
      </c>
      <c r="F608" s="269">
        <f t="shared" ref="F608:K608" si="503">CHOOSE($B607,F$80,F$91)</f>
        <v>7.0000000000000007E-2</v>
      </c>
      <c r="G608" s="269">
        <f t="shared" si="503"/>
        <v>7.0000000000000007E-2</v>
      </c>
      <c r="H608" s="269">
        <f t="shared" si="503"/>
        <v>7.0000000000000007E-2</v>
      </c>
      <c r="I608" s="269">
        <f t="shared" si="503"/>
        <v>7.0000000000000007E-2</v>
      </c>
      <c r="J608" s="269">
        <f t="shared" si="503"/>
        <v>7.0000000000000007E-2</v>
      </c>
      <c r="K608" s="269">
        <f t="shared" si="503"/>
        <v>7.0000000000000007E-2</v>
      </c>
    </row>
    <row r="609" spans="1:13" hidden="1" outlineLevel="2" x14ac:dyDescent="0.2">
      <c r="A609" t="str">
        <f ca="1">Language!A$106</f>
        <v>То же, в пересчете на период, равный шагу проекта</v>
      </c>
      <c r="C609" s="5" t="s">
        <v>177</v>
      </c>
      <c r="D609" s="16" t="s">
        <v>176</v>
      </c>
      <c r="F609" s="30">
        <f t="shared" ref="F609:K609" si="504">POWER(1+F608,PRJ_Step/360)-1</f>
        <v>5.6541453874052738E-3</v>
      </c>
      <c r="G609" s="30">
        <f t="shared" si="504"/>
        <v>5.6541453874052738E-3</v>
      </c>
      <c r="H609" s="30">
        <f t="shared" si="504"/>
        <v>5.6541453874052738E-3</v>
      </c>
      <c r="I609" s="30">
        <f t="shared" si="504"/>
        <v>5.6541453874052738E-3</v>
      </c>
      <c r="J609" s="30">
        <f t="shared" si="504"/>
        <v>5.6541453874052738E-3</v>
      </c>
      <c r="K609" s="30">
        <f t="shared" si="504"/>
        <v>5.6541453874052738E-3</v>
      </c>
    </row>
    <row r="610" spans="1:13" hidden="1" outlineLevel="2" x14ac:dyDescent="0.2">
      <c r="A610" t="str">
        <f ca="1">Language!A$533</f>
        <v xml:space="preserve">    цена без НДС и акцизов</v>
      </c>
      <c r="B610" s="36" t="str">
        <f ca="1">Language!A$537</f>
        <v>Адвалорные</v>
      </c>
      <c r="C610" s="36" t="str">
        <f ca="1">Language!A$538</f>
        <v>Твердые</v>
      </c>
      <c r="D610" s="46" t="s">
        <v>176</v>
      </c>
      <c r="F610" s="82">
        <f t="shared" ref="F610:K610" si="505">(F607/(1+$B613)-$C611)/(1+$B611)</f>
        <v>12000</v>
      </c>
      <c r="G610" s="82">
        <f t="shared" si="505"/>
        <v>12000</v>
      </c>
      <c r="H610" s="82">
        <f t="shared" si="505"/>
        <v>12000</v>
      </c>
      <c r="I610" s="82">
        <f t="shared" si="505"/>
        <v>12000</v>
      </c>
      <c r="J610" s="82">
        <f t="shared" si="505"/>
        <v>12000</v>
      </c>
      <c r="K610" s="82">
        <f t="shared" si="505"/>
        <v>12000</v>
      </c>
    </row>
    <row r="611" spans="1:13" hidden="1" outlineLevel="2" x14ac:dyDescent="0.2">
      <c r="A611" t="str">
        <f ca="1">Language!A$534</f>
        <v xml:space="preserve">    акцизы</v>
      </c>
      <c r="B611" s="282">
        <v>0</v>
      </c>
      <c r="C611" s="284">
        <v>0</v>
      </c>
      <c r="D611" s="46" t="s">
        <v>176</v>
      </c>
      <c r="F611" s="82">
        <f t="shared" ref="F611:K611" si="506">F610*$B611+$C611</f>
        <v>0</v>
      </c>
      <c r="G611" s="82">
        <f t="shared" si="506"/>
        <v>0</v>
      </c>
      <c r="H611" s="82">
        <f t="shared" si="506"/>
        <v>0</v>
      </c>
      <c r="I611" s="82">
        <f t="shared" si="506"/>
        <v>0</v>
      </c>
      <c r="J611" s="82">
        <f t="shared" si="506"/>
        <v>0</v>
      </c>
      <c r="K611" s="82">
        <f t="shared" si="506"/>
        <v>0</v>
      </c>
    </row>
    <row r="612" spans="1:13" hidden="1" outlineLevel="2" x14ac:dyDescent="0.2">
      <c r="A612" t="str">
        <f ca="1">Language!A$535</f>
        <v xml:space="preserve">    налог с продаж</v>
      </c>
      <c r="B612" s="283">
        <v>0</v>
      </c>
      <c r="C612" s="80" t="str">
        <f ca="1">CHOOSE(B607,CUR_Main,CUR_Foreign)</f>
        <v>руб.</v>
      </c>
      <c r="D612" s="46" t="s">
        <v>176</v>
      </c>
      <c r="F612" s="82">
        <f t="shared" ref="F612:K612" si="507">(F610+F611)*$B612</f>
        <v>0</v>
      </c>
      <c r="G612" s="82">
        <f t="shared" si="507"/>
        <v>0</v>
      </c>
      <c r="H612" s="82">
        <f t="shared" si="507"/>
        <v>0</v>
      </c>
      <c r="I612" s="82">
        <f t="shared" si="507"/>
        <v>0</v>
      </c>
      <c r="J612" s="82">
        <f t="shared" si="507"/>
        <v>0</v>
      </c>
      <c r="K612" s="82">
        <f t="shared" si="507"/>
        <v>0</v>
      </c>
    </row>
    <row r="613" spans="1:13" hidden="1" outlineLevel="2" x14ac:dyDescent="0.2">
      <c r="A613" t="str">
        <f ca="1">Language!A$536</f>
        <v xml:space="preserve">    НДС</v>
      </c>
      <c r="B613" s="283">
        <f>VAT</f>
        <v>0</v>
      </c>
      <c r="C613" s="81" t="str">
        <f ca="1">CHOOSE(B607,CUR_Main,CUR_Foreign)</f>
        <v>руб.</v>
      </c>
      <c r="D613" s="46" t="s">
        <v>176</v>
      </c>
      <c r="F613" s="82">
        <f t="shared" ref="F613:K613" si="508">(F610+F611)*$B613</f>
        <v>0</v>
      </c>
      <c r="G613" s="82">
        <f t="shared" si="508"/>
        <v>0</v>
      </c>
      <c r="H613" s="82">
        <f t="shared" si="508"/>
        <v>0</v>
      </c>
      <c r="I613" s="82">
        <f t="shared" si="508"/>
        <v>0</v>
      </c>
      <c r="J613" s="82">
        <f t="shared" si="508"/>
        <v>0</v>
      </c>
      <c r="K613" s="82">
        <f t="shared" si="508"/>
        <v>0</v>
      </c>
    </row>
    <row r="614" spans="1:13" outlineLevel="1" x14ac:dyDescent="0.2"/>
    <row r="615" spans="1:13" outlineLevel="1" x14ac:dyDescent="0.2">
      <c r="A615" s="63"/>
      <c r="B615" s="63"/>
      <c r="C615" s="63"/>
      <c r="D615" s="63"/>
      <c r="E615" s="63"/>
      <c r="F615" s="63"/>
      <c r="G615" s="63"/>
      <c r="H615" s="63"/>
      <c r="I615" s="63"/>
      <c r="J615" s="63"/>
      <c r="K615" s="63"/>
      <c r="L615" s="63"/>
      <c r="M615" s="64"/>
    </row>
    <row r="616" spans="1:13" outlineLevel="1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0"/>
    </row>
    <row r="617" spans="1:13" s="4" customFormat="1" ht="15.9" customHeight="1" thickBot="1" x14ac:dyDescent="0.25">
      <c r="A617" s="166" t="str">
        <f ca="1">Language!A539</f>
        <v xml:space="preserve">         ДОХОДЫ ОТ ПРОДАЖ</v>
      </c>
      <c r="B617" s="166"/>
      <c r="C617" s="166"/>
      <c r="D617" s="166"/>
      <c r="E617" s="166"/>
      <c r="F617" s="178" t="str">
        <f t="shared" ref="F617:K617" si="509">PeriodTitle</f>
        <v>4/ 2020</v>
      </c>
      <c r="G617" s="178" t="str">
        <f t="shared" si="509"/>
        <v>5/ 2020</v>
      </c>
      <c r="H617" s="178" t="str">
        <f t="shared" si="509"/>
        <v>6/ 2020</v>
      </c>
      <c r="I617" s="178" t="str">
        <f t="shared" si="509"/>
        <v>7/ 2020</v>
      </c>
      <c r="J617" s="178" t="str">
        <f t="shared" si="509"/>
        <v>8/ 2020</v>
      </c>
      <c r="K617" s="178" t="str">
        <f t="shared" si="509"/>
        <v>9/ 2020</v>
      </c>
      <c r="L617" s="166"/>
      <c r="M617" s="195" t="str">
        <f ca="1">Language!$A$371</f>
        <v>ИТОГО</v>
      </c>
    </row>
    <row r="618" spans="1:13" ht="10.8" outlineLevel="1" thickTop="1" x14ac:dyDescent="0.2">
      <c r="D618">
        <v>0</v>
      </c>
      <c r="E618">
        <v>8</v>
      </c>
    </row>
    <row r="619" spans="1:13" outlineLevel="1" collapsed="1" x14ac:dyDescent="0.2">
      <c r="A619" t="str">
        <f>A586</f>
        <v>Наименование товара</v>
      </c>
      <c r="C619" s="5" t="str">
        <f ca="1">CHOOSE(B600,CUR_Main,CUR_Foreign)</f>
        <v>руб.</v>
      </c>
      <c r="D619" s="46" t="str">
        <f>TEXT(B600,"0")&amp;"_01"</f>
        <v>1_01</v>
      </c>
      <c r="F619" s="83">
        <f t="shared" ref="F619:J619" si="510">F620+F593*F606</f>
        <v>0</v>
      </c>
      <c r="G619" s="83">
        <f t="shared" si="510"/>
        <v>0</v>
      </c>
      <c r="H619" s="83">
        <f t="shared" si="510"/>
        <v>0</v>
      </c>
      <c r="I619" s="83">
        <f t="shared" si="510"/>
        <v>0</v>
      </c>
      <c r="J619" s="83">
        <f t="shared" si="510"/>
        <v>0</v>
      </c>
      <c r="K619" s="83">
        <f t="shared" ref="K619" si="511">K620+K593*K606</f>
        <v>0</v>
      </c>
      <c r="M619" s="57">
        <f t="shared" ref="M619:M624" si="512">SUM(F619:K619)</f>
        <v>0</v>
      </c>
    </row>
    <row r="620" spans="1:13" hidden="1" outlineLevel="2" x14ac:dyDescent="0.2">
      <c r="A620" t="str">
        <f ca="1">Language!A$540</f>
        <v xml:space="preserve">    к оплате от покупателей (без НДС)</v>
      </c>
      <c r="C620" s="5" t="str">
        <f ca="1">CHOOSE(B600,CUR_Main,CUR_Foreign)</f>
        <v>руб.</v>
      </c>
      <c r="D620" t="str">
        <f>TEXT(B600,"0")&amp;"_02"</f>
        <v>1_02</v>
      </c>
      <c r="F620" s="53">
        <f t="shared" ref="F620:J620" si="513">F593*(F603+F604)</f>
        <v>0</v>
      </c>
      <c r="G620" s="53">
        <f t="shared" si="513"/>
        <v>0</v>
      </c>
      <c r="H620" s="53">
        <f t="shared" si="513"/>
        <v>0</v>
      </c>
      <c r="I620" s="53">
        <f t="shared" si="513"/>
        <v>0</v>
      </c>
      <c r="J620" s="53">
        <f t="shared" si="513"/>
        <v>0</v>
      </c>
      <c r="K620" s="53">
        <f t="shared" ref="K620" si="514">K593*(K603+K604)</f>
        <v>0</v>
      </c>
      <c r="M620" s="54">
        <f t="shared" si="512"/>
        <v>0</v>
      </c>
    </row>
    <row r="621" spans="1:13" hidden="1" outlineLevel="2" x14ac:dyDescent="0.2">
      <c r="A621" t="str">
        <f ca="1">Language!A$541</f>
        <v xml:space="preserve">    в т.ч. акцизов, налогов и пошлин</v>
      </c>
      <c r="C621" s="5" t="str">
        <f ca="1">CHOOSE(B600,CUR_Main,CUR_Foreign)</f>
        <v>руб.</v>
      </c>
      <c r="D621" t="str">
        <f>TEXT(B600,"0")&amp;"_03"</f>
        <v>1_03</v>
      </c>
      <c r="F621" s="53">
        <f t="shared" ref="F621:J621" si="515">F593*(F604+F605)</f>
        <v>0</v>
      </c>
      <c r="G621" s="53">
        <f t="shared" si="515"/>
        <v>0</v>
      </c>
      <c r="H621" s="53">
        <f t="shared" si="515"/>
        <v>0</v>
      </c>
      <c r="I621" s="53">
        <f t="shared" si="515"/>
        <v>0</v>
      </c>
      <c r="J621" s="53">
        <f t="shared" si="515"/>
        <v>0</v>
      </c>
      <c r="K621" s="53">
        <f t="shared" ref="K621" si="516">K593*(K604+K605)</f>
        <v>0</v>
      </c>
      <c r="M621" s="54">
        <f t="shared" si="512"/>
        <v>0</v>
      </c>
    </row>
    <row r="622" spans="1:13" hidden="1" outlineLevel="2" x14ac:dyDescent="0.2">
      <c r="A622" t="str">
        <f ca="1">Language!A$542</f>
        <v xml:space="preserve">    НДС на поставленную продукцию</v>
      </c>
      <c r="C622" s="5" t="str">
        <f ca="1">CHOOSE(B600,CUR_Main,CUR_Foreign)</f>
        <v>руб.</v>
      </c>
      <c r="D622" t="str">
        <f>TEXT(B600,"0")&amp;"_08"</f>
        <v>1_08</v>
      </c>
      <c r="F622" s="84">
        <f t="shared" ref="F622:K622" si="517">(F620-MAX(E626-F626,0)+MAX(F626-E626,0))*$B606</f>
        <v>0</v>
      </c>
      <c r="G622" s="84">
        <f t="shared" si="517"/>
        <v>0</v>
      </c>
      <c r="H622" s="84">
        <f t="shared" si="517"/>
        <v>0</v>
      </c>
      <c r="I622" s="84">
        <f t="shared" si="517"/>
        <v>0</v>
      </c>
      <c r="J622" s="84">
        <f t="shared" si="517"/>
        <v>0</v>
      </c>
      <c r="K622" s="84">
        <f t="shared" si="517"/>
        <v>0</v>
      </c>
      <c r="M622" s="54">
        <f t="shared" si="512"/>
        <v>0</v>
      </c>
    </row>
    <row r="623" spans="1:13" hidden="1" outlineLevel="2" x14ac:dyDescent="0.2">
      <c r="A623" t="str">
        <f ca="1">Language!A$543</f>
        <v xml:space="preserve">    график оплаты (без НДС)</v>
      </c>
      <c r="C623" s="5" t="str">
        <f ca="1">CHOOSE(B600,CUR_Main,CUR_Foreign)</f>
        <v>руб.</v>
      </c>
      <c r="D623" t="str">
        <f>TEXT(B600,"0")&amp;"_04"</f>
        <v>1_04</v>
      </c>
      <c r="F623" s="272">
        <f t="shared" ref="F623:J623" si="518">F620</f>
        <v>0</v>
      </c>
      <c r="G623" s="272">
        <f t="shared" si="518"/>
        <v>0</v>
      </c>
      <c r="H623" s="272">
        <f t="shared" si="518"/>
        <v>0</v>
      </c>
      <c r="I623" s="272">
        <f t="shared" si="518"/>
        <v>0</v>
      </c>
      <c r="J623" s="272">
        <f t="shared" si="518"/>
        <v>0</v>
      </c>
      <c r="K623" s="272">
        <f t="shared" ref="K623" si="519">K620</f>
        <v>0</v>
      </c>
      <c r="M623" s="54">
        <f t="shared" si="512"/>
        <v>0</v>
      </c>
    </row>
    <row r="624" spans="1:13" hidden="1" outlineLevel="2" x14ac:dyDescent="0.2">
      <c r="A624" t="str">
        <f ca="1">Language!A$544</f>
        <v xml:space="preserve">    полученный НДС</v>
      </c>
      <c r="C624" s="5" t="str">
        <f ca="1">CHOOSE(B600,CUR_Main,CUR_Foreign)</f>
        <v>руб.</v>
      </c>
      <c r="D624" t="str">
        <f>TEXT(B600,"0")&amp;"_05"</f>
        <v>1_05</v>
      </c>
      <c r="F624" s="84">
        <f t="shared" ref="F624:J624" si="520">F623*$B606</f>
        <v>0</v>
      </c>
      <c r="G624" s="84">
        <f t="shared" si="520"/>
        <v>0</v>
      </c>
      <c r="H624" s="84">
        <f t="shared" si="520"/>
        <v>0</v>
      </c>
      <c r="I624" s="84">
        <f t="shared" si="520"/>
        <v>0</v>
      </c>
      <c r="J624" s="84">
        <f t="shared" si="520"/>
        <v>0</v>
      </c>
      <c r="K624" s="84">
        <f t="shared" ref="K624" si="521">K623*$B606</f>
        <v>0</v>
      </c>
      <c r="M624" s="54">
        <f t="shared" si="512"/>
        <v>0</v>
      </c>
    </row>
    <row r="625" spans="1:13" hidden="1" outlineLevel="2" x14ac:dyDescent="0.2">
      <c r="A625" t="str">
        <f ca="1">Language!A$545</f>
        <v xml:space="preserve">    дебиторская задолженность</v>
      </c>
      <c r="C625" s="5" t="str">
        <f ca="1">CHOOSE(B600,CUR_Main,CUR_Foreign)</f>
        <v>руб.</v>
      </c>
      <c r="D625" t="str">
        <f>TEXT(B600,"0")&amp;"_06"&amp;";int_end"</f>
        <v>1_06;int_end</v>
      </c>
      <c r="F625" s="84">
        <f>IF(SUM($F619:F619)&gt;=0,MAX(SUM($F619:F619)-SUM($F623:F623)-SUM($F624:F624),0),MIN(SUM($F619:F619)-SUM($F623:F623)-SUM($F624:F624),0))</f>
        <v>0</v>
      </c>
      <c r="G625" s="84">
        <f>IF(SUM($F619:G619)&gt;=0,MAX(SUM($F619:G619)-SUM($F623:G623)-SUM($F624:G624),0),MIN(SUM($F619:G619)-SUM($F623:G623)-SUM($F624:G624),0))</f>
        <v>0</v>
      </c>
      <c r="H625" s="84">
        <f>IF(SUM($F619:H619)&gt;=0,MAX(SUM($F619:H619)-SUM($F623:H623)-SUM($F624:H624),0),MIN(SUM($F619:H619)-SUM($F623:H623)-SUM($F624:H624),0))</f>
        <v>0</v>
      </c>
      <c r="I625" s="84">
        <f>IF(SUM($F619:I619)&gt;=0,MAX(SUM($F619:I619)-SUM($F623:I623)-SUM($F624:I624),0),MIN(SUM($F619:I619)-SUM($F623:I623)-SUM($F624:I624),0))</f>
        <v>0</v>
      </c>
      <c r="J625" s="84">
        <f>IF(SUM($F619:J619)&gt;=0,MAX(SUM($F619:J619)-SUM($F623:J623)-SUM($F624:J624),0),MIN(SUM($F619:J619)-SUM($F623:J623)-SUM($F624:J624),0))</f>
        <v>0</v>
      </c>
      <c r="K625" s="84">
        <f>IF(SUM($F619:K619)&gt;=0,MAX(SUM($F619:K619)-SUM($F623:K623)-SUM($F624:K624),0),MIN(SUM($F619:K619)-SUM($F623:K623)-SUM($F624:K624),0))</f>
        <v>0</v>
      </c>
    </row>
    <row r="626" spans="1:13" hidden="1" outlineLevel="2" x14ac:dyDescent="0.2">
      <c r="A626" t="str">
        <f ca="1">Language!A$546</f>
        <v xml:space="preserve">    полученные авансы</v>
      </c>
      <c r="C626" s="5" t="str">
        <f ca="1">CHOOSE(B600,CUR_Main,CUR_Foreign)</f>
        <v>руб.</v>
      </c>
      <c r="D626" t="str">
        <f>TEXT(B600,"0")&amp;"_07"&amp;";int_end"</f>
        <v>1_07;int_end</v>
      </c>
      <c r="F626" s="84">
        <f>IF(SUM($F620:F620)&gt;=0,MAX(SUM($F623:F623)-SUM($F620:F620),0),MIN(SUM($F623:F623)-SUM($F620:F620),0))</f>
        <v>0</v>
      </c>
      <c r="G626" s="84">
        <f>IF(SUM($F620:G620)&gt;=0,MAX(SUM($F623:G623)-SUM($F620:G620),0),MIN(SUM($F623:G623)-SUM($F620:G620),0))</f>
        <v>0</v>
      </c>
      <c r="H626" s="84">
        <f>IF(SUM($F620:H620)&gt;=0,MAX(SUM($F623:H623)-SUM($F620:H620),0),MIN(SUM($F623:H623)-SUM($F620:H620),0))</f>
        <v>0</v>
      </c>
      <c r="I626" s="84">
        <f>IF(SUM($F620:I620)&gt;=0,MAX(SUM($F623:I623)-SUM($F620:I620),0),MIN(SUM($F623:I623)-SUM($F620:I620),0))</f>
        <v>0</v>
      </c>
      <c r="J626" s="84">
        <f>IF(SUM($F620:J620)&gt;=0,MAX(SUM($F623:J623)-SUM($F620:J620),0),MIN(SUM($F623:J623)-SUM($F620:J620),0))</f>
        <v>0</v>
      </c>
      <c r="K626" s="84">
        <f>IF(SUM($F620:K620)&gt;=0,MAX(SUM($F623:K623)-SUM($F620:K620),0),MIN(SUM($F623:K623)-SUM($F620:K620),0))</f>
        <v>0</v>
      </c>
    </row>
    <row r="627" spans="1:13" outlineLevel="1" collapsed="1" x14ac:dyDescent="0.2">
      <c r="A627" t="str">
        <f>A587</f>
        <v>Лицензия продукта</v>
      </c>
      <c r="C627" s="5" t="str">
        <f ca="1">CHOOSE(B607,CUR_Main,CUR_Foreign)</f>
        <v>руб.</v>
      </c>
      <c r="D627" s="46" t="str">
        <f>TEXT(B607,"0")&amp;"_01"</f>
        <v>1_01</v>
      </c>
      <c r="F627" s="83">
        <f t="shared" ref="F627:K627" si="522">F628+F594*F613</f>
        <v>36000000</v>
      </c>
      <c r="G627" s="83">
        <f t="shared" si="522"/>
        <v>84000000</v>
      </c>
      <c r="H627" s="83">
        <f t="shared" si="522"/>
        <v>120000000</v>
      </c>
      <c r="I627" s="83">
        <f t="shared" si="522"/>
        <v>120000000</v>
      </c>
      <c r="J627" s="83">
        <f t="shared" si="522"/>
        <v>120000000</v>
      </c>
      <c r="K627" s="83">
        <f t="shared" si="522"/>
        <v>120000000</v>
      </c>
      <c r="M627" s="57">
        <f t="shared" ref="M627:M632" si="523">SUM(F627:K627)</f>
        <v>600000000</v>
      </c>
    </row>
    <row r="628" spans="1:13" hidden="1" outlineLevel="2" x14ac:dyDescent="0.2">
      <c r="A628" t="str">
        <f ca="1">Language!A$540</f>
        <v xml:space="preserve">    к оплате от покупателей (без НДС)</v>
      </c>
      <c r="C628" s="5" t="str">
        <f ca="1">CHOOSE(B607,CUR_Main,CUR_Foreign)</f>
        <v>руб.</v>
      </c>
      <c r="D628" t="str">
        <f>TEXT(B607,"0")&amp;"_02"</f>
        <v>1_02</v>
      </c>
      <c r="F628" s="53">
        <f t="shared" ref="F628:K628" si="524">F594*(F610+F611)</f>
        <v>36000000</v>
      </c>
      <c r="G628" s="53">
        <f t="shared" si="524"/>
        <v>84000000</v>
      </c>
      <c r="H628" s="53">
        <f t="shared" si="524"/>
        <v>120000000</v>
      </c>
      <c r="I628" s="53">
        <f t="shared" si="524"/>
        <v>120000000</v>
      </c>
      <c r="J628" s="53">
        <f t="shared" si="524"/>
        <v>120000000</v>
      </c>
      <c r="K628" s="53">
        <f t="shared" si="524"/>
        <v>120000000</v>
      </c>
      <c r="M628" s="54">
        <f t="shared" si="523"/>
        <v>600000000</v>
      </c>
    </row>
    <row r="629" spans="1:13" hidden="1" outlineLevel="2" x14ac:dyDescent="0.2">
      <c r="A629" t="str">
        <f ca="1">Language!A$541</f>
        <v xml:space="preserve">    в т.ч. акцизов, налогов и пошлин</v>
      </c>
      <c r="C629" s="5" t="str">
        <f ca="1">CHOOSE(B607,CUR_Main,CUR_Foreign)</f>
        <v>руб.</v>
      </c>
      <c r="D629" t="str">
        <f>TEXT(B607,"0")&amp;"_03"</f>
        <v>1_03</v>
      </c>
      <c r="F629" s="53">
        <f t="shared" ref="F629:K629" si="525">F594*(F611+F612)</f>
        <v>0</v>
      </c>
      <c r="G629" s="53">
        <f t="shared" si="525"/>
        <v>0</v>
      </c>
      <c r="H629" s="53">
        <f t="shared" si="525"/>
        <v>0</v>
      </c>
      <c r="I629" s="53">
        <f t="shared" si="525"/>
        <v>0</v>
      </c>
      <c r="J629" s="53">
        <f t="shared" si="525"/>
        <v>0</v>
      </c>
      <c r="K629" s="53">
        <f t="shared" si="525"/>
        <v>0</v>
      </c>
      <c r="M629" s="54">
        <f t="shared" si="523"/>
        <v>0</v>
      </c>
    </row>
    <row r="630" spans="1:13" hidden="1" outlineLevel="2" x14ac:dyDescent="0.2">
      <c r="A630" t="str">
        <f ca="1">Language!A$542</f>
        <v xml:space="preserve">    НДС на поставленную продукцию</v>
      </c>
      <c r="C630" s="5" t="str">
        <f ca="1">CHOOSE(B607,CUR_Main,CUR_Foreign)</f>
        <v>руб.</v>
      </c>
      <c r="D630" t="str">
        <f>TEXT(B607,"0")&amp;"_08"</f>
        <v>1_08</v>
      </c>
      <c r="F630" s="84">
        <f t="shared" ref="F630:K630" si="526">(F628-MAX(E634-F634,0)+MAX(F634-E634,0))*$B613</f>
        <v>0</v>
      </c>
      <c r="G630" s="84">
        <f t="shared" si="526"/>
        <v>0</v>
      </c>
      <c r="H630" s="84">
        <f t="shared" si="526"/>
        <v>0</v>
      </c>
      <c r="I630" s="84">
        <f t="shared" si="526"/>
        <v>0</v>
      </c>
      <c r="J630" s="84">
        <f t="shared" si="526"/>
        <v>0</v>
      </c>
      <c r="K630" s="84">
        <f t="shared" si="526"/>
        <v>0</v>
      </c>
      <c r="M630" s="54">
        <f t="shared" si="523"/>
        <v>0</v>
      </c>
    </row>
    <row r="631" spans="1:13" hidden="1" outlineLevel="2" x14ac:dyDescent="0.2">
      <c r="A631" t="str">
        <f ca="1">Language!A$543</f>
        <v xml:space="preserve">    график оплаты (без НДС)</v>
      </c>
      <c r="C631" s="5" t="str">
        <f ca="1">CHOOSE(B607,CUR_Main,CUR_Foreign)</f>
        <v>руб.</v>
      </c>
      <c r="D631" t="str">
        <f>TEXT(B607,"0")&amp;"_04"</f>
        <v>1_04</v>
      </c>
      <c r="F631" s="272">
        <f t="shared" ref="F631:K631" si="527">F628</f>
        <v>36000000</v>
      </c>
      <c r="G631" s="272">
        <f t="shared" si="527"/>
        <v>84000000</v>
      </c>
      <c r="H631" s="272">
        <f t="shared" si="527"/>
        <v>120000000</v>
      </c>
      <c r="I631" s="272">
        <f t="shared" si="527"/>
        <v>120000000</v>
      </c>
      <c r="J631" s="272">
        <f t="shared" si="527"/>
        <v>120000000</v>
      </c>
      <c r="K631" s="272">
        <f t="shared" si="527"/>
        <v>120000000</v>
      </c>
      <c r="M631" s="54">
        <f t="shared" si="523"/>
        <v>600000000</v>
      </c>
    </row>
    <row r="632" spans="1:13" hidden="1" outlineLevel="2" x14ac:dyDescent="0.2">
      <c r="A632" t="str">
        <f ca="1">Language!A$544</f>
        <v xml:space="preserve">    полученный НДС</v>
      </c>
      <c r="C632" s="5" t="str">
        <f ca="1">CHOOSE(B607,CUR_Main,CUR_Foreign)</f>
        <v>руб.</v>
      </c>
      <c r="D632" t="str">
        <f>TEXT(B607,"0")&amp;"_05"</f>
        <v>1_05</v>
      </c>
      <c r="F632" s="84">
        <f t="shared" ref="F632:K632" si="528">F631*$B613</f>
        <v>0</v>
      </c>
      <c r="G632" s="84">
        <f t="shared" si="528"/>
        <v>0</v>
      </c>
      <c r="H632" s="84">
        <f t="shared" si="528"/>
        <v>0</v>
      </c>
      <c r="I632" s="84">
        <f t="shared" si="528"/>
        <v>0</v>
      </c>
      <c r="J632" s="84">
        <f t="shared" si="528"/>
        <v>0</v>
      </c>
      <c r="K632" s="84">
        <f t="shared" si="528"/>
        <v>0</v>
      </c>
      <c r="M632" s="54">
        <f t="shared" si="523"/>
        <v>0</v>
      </c>
    </row>
    <row r="633" spans="1:13" hidden="1" outlineLevel="2" x14ac:dyDescent="0.2">
      <c r="A633" t="str">
        <f ca="1">Language!A$545</f>
        <v xml:space="preserve">    дебиторская задолженность</v>
      </c>
      <c r="C633" s="5" t="str">
        <f ca="1">CHOOSE(B607,CUR_Main,CUR_Foreign)</f>
        <v>руб.</v>
      </c>
      <c r="D633" t="str">
        <f>TEXT(B607,"0")&amp;"_06"&amp;";int_end"</f>
        <v>1_06;int_end</v>
      </c>
      <c r="F633" s="84">
        <f>IF(SUM($F627:F627)&gt;=0,MAX(SUM($F627:F627)-SUM($F631:F631)-SUM($F632:F632),0),MIN(SUM($F627:F627)-SUM($F631:F631)-SUM($F632:F632),0))</f>
        <v>0</v>
      </c>
      <c r="G633" s="84">
        <f>IF(SUM($F627:G627)&gt;=0,MAX(SUM($F627:G627)-SUM($F631:G631)-SUM($F632:G632),0),MIN(SUM($F627:G627)-SUM($F631:G631)-SUM($F632:G632),0))</f>
        <v>0</v>
      </c>
      <c r="H633" s="84">
        <f>IF(SUM($F627:H627)&gt;=0,MAX(SUM($F627:H627)-SUM($F631:H631)-SUM($F632:H632),0),MIN(SUM($F627:H627)-SUM($F631:H631)-SUM($F632:H632),0))</f>
        <v>0</v>
      </c>
      <c r="I633" s="84">
        <f>IF(SUM($F627:I627)&gt;=0,MAX(SUM($F627:I627)-SUM($F631:I631)-SUM($F632:I632),0),MIN(SUM($F627:I627)-SUM($F631:I631)-SUM($F632:I632),0))</f>
        <v>0</v>
      </c>
      <c r="J633" s="84">
        <f>IF(SUM($F627:J627)&gt;=0,MAX(SUM($F627:J627)-SUM($F631:J631)-SUM($F632:J632),0),MIN(SUM($F627:J627)-SUM($F631:J631)-SUM($F632:J632),0))</f>
        <v>0</v>
      </c>
      <c r="K633" s="84">
        <f>IF(SUM($F627:K627)&gt;=0,MAX(SUM($F627:K627)-SUM($F631:K631)-SUM($F632:K632),0),MIN(SUM($F627:K627)-SUM($F631:K631)-SUM($F632:K632),0))</f>
        <v>0</v>
      </c>
    </row>
    <row r="634" spans="1:13" hidden="1" outlineLevel="2" x14ac:dyDescent="0.2">
      <c r="A634" t="str">
        <f ca="1">Language!A$546</f>
        <v xml:space="preserve">    полученные авансы</v>
      </c>
      <c r="C634" s="5" t="str">
        <f ca="1">CHOOSE(B607,CUR_Main,CUR_Foreign)</f>
        <v>руб.</v>
      </c>
      <c r="D634" t="str">
        <f>TEXT(B607,"0")&amp;"_07"&amp;";int_end"</f>
        <v>1_07;int_end</v>
      </c>
      <c r="F634" s="84">
        <f>IF(SUM($F628:F628)&gt;=0,MAX(SUM($F631:F631)-SUM($F628:F628),0),MIN(SUM($F631:F631)-SUM($F628:F628),0))</f>
        <v>0</v>
      </c>
      <c r="G634" s="84">
        <f>IF(SUM($F628:G628)&gt;=0,MAX(SUM($F631:G631)-SUM($F628:G628),0),MIN(SUM($F631:G631)-SUM($F628:G628),0))</f>
        <v>0</v>
      </c>
      <c r="H634" s="84">
        <f>IF(SUM($F628:H628)&gt;=0,MAX(SUM($F631:H631)-SUM($F628:H628),0),MIN(SUM($F631:H631)-SUM($F628:H628),0))</f>
        <v>0</v>
      </c>
      <c r="I634" s="84">
        <f>IF(SUM($F628:I628)&gt;=0,MAX(SUM($F631:I631)-SUM($F628:I628),0),MIN(SUM($F631:I631)-SUM($F628:I628),0))</f>
        <v>0</v>
      </c>
      <c r="J634" s="84">
        <f>IF(SUM($F628:J628)&gt;=0,MAX(SUM($F631:J631)-SUM($F628:J628),0),MIN(SUM($F631:J631)-SUM($F628:J628),0))</f>
        <v>0</v>
      </c>
      <c r="K634" s="84">
        <f>IF(SUM($F628:K628)&gt;=0,MAX(SUM($F631:K631)-SUM($F628:K628),0),MIN(SUM($F631:K631)-SUM($F628:K628),0))</f>
        <v>0</v>
      </c>
    </row>
    <row r="635" spans="1:13" outlineLevel="1" x14ac:dyDescent="0.2"/>
    <row r="636" spans="1:13" outlineLevel="1" collapsed="1" x14ac:dyDescent="0.2">
      <c r="A636" s="35" t="str">
        <f ca="1">Language!A547</f>
        <v xml:space="preserve"> = Итого</v>
      </c>
      <c r="C636" s="5" t="str">
        <f t="shared" ref="C636:C643" ca="1" si="529">CUR_Main</f>
        <v>руб.</v>
      </c>
      <c r="F636" s="53">
        <f>SUMIF($D618:$D635,"*1_01*",F618:F635)+SUMIF($D618:$D635,"*2_01*",F618:F635)*F$88</f>
        <v>36000000</v>
      </c>
      <c r="G636" s="53">
        <f>SUMIF($D618:$D635,"*1_01*",G618:G635)+SUMIF($D618:$D635,"*2_01*",G618:G635)*G$88</f>
        <v>84000000</v>
      </c>
      <c r="H636" s="53">
        <f>SUMIF($D618:$D635,"*1_01*",H618:H635)+SUMIF($D618:$D635,"*2_01*",H618:H635)*H$88</f>
        <v>120000000</v>
      </c>
      <c r="I636" s="53">
        <f>SUMIF($D618:$D635,"*1_01*",I618:I635)+SUMIF($D618:$D635,"*2_01*",I618:I635)*I$88</f>
        <v>120000000</v>
      </c>
      <c r="J636" s="53">
        <f>SUMIF($D618:$D635,"*1_01*",J618:J635)+SUMIF($D618:$D635,"*2_01*",J618:J635)*J$88</f>
        <v>120000000</v>
      </c>
      <c r="K636" s="53">
        <f>SUMIF($D618:$D635,"*1_01*",K618:K635)+SUMIF($D618:$D635,"*2_01*",K618:K635)*K$88</f>
        <v>120000000</v>
      </c>
      <c r="M636" s="57">
        <f>SUM(F636:K636)</f>
        <v>600000000</v>
      </c>
    </row>
    <row r="637" spans="1:13" hidden="1" outlineLevel="2" x14ac:dyDescent="0.2">
      <c r="A637" t="str">
        <f ca="1">Language!A540</f>
        <v xml:space="preserve">    к оплате от покупателей (без НДС)</v>
      </c>
      <c r="C637" s="5" t="str">
        <f t="shared" ca="1" si="529"/>
        <v>руб.</v>
      </c>
      <c r="F637" s="53">
        <f>SUMIF($D618:$D635,"*1_02*",F618:F635)+SUMIF($D618:$D635,"*2_02*",F618:F635)*F$88</f>
        <v>36000000</v>
      </c>
      <c r="G637" s="53">
        <f>SUMIF($D618:$D635,"*1_02*",G618:G635)+SUMIF($D618:$D635,"*2_02*",G618:G635)*G$88</f>
        <v>84000000</v>
      </c>
      <c r="H637" s="53">
        <f>SUMIF($D618:$D635,"*1_02*",H618:H635)+SUMIF($D618:$D635,"*2_02*",H618:H635)*H$88</f>
        <v>120000000</v>
      </c>
      <c r="I637" s="53">
        <f>SUMIF($D618:$D635,"*1_02*",I618:I635)+SUMIF($D618:$D635,"*2_02*",I618:I635)*I$88</f>
        <v>120000000</v>
      </c>
      <c r="J637" s="53">
        <f>SUMIF($D618:$D635,"*1_02*",J618:J635)+SUMIF($D618:$D635,"*2_02*",J618:J635)*J$88</f>
        <v>120000000</v>
      </c>
      <c r="K637" s="53">
        <f>SUMIF($D618:$D635,"*1_02*",K618:K635)+SUMIF($D618:$D635,"*2_02*",K618:K635)*K$88</f>
        <v>120000000</v>
      </c>
      <c r="M637" s="54">
        <f>SUM(F637:K637)</f>
        <v>600000000</v>
      </c>
    </row>
    <row r="638" spans="1:13" hidden="1" outlineLevel="2" x14ac:dyDescent="0.2">
      <c r="A638" t="str">
        <f ca="1">Language!A541</f>
        <v xml:space="preserve">    в т.ч. акцизов, налогов и пошлин</v>
      </c>
      <c r="C638" s="5" t="str">
        <f t="shared" ca="1" si="529"/>
        <v>руб.</v>
      </c>
      <c r="F638" s="53">
        <f>SUMIF($D618:$D635,"*1_03*",F618:F635)+SUMIF($D618:$D635,"*2_03*",F618:F635)*F$88</f>
        <v>0</v>
      </c>
      <c r="G638" s="53">
        <f>SUMIF($D618:$D635,"*1_03*",G618:G635)+SUMIF($D618:$D635,"*2_03*",G618:G635)*G$88</f>
        <v>0</v>
      </c>
      <c r="H638" s="53">
        <f>SUMIF($D618:$D635,"*1_03*",H618:H635)+SUMIF($D618:$D635,"*2_03*",H618:H635)*H$88</f>
        <v>0</v>
      </c>
      <c r="I638" s="53">
        <f>SUMIF($D618:$D635,"*1_03*",I618:I635)+SUMIF($D618:$D635,"*2_03*",I618:I635)*I$88</f>
        <v>0</v>
      </c>
      <c r="J638" s="53">
        <f>SUMIF($D618:$D635,"*1_03*",J618:J635)+SUMIF($D618:$D635,"*2_03*",J618:J635)*J$88</f>
        <v>0</v>
      </c>
      <c r="K638" s="53">
        <f>SUMIF($D618:$D635,"*1_03*",K618:K635)+SUMIF($D618:$D635,"*2_03*",K618:K635)*K$88</f>
        <v>0</v>
      </c>
      <c r="M638" s="54">
        <f>SUM(F638:K638)</f>
        <v>0</v>
      </c>
    </row>
    <row r="639" spans="1:13" hidden="1" outlineLevel="2" x14ac:dyDescent="0.2">
      <c r="A639" t="str">
        <f ca="1">Language!A542</f>
        <v xml:space="preserve">    НДС на поставленную продукцию</v>
      </c>
      <c r="C639" s="5" t="str">
        <f t="shared" ca="1" si="529"/>
        <v>руб.</v>
      </c>
      <c r="F639" s="84">
        <f>SUMIF($D618:$D635,"*1_08*",F618:F635)+SUMIF($D618:$D635,"*2_08*",F618:F635)*F$88</f>
        <v>0</v>
      </c>
      <c r="G639" s="84">
        <f>SUMIF($D618:$D635,"*1_08*",G618:G635)+SUMIF($D618:$D635,"*2_08*",G618:G635)*G$88</f>
        <v>0</v>
      </c>
      <c r="H639" s="84">
        <f>SUMIF($D618:$D635,"*1_08*",H618:H635)+SUMIF($D618:$D635,"*2_08*",H618:H635)*H$88</f>
        <v>0</v>
      </c>
      <c r="I639" s="84">
        <f>SUMIF($D618:$D635,"*1_08*",I618:I635)+SUMIF($D618:$D635,"*2_08*",I618:I635)*I$88</f>
        <v>0</v>
      </c>
      <c r="J639" s="84">
        <f>SUMIF($D618:$D635,"*1_08*",J618:J635)+SUMIF($D618:$D635,"*2_08*",J618:J635)*J$88</f>
        <v>0</v>
      </c>
      <c r="K639" s="84">
        <f>SUMIF($D618:$D635,"*1_08*",K618:K635)+SUMIF($D618:$D635,"*2_08*",K618:K635)*K$88</f>
        <v>0</v>
      </c>
      <c r="M639" s="54">
        <f>SUM(F639:K639)</f>
        <v>0</v>
      </c>
    </row>
    <row r="640" spans="1:13" hidden="1" outlineLevel="2" x14ac:dyDescent="0.2">
      <c r="A640" t="str">
        <f ca="1">Language!A543</f>
        <v xml:space="preserve">    график оплаты (без НДС)</v>
      </c>
      <c r="C640" s="5" t="str">
        <f t="shared" ca="1" si="529"/>
        <v>руб.</v>
      </c>
      <c r="F640" s="53">
        <f>SUMIF($D618:$D635,"*1_04*",F618:F635)+SUMIF($D618:$D635,"*2_04*",F618:F635)*F$88</f>
        <v>36000000</v>
      </c>
      <c r="G640" s="53">
        <f>SUMIF($D618:$D635,"*1_04*",G618:G635)+SUMIF($D618:$D635,"*2_04*",G618:G635)*G$88</f>
        <v>84000000</v>
      </c>
      <c r="H640" s="53">
        <f>SUMIF($D618:$D635,"*1_04*",H618:H635)+SUMIF($D618:$D635,"*2_04*",H618:H635)*H$88</f>
        <v>120000000</v>
      </c>
      <c r="I640" s="53">
        <f>SUMIF($D618:$D635,"*1_04*",I618:I635)+SUMIF($D618:$D635,"*2_04*",I618:I635)*I$88</f>
        <v>120000000</v>
      </c>
      <c r="J640" s="53">
        <f>SUMIF($D618:$D635,"*1_04*",J618:J635)+SUMIF($D618:$D635,"*2_04*",J618:J635)*J$88</f>
        <v>120000000</v>
      </c>
      <c r="K640" s="53">
        <f>SUMIF($D618:$D635,"*1_04*",K618:K635)+SUMIF($D618:$D635,"*2_04*",K618:K635)*K$88</f>
        <v>120000000</v>
      </c>
      <c r="M640" s="54">
        <f>SUM(F640:K640)</f>
        <v>600000000</v>
      </c>
    </row>
    <row r="641" spans="1:13" hidden="1" outlineLevel="2" x14ac:dyDescent="0.2">
      <c r="A641" t="str">
        <f ca="1">Language!A544</f>
        <v xml:space="preserve">    полученный НДС</v>
      </c>
      <c r="C641" s="5" t="str">
        <f t="shared" ca="1" si="529"/>
        <v>руб.</v>
      </c>
      <c r="F641" s="53">
        <f>SUMIF($D618:$D635,"*1_05*",F618:F635)+SUMIF($D618:$D635,"*2_05*",F618:F635)*F$88</f>
        <v>0</v>
      </c>
      <c r="G641" s="53">
        <f>SUMIF($D618:$D635,"*1_05*",G618:G635)+SUMIF($D618:$D635,"*2_05*",G618:G635)*G$88</f>
        <v>0</v>
      </c>
      <c r="H641" s="53">
        <f>SUMIF($D618:$D635,"*1_05*",H618:H635)+SUMIF($D618:$D635,"*2_05*",H618:H635)*H$88</f>
        <v>0</v>
      </c>
      <c r="I641" s="53">
        <f>SUMIF($D618:$D635,"*1_05*",I618:I635)+SUMIF($D618:$D635,"*2_05*",I618:I635)*I$88</f>
        <v>0</v>
      </c>
      <c r="J641" s="53">
        <f>SUMIF($D618:$D635,"*1_05*",J618:J635)+SUMIF($D618:$D635,"*2_05*",J618:J635)*J$88</f>
        <v>0</v>
      </c>
      <c r="K641" s="53">
        <f>SUMIF($D618:$D635,"*1_05*",K618:K635)+SUMIF($D618:$D635,"*2_05*",K618:K635)*K$88</f>
        <v>0</v>
      </c>
      <c r="M641" s="54">
        <f>SUM(F641:K641)</f>
        <v>0</v>
      </c>
    </row>
    <row r="642" spans="1:13" hidden="1" outlineLevel="2" x14ac:dyDescent="0.2">
      <c r="A642" t="str">
        <f ca="1">Language!A545</f>
        <v xml:space="preserve">    дебиторская задолженность</v>
      </c>
      <c r="C642" s="5" t="str">
        <f t="shared" ca="1" si="529"/>
        <v>руб.</v>
      </c>
      <c r="D642" s="16" t="s">
        <v>384</v>
      </c>
      <c r="F642" s="53">
        <f>SUMIF($D618:$D635,"*1_06*",F618:F635)+SUMIF($D618:$D635,"*2_06*",F618:F635)*F$88</f>
        <v>0</v>
      </c>
      <c r="G642" s="53">
        <f>SUMIF($D618:$D635,"*1_06*",G618:G635)+SUMIF($D618:$D635,"*2_06*",G618:G635)*G$88</f>
        <v>0</v>
      </c>
      <c r="H642" s="53">
        <f>SUMIF($D618:$D635,"*1_06*",H618:H635)+SUMIF($D618:$D635,"*2_06*",H618:H635)*H$88</f>
        <v>0</v>
      </c>
      <c r="I642" s="53">
        <f>SUMIF($D618:$D635,"*1_06*",I618:I635)+SUMIF($D618:$D635,"*2_06*",I618:I635)*I$88</f>
        <v>0</v>
      </c>
      <c r="J642" s="53">
        <f>SUMIF($D618:$D635,"*1_06*",J618:J635)+SUMIF($D618:$D635,"*2_06*",J618:J635)*J$88</f>
        <v>0</v>
      </c>
      <c r="K642" s="53">
        <f>SUMIF($D618:$D635,"*1_06*",K618:K635)+SUMIF($D618:$D635,"*2_06*",K618:K635)*K$88</f>
        <v>0</v>
      </c>
    </row>
    <row r="643" spans="1:13" hidden="1" outlineLevel="2" x14ac:dyDescent="0.2">
      <c r="A643" t="str">
        <f ca="1">Language!A546</f>
        <v xml:space="preserve">    полученные авансы</v>
      </c>
      <c r="C643" s="5" t="str">
        <f t="shared" ca="1" si="529"/>
        <v>руб.</v>
      </c>
      <c r="D643" s="16" t="s">
        <v>384</v>
      </c>
      <c r="F643" s="53">
        <f>SUMIF($D618:$D635,"*1_07*",F618:F635)+SUMIF($D618:$D635,"*2_07*",F618:F635)*F$88</f>
        <v>0</v>
      </c>
      <c r="G643" s="53">
        <f>SUMIF($D618:$D635,"*1_07*",G618:G635)+SUMIF($D618:$D635,"*2_07*",G618:G635)*G$88</f>
        <v>0</v>
      </c>
      <c r="H643" s="53">
        <f>SUMIF($D618:$D635,"*1_07*",H618:H635)+SUMIF($D618:$D635,"*2_07*",H618:H635)*H$88</f>
        <v>0</v>
      </c>
      <c r="I643" s="53">
        <f>SUMIF($D618:$D635,"*1_07*",I618:I635)+SUMIF($D618:$D635,"*2_07*",I618:I635)*I$88</f>
        <v>0</v>
      </c>
      <c r="J643" s="53">
        <f>SUMIF($D618:$D635,"*1_07*",J618:J635)+SUMIF($D618:$D635,"*2_07*",J618:J635)*J$88</f>
        <v>0</v>
      </c>
      <c r="K643" s="53">
        <f>SUMIF($D618:$D635,"*1_07*",K618:K635)+SUMIF($D618:$D635,"*2_07*",K618:K635)*K$88</f>
        <v>0</v>
      </c>
    </row>
    <row r="644" spans="1:13" outlineLevel="1" x14ac:dyDescent="0.2">
      <c r="A644" s="63"/>
      <c r="B644" s="63"/>
      <c r="C644" s="67"/>
      <c r="D644" s="60"/>
      <c r="E644" s="63"/>
      <c r="F644" s="123"/>
      <c r="G644" s="123"/>
      <c r="H644" s="123"/>
      <c r="I644" s="123"/>
      <c r="J644" s="123"/>
      <c r="K644" s="123"/>
      <c r="L644" s="63"/>
      <c r="M644" s="64"/>
    </row>
    <row r="645" spans="1:13" outlineLevel="1" x14ac:dyDescent="0.2">
      <c r="A645" s="19"/>
      <c r="B645" s="19"/>
      <c r="C645" s="26"/>
      <c r="D645" s="46"/>
      <c r="E645" s="19"/>
      <c r="F645" s="111"/>
      <c r="G645" s="111"/>
      <c r="H645" s="111"/>
      <c r="I645" s="111"/>
      <c r="J645" s="111"/>
      <c r="K645" s="111"/>
      <c r="L645" s="19"/>
      <c r="M645" s="22"/>
    </row>
    <row r="646" spans="1:13" s="4" customFormat="1" ht="15.9" customHeight="1" thickBot="1" x14ac:dyDescent="0.25">
      <c r="A646" s="166" t="str">
        <f ca="1">Language!A548</f>
        <v xml:space="preserve">         ОБЪЕМЫ ПРОИЗВОДСТВА (в единицах)</v>
      </c>
      <c r="B646" s="166"/>
      <c r="C646" s="166"/>
      <c r="D646" s="166"/>
      <c r="E646" s="166"/>
      <c r="F646" s="178" t="str">
        <f t="shared" ref="F646:K646" si="530">PeriodTitle</f>
        <v>4/ 2020</v>
      </c>
      <c r="G646" s="178" t="str">
        <f t="shared" si="530"/>
        <v>5/ 2020</v>
      </c>
      <c r="H646" s="178" t="str">
        <f t="shared" si="530"/>
        <v>6/ 2020</v>
      </c>
      <c r="I646" s="178" t="str">
        <f t="shared" si="530"/>
        <v>7/ 2020</v>
      </c>
      <c r="J646" s="178" t="str">
        <f t="shared" si="530"/>
        <v>8/ 2020</v>
      </c>
      <c r="K646" s="178" t="str">
        <f t="shared" si="530"/>
        <v>9/ 2020</v>
      </c>
      <c r="L646" s="166"/>
      <c r="M646" s="195" t="str">
        <f ca="1">Language!$A$371</f>
        <v>ИТОГО</v>
      </c>
    </row>
    <row r="647" spans="1:13" ht="10.8" outlineLevel="1" thickTop="1" x14ac:dyDescent="0.2">
      <c r="D647">
        <v>0</v>
      </c>
      <c r="E647">
        <v>4</v>
      </c>
    </row>
    <row r="648" spans="1:13" outlineLevel="1" x14ac:dyDescent="0.2">
      <c r="A648" t="str">
        <f>A586</f>
        <v>Наименование товара</v>
      </c>
      <c r="B648" s="71"/>
      <c r="C648" s="5"/>
      <c r="F648" s="134" t="str">
        <f>IF(F651&lt;0,Language!$A$553,"")</f>
        <v/>
      </c>
      <c r="G648" s="134" t="str">
        <f>IF(G651&lt;0,Language!$A$553,"")</f>
        <v/>
      </c>
      <c r="H648" s="134" t="str">
        <f>IF(H651&lt;0,Language!$A$553,"")</f>
        <v/>
      </c>
      <c r="I648" s="134" t="str">
        <f>IF(I651&lt;0,Language!$A$553,"")</f>
        <v/>
      </c>
      <c r="J648" s="134" t="str">
        <f>IF(J651&lt;0,Language!$A$553,"")</f>
        <v/>
      </c>
      <c r="K648" s="134" t="str">
        <f>IF(K651&lt;0,Language!$A$553,"")</f>
        <v/>
      </c>
      <c r="M648" s="78"/>
    </row>
    <row r="649" spans="1:13" outlineLevel="1" x14ac:dyDescent="0.2">
      <c r="A649" s="41" t="str">
        <f ca="1">Language!A$549</f>
        <v xml:space="preserve">    план производства</v>
      </c>
      <c r="B649" s="72"/>
      <c r="C649" s="73" t="str">
        <f>C586</f>
        <v>шт</v>
      </c>
      <c r="D649" s="74" t="s">
        <v>188</v>
      </c>
      <c r="E649" s="48"/>
      <c r="F649" s="281">
        <f t="shared" ref="F649:J649" si="531">F593</f>
        <v>0</v>
      </c>
      <c r="G649" s="281">
        <f t="shared" si="531"/>
        <v>0</v>
      </c>
      <c r="H649" s="281">
        <f t="shared" si="531"/>
        <v>0</v>
      </c>
      <c r="I649" s="281">
        <f t="shared" si="531"/>
        <v>0</v>
      </c>
      <c r="J649" s="281">
        <f t="shared" si="531"/>
        <v>0</v>
      </c>
      <c r="K649" s="281">
        <f t="shared" ref="K649" si="532">K593</f>
        <v>0</v>
      </c>
      <c r="L649" s="43"/>
      <c r="M649" s="54">
        <f>SUM(F649:K649)</f>
        <v>0</v>
      </c>
    </row>
    <row r="650" spans="1:13" outlineLevel="1" x14ac:dyDescent="0.2">
      <c r="A650" s="41" t="str">
        <f ca="1">Language!A$550</f>
        <v xml:space="preserve">    план реализации</v>
      </c>
      <c r="C650" s="5" t="str">
        <f>C586</f>
        <v>шт</v>
      </c>
      <c r="D650" s="16" t="s">
        <v>188</v>
      </c>
      <c r="F650" s="83">
        <f t="shared" ref="F650:J650" si="533">F593</f>
        <v>0</v>
      </c>
      <c r="G650" s="83">
        <f t="shared" si="533"/>
        <v>0</v>
      </c>
      <c r="H650" s="83">
        <f t="shared" si="533"/>
        <v>0</v>
      </c>
      <c r="I650" s="83">
        <f t="shared" si="533"/>
        <v>0</v>
      </c>
      <c r="J650" s="83">
        <f t="shared" si="533"/>
        <v>0</v>
      </c>
      <c r="K650" s="83">
        <f t="shared" ref="K650" si="534">K593</f>
        <v>0</v>
      </c>
      <c r="L650" s="43"/>
      <c r="M650" s="54">
        <f>SUM(F650:K650)</f>
        <v>0</v>
      </c>
    </row>
    <row r="651" spans="1:13" outlineLevel="1" x14ac:dyDescent="0.2">
      <c r="A651" s="41" t="str">
        <f ca="1">Language!A$551</f>
        <v xml:space="preserve">    склад готовой продукции</v>
      </c>
      <c r="C651" s="5" t="str">
        <f>C586</f>
        <v>шт</v>
      </c>
      <c r="D651" s="16" t="s">
        <v>665</v>
      </c>
      <c r="E651">
        <v>0</v>
      </c>
      <c r="F651" s="83">
        <f t="shared" ref="F651:K651" si="535">E651+F649-F650</f>
        <v>0</v>
      </c>
      <c r="G651" s="83">
        <f t="shared" si="535"/>
        <v>0</v>
      </c>
      <c r="H651" s="83">
        <f t="shared" si="535"/>
        <v>0</v>
      </c>
      <c r="I651" s="83">
        <f t="shared" si="535"/>
        <v>0</v>
      </c>
      <c r="J651" s="83">
        <f t="shared" si="535"/>
        <v>0</v>
      </c>
      <c r="K651" s="83">
        <f t="shared" si="535"/>
        <v>0</v>
      </c>
      <c r="L651" s="43"/>
      <c r="M651" s="54"/>
    </row>
    <row r="652" spans="1:13" outlineLevel="1" x14ac:dyDescent="0.2">
      <c r="A652" t="str">
        <f>A587</f>
        <v>Лицензия продукта</v>
      </c>
      <c r="B652" s="71"/>
      <c r="C652" s="5"/>
      <c r="F652" s="134" t="str">
        <f>IF(F655&lt;0,Language!$A$553,"")</f>
        <v/>
      </c>
      <c r="G652" s="134" t="str">
        <f>IF(G655&lt;0,Language!$A$553,"")</f>
        <v/>
      </c>
      <c r="H652" s="134" t="str">
        <f>IF(H655&lt;0,Language!$A$553,"")</f>
        <v/>
      </c>
      <c r="I652" s="134" t="str">
        <f>IF(I655&lt;0,Language!$A$553,"")</f>
        <v/>
      </c>
      <c r="J652" s="134" t="str">
        <f>IF(J655&lt;0,Language!$A$553,"")</f>
        <v/>
      </c>
      <c r="K652" s="134" t="str">
        <f>IF(K655&lt;0,Language!$A$553,"")</f>
        <v/>
      </c>
      <c r="M652" s="78"/>
    </row>
    <row r="653" spans="1:13" outlineLevel="1" x14ac:dyDescent="0.2">
      <c r="A653" s="41" t="str">
        <f ca="1">Language!A$549</f>
        <v xml:space="preserve">    план производства</v>
      </c>
      <c r="B653" s="72"/>
      <c r="C653" s="73" t="str">
        <f>C587</f>
        <v>шт</v>
      </c>
      <c r="D653" s="74" t="s">
        <v>188</v>
      </c>
      <c r="E653" s="48"/>
      <c r="F653" s="281">
        <f t="shared" ref="F653:K653" si="536">F594</f>
        <v>3000</v>
      </c>
      <c r="G653" s="281">
        <f t="shared" si="536"/>
        <v>7000</v>
      </c>
      <c r="H653" s="281">
        <f t="shared" si="536"/>
        <v>10000</v>
      </c>
      <c r="I653" s="281">
        <f t="shared" si="536"/>
        <v>10000</v>
      </c>
      <c r="J653" s="281">
        <f t="shared" si="536"/>
        <v>10000</v>
      </c>
      <c r="K653" s="281">
        <f t="shared" si="536"/>
        <v>10000</v>
      </c>
      <c r="L653" s="43"/>
      <c r="M653" s="54">
        <f>SUM(F653:K653)</f>
        <v>50000</v>
      </c>
    </row>
    <row r="654" spans="1:13" outlineLevel="1" x14ac:dyDescent="0.2">
      <c r="A654" s="41" t="str">
        <f ca="1">Language!A$550</f>
        <v xml:space="preserve">    план реализации</v>
      </c>
      <c r="C654" s="5" t="str">
        <f>C587</f>
        <v>шт</v>
      </c>
      <c r="D654" s="16" t="s">
        <v>188</v>
      </c>
      <c r="F654" s="83">
        <f t="shared" ref="F654:K654" si="537">F594</f>
        <v>3000</v>
      </c>
      <c r="G654" s="83">
        <f t="shared" si="537"/>
        <v>7000</v>
      </c>
      <c r="H654" s="83">
        <f t="shared" si="537"/>
        <v>10000</v>
      </c>
      <c r="I654" s="83">
        <f t="shared" si="537"/>
        <v>10000</v>
      </c>
      <c r="J654" s="83">
        <f t="shared" si="537"/>
        <v>10000</v>
      </c>
      <c r="K654" s="83">
        <f t="shared" si="537"/>
        <v>10000</v>
      </c>
      <c r="L654" s="43"/>
      <c r="M654" s="54">
        <f>SUM(F654:K654)</f>
        <v>50000</v>
      </c>
    </row>
    <row r="655" spans="1:13" outlineLevel="1" x14ac:dyDescent="0.2">
      <c r="A655" s="41" t="str">
        <f ca="1">Language!A$551</f>
        <v xml:space="preserve">    склад готовой продукции</v>
      </c>
      <c r="C655" s="5" t="str">
        <f>C587</f>
        <v>шт</v>
      </c>
      <c r="D655" s="16" t="s">
        <v>665</v>
      </c>
      <c r="E655">
        <v>0</v>
      </c>
      <c r="F655" s="83">
        <f t="shared" ref="F655:K655" si="538">E655+F653-F654</f>
        <v>0</v>
      </c>
      <c r="G655" s="83">
        <f t="shared" si="538"/>
        <v>0</v>
      </c>
      <c r="H655" s="83">
        <f t="shared" si="538"/>
        <v>0</v>
      </c>
      <c r="I655" s="83">
        <f t="shared" si="538"/>
        <v>0</v>
      </c>
      <c r="J655" s="83">
        <f t="shared" si="538"/>
        <v>0</v>
      </c>
      <c r="K655" s="83">
        <f t="shared" si="538"/>
        <v>0</v>
      </c>
      <c r="L655" s="43"/>
      <c r="M655" s="54"/>
    </row>
    <row r="656" spans="1:13" outlineLevel="1" x14ac:dyDescent="0.2">
      <c r="C656" s="5"/>
      <c r="D656" s="16"/>
      <c r="F656" s="53"/>
      <c r="G656" s="53"/>
      <c r="H656" s="53"/>
      <c r="I656" s="53"/>
      <c r="J656" s="53"/>
      <c r="K656" s="53"/>
    </row>
    <row r="657" spans="1:13" outlineLevel="1" x14ac:dyDescent="0.2">
      <c r="A657" s="63"/>
      <c r="B657" s="63"/>
      <c r="C657" s="67"/>
      <c r="D657" s="60"/>
      <c r="E657" s="63"/>
      <c r="F657" s="63"/>
      <c r="G657" s="123"/>
      <c r="H657" s="123"/>
      <c r="I657" s="123"/>
      <c r="J657" s="123"/>
      <c r="K657" s="123"/>
      <c r="L657" s="63"/>
      <c r="M657" s="64"/>
    </row>
    <row r="658" spans="1:13" outlineLevel="1" x14ac:dyDescent="0.2">
      <c r="A658" s="19"/>
      <c r="B658" s="19"/>
      <c r="C658" s="26"/>
      <c r="D658" s="46"/>
      <c r="E658" s="19"/>
      <c r="F658" s="111"/>
      <c r="G658" s="111"/>
      <c r="H658" s="111"/>
      <c r="I658" s="111"/>
      <c r="J658" s="111"/>
      <c r="K658" s="111"/>
      <c r="L658" s="19"/>
      <c r="M658" s="22"/>
    </row>
    <row r="659" spans="1:13" s="4" customFormat="1" ht="15.9" customHeight="1" thickBot="1" x14ac:dyDescent="0.25">
      <c r="A659" s="166" t="str">
        <f ca="1">Language!A554</f>
        <v xml:space="preserve">         РАСХОД СЫРЬЯ И МАТЕРИАЛОВ (в единицах)</v>
      </c>
      <c r="B659" s="166"/>
      <c r="C659" s="166"/>
      <c r="D659" s="166">
        <v>1</v>
      </c>
      <c r="E659" s="166"/>
      <c r="F659" s="178" t="str">
        <f t="shared" ref="F659:K659" si="539">PeriodTitle</f>
        <v>4/ 2020</v>
      </c>
      <c r="G659" s="178" t="str">
        <f t="shared" si="539"/>
        <v>5/ 2020</v>
      </c>
      <c r="H659" s="178" t="str">
        <f t="shared" si="539"/>
        <v>6/ 2020</v>
      </c>
      <c r="I659" s="178" t="str">
        <f t="shared" si="539"/>
        <v>7/ 2020</v>
      </c>
      <c r="J659" s="178" t="str">
        <f t="shared" si="539"/>
        <v>8/ 2020</v>
      </c>
      <c r="K659" s="178" t="str">
        <f t="shared" si="539"/>
        <v>9/ 2020</v>
      </c>
      <c r="L659" s="166"/>
      <c r="M659" s="195" t="str">
        <f ca="1">Language!$A$371</f>
        <v>ИТОГО</v>
      </c>
    </row>
    <row r="660" spans="1:13" ht="10.8" outlineLevel="1" thickTop="1" x14ac:dyDescent="0.2">
      <c r="D660">
        <v>0</v>
      </c>
      <c r="E660">
        <v>1</v>
      </c>
    </row>
    <row r="661" spans="1:13" outlineLevel="1" x14ac:dyDescent="0.2">
      <c r="A661" s="48" t="str">
        <f>A586</f>
        <v>Наименование товара</v>
      </c>
      <c r="B661" s="11" t="str">
        <f ca="1">Language!A$556</f>
        <v>Плановый расход на единицу продукции</v>
      </c>
      <c r="D661">
        <v>1</v>
      </c>
      <c r="E661">
        <v>1</v>
      </c>
    </row>
    <row r="662" spans="1:13" outlineLevel="1" x14ac:dyDescent="0.2">
      <c r="A662" s="274" t="s">
        <v>2691</v>
      </c>
      <c r="B662" s="256">
        <v>0</v>
      </c>
      <c r="C662" s="255" t="s">
        <v>2686</v>
      </c>
      <c r="F662" s="106">
        <f t="shared" ref="F662:J662" si="540">$B662*F649</f>
        <v>0</v>
      </c>
      <c r="G662" s="106">
        <f t="shared" si="540"/>
        <v>0</v>
      </c>
      <c r="H662" s="106">
        <f t="shared" si="540"/>
        <v>0</v>
      </c>
      <c r="I662" s="106">
        <f t="shared" si="540"/>
        <v>0</v>
      </c>
      <c r="J662" s="106">
        <f t="shared" si="540"/>
        <v>0</v>
      </c>
      <c r="K662" s="106">
        <f t="shared" ref="K662" si="541">$B662*K649</f>
        <v>0</v>
      </c>
      <c r="L662" s="43"/>
      <c r="M662" s="54">
        <f>SUM(F662:K662)</f>
        <v>0</v>
      </c>
    </row>
    <row r="663" spans="1:13" outlineLevel="1" x14ac:dyDescent="0.2">
      <c r="A663" s="48" t="str">
        <f>A587</f>
        <v>Лицензия продукта</v>
      </c>
      <c r="B663" s="11" t="str">
        <f ca="1">Language!A$556</f>
        <v>Плановый расход на единицу продукции</v>
      </c>
      <c r="D663">
        <v>1</v>
      </c>
      <c r="E663">
        <v>1</v>
      </c>
    </row>
    <row r="664" spans="1:13" outlineLevel="1" x14ac:dyDescent="0.2">
      <c r="A664" s="274" t="s">
        <v>2691</v>
      </c>
      <c r="B664" s="256">
        <v>0</v>
      </c>
      <c r="C664" s="255" t="s">
        <v>2686</v>
      </c>
      <c r="F664" s="106">
        <f t="shared" ref="F664:K664" si="542">$B664*F653</f>
        <v>0</v>
      </c>
      <c r="G664" s="106">
        <f t="shared" si="542"/>
        <v>0</v>
      </c>
      <c r="H664" s="106">
        <f t="shared" si="542"/>
        <v>0</v>
      </c>
      <c r="I664" s="106">
        <f t="shared" si="542"/>
        <v>0</v>
      </c>
      <c r="J664" s="106">
        <f t="shared" si="542"/>
        <v>0</v>
      </c>
      <c r="K664" s="106">
        <f t="shared" si="542"/>
        <v>0</v>
      </c>
      <c r="L664" s="43"/>
      <c r="M664" s="54">
        <f>SUM(F664:K664)</f>
        <v>0</v>
      </c>
    </row>
    <row r="665" spans="1:13" outlineLevel="1" x14ac:dyDescent="0.2"/>
    <row r="666" spans="1:13" outlineLevel="1" x14ac:dyDescent="0.2">
      <c r="A666" s="63"/>
      <c r="B666" s="63"/>
      <c r="C666" s="63"/>
      <c r="D666" s="63"/>
      <c r="E666" s="63"/>
      <c r="F666" s="63"/>
      <c r="G666" s="63"/>
      <c r="H666" s="63"/>
      <c r="I666" s="63"/>
      <c r="J666" s="63"/>
      <c r="K666" s="63"/>
      <c r="L666" s="63"/>
      <c r="M666" s="64"/>
    </row>
    <row r="667" spans="1:13" outlineLevel="1" x14ac:dyDescent="0.2"/>
    <row r="668" spans="1:13" s="4" customFormat="1" ht="15.9" customHeight="1" thickBot="1" x14ac:dyDescent="0.25">
      <c r="A668" s="166" t="str">
        <f ca="1">Language!A557</f>
        <v xml:space="preserve">         ЦЕНА СЫРЬЯ И МАТЕРИАЛОВ (за единицу, с НДС)</v>
      </c>
      <c r="B668" s="166"/>
      <c r="C668" s="166"/>
      <c r="D668" s="166"/>
      <c r="E668" s="166"/>
      <c r="F668" s="178" t="str">
        <f t="shared" ref="F668:K668" si="543">PeriodTitle</f>
        <v>4/ 2020</v>
      </c>
      <c r="G668" s="178" t="str">
        <f t="shared" si="543"/>
        <v>5/ 2020</v>
      </c>
      <c r="H668" s="178" t="str">
        <f t="shared" si="543"/>
        <v>6/ 2020</v>
      </c>
      <c r="I668" s="178" t="str">
        <f t="shared" si="543"/>
        <v>7/ 2020</v>
      </c>
      <c r="J668" s="178" t="str">
        <f t="shared" si="543"/>
        <v>8/ 2020</v>
      </c>
      <c r="K668" s="178" t="str">
        <f t="shared" si="543"/>
        <v>9/ 2020</v>
      </c>
      <c r="L668" s="166"/>
      <c r="M668" s="195"/>
    </row>
    <row r="669" spans="1:13" ht="10.8" outlineLevel="1" thickTop="1" x14ac:dyDescent="0.2">
      <c r="D669">
        <v>0</v>
      </c>
      <c r="E669">
        <v>1</v>
      </c>
    </row>
    <row r="670" spans="1:13" outlineLevel="1" x14ac:dyDescent="0.2">
      <c r="A670" s="48" t="str">
        <f>A586</f>
        <v>Наименование товара</v>
      </c>
      <c r="B670" s="36" t="str">
        <f ca="1">Language!A$73</f>
        <v>Валюта</v>
      </c>
      <c r="E670">
        <v>6</v>
      </c>
    </row>
    <row r="671" spans="1:13" outlineLevel="1" collapsed="1" x14ac:dyDescent="0.2">
      <c r="A671" s="11" t="str">
        <f>A662</f>
        <v xml:space="preserve">Наименование сырья </v>
      </c>
      <c r="B671" s="255">
        <v>1</v>
      </c>
      <c r="C671" s="79" t="str">
        <f ca="1">CHOOSE(B671,CUR_Main,CUR_Foreign)</f>
        <v>руб.</v>
      </c>
      <c r="D671" s="46" t="s">
        <v>176</v>
      </c>
      <c r="F671" s="281">
        <v>0</v>
      </c>
      <c r="G671" s="281">
        <v>0</v>
      </c>
      <c r="H671" s="281">
        <v>0</v>
      </c>
      <c r="I671" s="281">
        <v>0</v>
      </c>
      <c r="J671" s="281">
        <v>0</v>
      </c>
      <c r="K671" s="281">
        <v>0</v>
      </c>
    </row>
    <row r="672" spans="1:13" hidden="1" outlineLevel="2" x14ac:dyDescent="0.2">
      <c r="A672" t="str">
        <f ca="1">Language!A$104</f>
        <v>Предполагаемый темп годового роста цен</v>
      </c>
      <c r="C672" s="5" t="s">
        <v>177</v>
      </c>
      <c r="D672" s="16" t="s">
        <v>176</v>
      </c>
      <c r="F672" s="269">
        <f t="shared" ref="F672:J672" si="544">CHOOSE($B671,F$80,F$91)</f>
        <v>7.0000000000000007E-2</v>
      </c>
      <c r="G672" s="269">
        <f t="shared" si="544"/>
        <v>7.0000000000000007E-2</v>
      </c>
      <c r="H672" s="269">
        <f t="shared" si="544"/>
        <v>7.0000000000000007E-2</v>
      </c>
      <c r="I672" s="269">
        <f t="shared" si="544"/>
        <v>7.0000000000000007E-2</v>
      </c>
      <c r="J672" s="269">
        <f t="shared" si="544"/>
        <v>7.0000000000000007E-2</v>
      </c>
      <c r="K672" s="269">
        <f t="shared" ref="K672" si="545">CHOOSE($B671,K$80,K$91)</f>
        <v>7.0000000000000007E-2</v>
      </c>
    </row>
    <row r="673" spans="1:13" hidden="1" outlineLevel="2" x14ac:dyDescent="0.2">
      <c r="A673" t="str">
        <f ca="1">Language!A$106</f>
        <v>То же, в пересчете на период, равный шагу проекта</v>
      </c>
      <c r="C673" s="5" t="s">
        <v>177</v>
      </c>
      <c r="D673" s="16" t="s">
        <v>176</v>
      </c>
      <c r="F673" s="30">
        <f t="shared" ref="F673:J673" si="546">POWER(1+F672,PRJ_Step/360)-1</f>
        <v>5.6541453874052738E-3</v>
      </c>
      <c r="G673" s="30">
        <f t="shared" si="546"/>
        <v>5.6541453874052738E-3</v>
      </c>
      <c r="H673" s="30">
        <f t="shared" si="546"/>
        <v>5.6541453874052738E-3</v>
      </c>
      <c r="I673" s="30">
        <f t="shared" si="546"/>
        <v>5.6541453874052738E-3</v>
      </c>
      <c r="J673" s="30">
        <f t="shared" si="546"/>
        <v>5.6541453874052738E-3</v>
      </c>
      <c r="K673" s="30">
        <f t="shared" ref="K673" si="547">POWER(1+K672,PRJ_Step/360)-1</f>
        <v>5.6541453874052738E-3</v>
      </c>
    </row>
    <row r="674" spans="1:13" hidden="1" outlineLevel="2" x14ac:dyDescent="0.2">
      <c r="A674" t="str">
        <f ca="1">Language!A$558</f>
        <v xml:space="preserve">    цена без НДС</v>
      </c>
      <c r="C674" s="5" t="str">
        <f ca="1">CHOOSE(B671,CUR_Main,CUR_Foreign)</f>
        <v>руб.</v>
      </c>
      <c r="F674" s="86">
        <f t="shared" ref="F674:J674" si="548">F671/(1+$B676)</f>
        <v>0</v>
      </c>
      <c r="G674" s="86">
        <f t="shared" si="548"/>
        <v>0</v>
      </c>
      <c r="H674" s="86">
        <f t="shared" si="548"/>
        <v>0</v>
      </c>
      <c r="I674" s="86">
        <f t="shared" si="548"/>
        <v>0</v>
      </c>
      <c r="J674" s="86">
        <f t="shared" si="548"/>
        <v>0</v>
      </c>
      <c r="K674" s="86">
        <f t="shared" ref="K674" si="549">K671/(1+$B676)</f>
        <v>0</v>
      </c>
    </row>
    <row r="675" spans="1:13" hidden="1" outlineLevel="2" x14ac:dyDescent="0.2">
      <c r="A675" t="str">
        <f ca="1">Language!A$559</f>
        <v xml:space="preserve">    в том числе импортная пошлина</v>
      </c>
      <c r="B675" s="286">
        <v>0</v>
      </c>
      <c r="C675" s="5" t="str">
        <f ca="1">CHOOSE(B671,CUR_Main,CUR_Foreign)</f>
        <v>руб.</v>
      </c>
      <c r="F675" s="86">
        <f t="shared" ref="F675:J675" si="550">F674/(1+$B675)*$B675</f>
        <v>0</v>
      </c>
      <c r="G675" s="86">
        <f t="shared" si="550"/>
        <v>0</v>
      </c>
      <c r="H675" s="86">
        <f t="shared" si="550"/>
        <v>0</v>
      </c>
      <c r="I675" s="86">
        <f t="shared" si="550"/>
        <v>0</v>
      </c>
      <c r="J675" s="86">
        <f t="shared" si="550"/>
        <v>0</v>
      </c>
      <c r="K675" s="86">
        <f t="shared" ref="K675" si="551">K674/(1+$B675)*$B675</f>
        <v>0</v>
      </c>
    </row>
    <row r="676" spans="1:13" hidden="1" outlineLevel="2" x14ac:dyDescent="0.2">
      <c r="A676" t="str">
        <f ca="1">Language!A$560</f>
        <v xml:space="preserve">    НДС</v>
      </c>
      <c r="B676" s="283">
        <f>VAT</f>
        <v>0</v>
      </c>
      <c r="C676" s="5" t="str">
        <f ca="1">CHOOSE(B671,CUR_Main,CUR_Foreign)</f>
        <v>руб.</v>
      </c>
      <c r="F676" s="86">
        <f t="shared" ref="F676:J676" si="552">F671-F674</f>
        <v>0</v>
      </c>
      <c r="G676" s="86">
        <f t="shared" si="552"/>
        <v>0</v>
      </c>
      <c r="H676" s="86">
        <f t="shared" si="552"/>
        <v>0</v>
      </c>
      <c r="I676" s="86">
        <f t="shared" si="552"/>
        <v>0</v>
      </c>
      <c r="J676" s="86">
        <f t="shared" si="552"/>
        <v>0</v>
      </c>
      <c r="K676" s="86">
        <f t="shared" ref="K676" si="553">K671-K674</f>
        <v>0</v>
      </c>
    </row>
    <row r="677" spans="1:13" outlineLevel="1" x14ac:dyDescent="0.2">
      <c r="A677" s="48" t="str">
        <f>A587</f>
        <v>Лицензия продукта</v>
      </c>
      <c r="B677" s="36" t="str">
        <f ca="1">Language!A$73</f>
        <v>Валюта</v>
      </c>
      <c r="E677">
        <v>6</v>
      </c>
    </row>
    <row r="678" spans="1:13" outlineLevel="1" collapsed="1" x14ac:dyDescent="0.2">
      <c r="A678" s="11" t="str">
        <f>A664</f>
        <v xml:space="preserve">Наименование сырья </v>
      </c>
      <c r="B678" s="255">
        <v>1</v>
      </c>
      <c r="C678" s="79" t="str">
        <f ca="1">CHOOSE(B678,CUR_Main,CUR_Foreign)</f>
        <v>руб.</v>
      </c>
      <c r="D678" s="46" t="s">
        <v>176</v>
      </c>
      <c r="F678" s="281">
        <v>0</v>
      </c>
      <c r="G678" s="281">
        <v>0</v>
      </c>
      <c r="H678" s="281">
        <v>0</v>
      </c>
      <c r="I678" s="281">
        <v>0</v>
      </c>
      <c r="J678" s="281">
        <v>0</v>
      </c>
      <c r="K678" s="281">
        <v>0</v>
      </c>
    </row>
    <row r="679" spans="1:13" hidden="1" outlineLevel="2" x14ac:dyDescent="0.2">
      <c r="A679" t="str">
        <f ca="1">Language!A$104</f>
        <v>Предполагаемый темп годового роста цен</v>
      </c>
      <c r="C679" s="5" t="s">
        <v>177</v>
      </c>
      <c r="D679" s="16" t="s">
        <v>176</v>
      </c>
      <c r="F679" s="269">
        <f t="shared" ref="F679:K679" si="554">CHOOSE($B678,F$80,F$91)</f>
        <v>7.0000000000000007E-2</v>
      </c>
      <c r="G679" s="269">
        <f t="shared" si="554"/>
        <v>7.0000000000000007E-2</v>
      </c>
      <c r="H679" s="269">
        <f t="shared" si="554"/>
        <v>7.0000000000000007E-2</v>
      </c>
      <c r="I679" s="269">
        <f t="shared" si="554"/>
        <v>7.0000000000000007E-2</v>
      </c>
      <c r="J679" s="269">
        <f t="shared" si="554"/>
        <v>7.0000000000000007E-2</v>
      </c>
      <c r="K679" s="269">
        <f t="shared" si="554"/>
        <v>7.0000000000000007E-2</v>
      </c>
    </row>
    <row r="680" spans="1:13" hidden="1" outlineLevel="2" x14ac:dyDescent="0.2">
      <c r="A680" t="str">
        <f ca="1">Language!A$106</f>
        <v>То же, в пересчете на период, равный шагу проекта</v>
      </c>
      <c r="C680" s="5" t="s">
        <v>177</v>
      </c>
      <c r="D680" s="16" t="s">
        <v>176</v>
      </c>
      <c r="F680" s="30">
        <f t="shared" ref="F680:K680" si="555">POWER(1+F679,PRJ_Step/360)-1</f>
        <v>5.6541453874052738E-3</v>
      </c>
      <c r="G680" s="30">
        <f t="shared" si="555"/>
        <v>5.6541453874052738E-3</v>
      </c>
      <c r="H680" s="30">
        <f t="shared" si="555"/>
        <v>5.6541453874052738E-3</v>
      </c>
      <c r="I680" s="30">
        <f t="shared" si="555"/>
        <v>5.6541453874052738E-3</v>
      </c>
      <c r="J680" s="30">
        <f t="shared" si="555"/>
        <v>5.6541453874052738E-3</v>
      </c>
      <c r="K680" s="30">
        <f t="shared" si="555"/>
        <v>5.6541453874052738E-3</v>
      </c>
    </row>
    <row r="681" spans="1:13" hidden="1" outlineLevel="2" x14ac:dyDescent="0.2">
      <c r="A681" t="str">
        <f ca="1">Language!A$558</f>
        <v xml:space="preserve">    цена без НДС</v>
      </c>
      <c r="C681" s="5" t="str">
        <f ca="1">CHOOSE(B678,CUR_Main,CUR_Foreign)</f>
        <v>руб.</v>
      </c>
      <c r="F681" s="86">
        <f t="shared" ref="F681:K681" si="556">F678/(1+$B683)</f>
        <v>0</v>
      </c>
      <c r="G681" s="86">
        <f t="shared" si="556"/>
        <v>0</v>
      </c>
      <c r="H681" s="86">
        <f t="shared" si="556"/>
        <v>0</v>
      </c>
      <c r="I681" s="86">
        <f t="shared" si="556"/>
        <v>0</v>
      </c>
      <c r="J681" s="86">
        <f t="shared" si="556"/>
        <v>0</v>
      </c>
      <c r="K681" s="86">
        <f t="shared" si="556"/>
        <v>0</v>
      </c>
    </row>
    <row r="682" spans="1:13" hidden="1" outlineLevel="2" x14ac:dyDescent="0.2">
      <c r="A682" t="str">
        <f ca="1">Language!A$559</f>
        <v xml:space="preserve">    в том числе импортная пошлина</v>
      </c>
      <c r="B682" s="286">
        <v>0</v>
      </c>
      <c r="C682" s="5" t="str">
        <f ca="1">CHOOSE(B678,CUR_Main,CUR_Foreign)</f>
        <v>руб.</v>
      </c>
      <c r="F682" s="86">
        <f t="shared" ref="F682:K682" si="557">F681/(1+$B682)*$B682</f>
        <v>0</v>
      </c>
      <c r="G682" s="86">
        <f t="shared" si="557"/>
        <v>0</v>
      </c>
      <c r="H682" s="86">
        <f t="shared" si="557"/>
        <v>0</v>
      </c>
      <c r="I682" s="86">
        <f t="shared" si="557"/>
        <v>0</v>
      </c>
      <c r="J682" s="86">
        <f t="shared" si="557"/>
        <v>0</v>
      </c>
      <c r="K682" s="86">
        <f t="shared" si="557"/>
        <v>0</v>
      </c>
    </row>
    <row r="683" spans="1:13" hidden="1" outlineLevel="2" x14ac:dyDescent="0.2">
      <c r="A683" t="str">
        <f ca="1">Language!A$560</f>
        <v xml:space="preserve">    НДС</v>
      </c>
      <c r="B683" s="283">
        <f>VAT</f>
        <v>0</v>
      </c>
      <c r="C683" s="5" t="str">
        <f ca="1">CHOOSE(B678,CUR_Main,CUR_Foreign)</f>
        <v>руб.</v>
      </c>
      <c r="F683" s="86">
        <f t="shared" ref="F683:K683" si="558">F678-F681</f>
        <v>0</v>
      </c>
      <c r="G683" s="86">
        <f t="shared" si="558"/>
        <v>0</v>
      </c>
      <c r="H683" s="86">
        <f t="shared" si="558"/>
        <v>0</v>
      </c>
      <c r="I683" s="86">
        <f t="shared" si="558"/>
        <v>0</v>
      </c>
      <c r="J683" s="86">
        <f t="shared" si="558"/>
        <v>0</v>
      </c>
      <c r="K683" s="86">
        <f t="shared" si="558"/>
        <v>0</v>
      </c>
    </row>
    <row r="684" spans="1:13" outlineLevel="1" x14ac:dyDescent="0.2"/>
    <row r="685" spans="1:13" outlineLevel="1" x14ac:dyDescent="0.2">
      <c r="A685" s="63"/>
      <c r="B685" s="63"/>
      <c r="C685" s="63"/>
      <c r="D685" s="63"/>
      <c r="E685" s="63"/>
      <c r="F685" s="63"/>
      <c r="G685" s="63"/>
      <c r="H685" s="63"/>
      <c r="I685" s="63"/>
      <c r="J685" s="63"/>
      <c r="K685" s="63"/>
      <c r="L685" s="63"/>
      <c r="M685" s="64"/>
    </row>
    <row r="686" spans="1:13" outlineLevel="1" x14ac:dyDescent="0.2"/>
    <row r="687" spans="1:13" s="4" customFormat="1" ht="15.9" customHeight="1" thickBot="1" x14ac:dyDescent="0.25">
      <c r="A687" s="166" t="str">
        <f ca="1">Language!A561</f>
        <v xml:space="preserve">         ЗАТРАТЫ НА СЫРЬЕ И МАТЕРИАЛЫ</v>
      </c>
      <c r="B687" s="166"/>
      <c r="C687" s="166"/>
      <c r="D687" s="166"/>
      <c r="E687" s="166"/>
      <c r="F687" s="178" t="str">
        <f t="shared" ref="F687:K687" si="559">PeriodTitle</f>
        <v>4/ 2020</v>
      </c>
      <c r="G687" s="178" t="str">
        <f t="shared" si="559"/>
        <v>5/ 2020</v>
      </c>
      <c r="H687" s="178" t="str">
        <f t="shared" si="559"/>
        <v>6/ 2020</v>
      </c>
      <c r="I687" s="178" t="str">
        <f t="shared" si="559"/>
        <v>7/ 2020</v>
      </c>
      <c r="J687" s="178" t="str">
        <f t="shared" si="559"/>
        <v>8/ 2020</v>
      </c>
      <c r="K687" s="178" t="str">
        <f t="shared" si="559"/>
        <v>9/ 2020</v>
      </c>
      <c r="L687" s="166"/>
      <c r="M687" s="195" t="str">
        <f ca="1">Language!$A$371</f>
        <v>ИТОГО</v>
      </c>
    </row>
    <row r="688" spans="1:13" ht="10.8" outlineLevel="1" thickTop="1" x14ac:dyDescent="0.2">
      <c r="D688">
        <v>0</v>
      </c>
      <c r="E688">
        <v>1</v>
      </c>
    </row>
    <row r="689" spans="1:13" outlineLevel="1" x14ac:dyDescent="0.2">
      <c r="A689" s="48" t="str">
        <f>A586</f>
        <v>Наименование товара</v>
      </c>
      <c r="E689">
        <v>15</v>
      </c>
    </row>
    <row r="690" spans="1:13" outlineLevel="1" collapsed="1" x14ac:dyDescent="0.2">
      <c r="A690" s="11" t="str">
        <f>A662</f>
        <v xml:space="preserve">Наименование сырья </v>
      </c>
      <c r="C690" s="5" t="str">
        <f ca="1">CHOOSE(B671,CUR_Main,CUR_Foreign)</f>
        <v>руб.</v>
      </c>
      <c r="D690" s="16" t="str">
        <f>TEXT(B671,"0")&amp;"_00"</f>
        <v>1_00</v>
      </c>
      <c r="F690" s="53">
        <f t="shared" ref="F690:J690" si="560">F662*F671</f>
        <v>0</v>
      </c>
      <c r="G690" s="53">
        <f t="shared" si="560"/>
        <v>0</v>
      </c>
      <c r="H690" s="53">
        <f t="shared" si="560"/>
        <v>0</v>
      </c>
      <c r="I690" s="53">
        <f t="shared" si="560"/>
        <v>0</v>
      </c>
      <c r="J690" s="53">
        <f t="shared" si="560"/>
        <v>0</v>
      </c>
      <c r="K690" s="53">
        <f t="shared" ref="K690" si="561">K662*K671</f>
        <v>0</v>
      </c>
      <c r="M690" s="54">
        <f>SUM(F690:K690)</f>
        <v>0</v>
      </c>
    </row>
    <row r="691" spans="1:13" hidden="1" outlineLevel="2" x14ac:dyDescent="0.2">
      <c r="A691" t="str">
        <f ca="1">Language!A$562</f>
        <v xml:space="preserve">    среднее время хранения</v>
      </c>
      <c r="B691" s="255">
        <f>NWC_T_Mat</f>
        <v>0</v>
      </c>
      <c r="C691" s="5" t="str">
        <f ca="1">Language!A$38</f>
        <v>дн.</v>
      </c>
      <c r="D691" s="16"/>
      <c r="F691" s="53"/>
      <c r="G691" s="53"/>
      <c r="H691" s="53"/>
      <c r="I691" s="53"/>
      <c r="J691" s="53"/>
      <c r="K691" s="53"/>
      <c r="M691" s="57"/>
    </row>
    <row r="692" spans="1:13" hidden="1" outlineLevel="2" x14ac:dyDescent="0.2">
      <c r="A692" t="str">
        <f ca="1">Language!A$563</f>
        <v xml:space="preserve">    затраты на сырье и материалы без НДС</v>
      </c>
      <c r="C692" s="5" t="str">
        <f ca="1">CHOOSE(B671,CUR_Main,CUR_Foreign)</f>
        <v>руб.</v>
      </c>
      <c r="D692" t="str">
        <f>TEXT(B671,"0")&amp;"_01"</f>
        <v>1_01</v>
      </c>
      <c r="F692" s="53">
        <f t="shared" ref="F692:J692" si="562">F690/(1+$B676)</f>
        <v>0</v>
      </c>
      <c r="G692" s="53">
        <f t="shared" si="562"/>
        <v>0</v>
      </c>
      <c r="H692" s="53">
        <f t="shared" si="562"/>
        <v>0</v>
      </c>
      <c r="I692" s="53">
        <f t="shared" si="562"/>
        <v>0</v>
      </c>
      <c r="J692" s="53">
        <f t="shared" si="562"/>
        <v>0</v>
      </c>
      <c r="K692" s="53">
        <f t="shared" ref="K692" si="563">K690/(1+$B676)</f>
        <v>0</v>
      </c>
      <c r="M692" s="54">
        <f>SUM(F692:K692)</f>
        <v>0</v>
      </c>
    </row>
    <row r="693" spans="1:13" hidden="1" outlineLevel="2" x14ac:dyDescent="0.2">
      <c r="A693" t="str">
        <f ca="1">Language!A$564</f>
        <v xml:space="preserve">    в том числе импортная пошлина</v>
      </c>
      <c r="C693" s="5" t="str">
        <f ca="1">CHOOSE(B671,CUR_Main,CUR_Foreign)</f>
        <v>руб.</v>
      </c>
      <c r="D693" t="str">
        <f>TEXT(B671,"0")&amp;"_02"</f>
        <v>1_02</v>
      </c>
      <c r="F693" s="53">
        <f t="shared" ref="F693:J693" si="564">F692/(1+$B675)*$B675</f>
        <v>0</v>
      </c>
      <c r="G693" s="53">
        <f t="shared" si="564"/>
        <v>0</v>
      </c>
      <c r="H693" s="53">
        <f t="shared" si="564"/>
        <v>0</v>
      </c>
      <c r="I693" s="53">
        <f t="shared" si="564"/>
        <v>0</v>
      </c>
      <c r="J693" s="53">
        <f t="shared" si="564"/>
        <v>0</v>
      </c>
      <c r="K693" s="53">
        <f t="shared" ref="K693" si="565">K692/(1+$B675)*$B675</f>
        <v>0</v>
      </c>
      <c r="M693" s="54">
        <f>SUM(F693:K693)</f>
        <v>0</v>
      </c>
    </row>
    <row r="694" spans="1:13" hidden="1" outlineLevel="2" x14ac:dyDescent="0.2">
      <c r="A694" t="str">
        <f ca="1">Language!A$565</f>
        <v xml:space="preserve">    закуплено сырья и материалов на сумму (без НДС)</v>
      </c>
      <c r="C694" s="5" t="str">
        <f ca="1">CHOOSE(B671,CUR_Main,CUR_Foreign)</f>
        <v>руб.</v>
      </c>
      <c r="D694" t="str">
        <f>TEXT(B671,"0")&amp;"_03"</f>
        <v>1_03</v>
      </c>
      <c r="F694" s="270">
        <f t="shared" ref="F694:J694" si="566">F692</f>
        <v>0</v>
      </c>
      <c r="G694" s="270">
        <f t="shared" si="566"/>
        <v>0</v>
      </c>
      <c r="H694" s="270">
        <f t="shared" si="566"/>
        <v>0</v>
      </c>
      <c r="I694" s="270">
        <f t="shared" si="566"/>
        <v>0</v>
      </c>
      <c r="J694" s="270">
        <f t="shared" si="566"/>
        <v>0</v>
      </c>
      <c r="K694" s="270">
        <f t="shared" ref="K694" si="567">K692</f>
        <v>0</v>
      </c>
      <c r="M694" s="54">
        <f>SUM(F694:K694)</f>
        <v>0</v>
      </c>
    </row>
    <row r="695" spans="1:13" hidden="1" outlineLevel="2" x14ac:dyDescent="0.2">
      <c r="A695" t="str">
        <f ca="1">Language!A$569</f>
        <v xml:space="preserve">    оплачено сырья и материалов (без НДС)</v>
      </c>
      <c r="C695" s="5" t="str">
        <f ca="1">CHOOSE(B671,CUR_Main,CUR_Foreign)</f>
        <v>руб.</v>
      </c>
      <c r="D695" t="str">
        <f>TEXT(B671,"0")&amp;"_06"</f>
        <v>1_06</v>
      </c>
      <c r="F695" s="270">
        <f t="shared" ref="F695:J695" si="568">F694</f>
        <v>0</v>
      </c>
      <c r="G695" s="270">
        <f t="shared" si="568"/>
        <v>0</v>
      </c>
      <c r="H695" s="270">
        <f t="shared" si="568"/>
        <v>0</v>
      </c>
      <c r="I695" s="270">
        <f t="shared" si="568"/>
        <v>0</v>
      </c>
      <c r="J695" s="270">
        <f t="shared" si="568"/>
        <v>0</v>
      </c>
      <c r="K695" s="270">
        <f t="shared" ref="K695" si="569">K694</f>
        <v>0</v>
      </c>
      <c r="M695" s="54">
        <f>SUM(F695:K695)</f>
        <v>0</v>
      </c>
    </row>
    <row r="696" spans="1:13" hidden="1" outlineLevel="2" x14ac:dyDescent="0.2">
      <c r="A696" t="str">
        <f ca="1">Language!A$566</f>
        <v xml:space="preserve">    зачет НДС</v>
      </c>
      <c r="C696" s="5" t="str">
        <f ca="1">CHOOSE(B671,CUR_Main,CUR_Foreign)</f>
        <v>руб.</v>
      </c>
      <c r="D696" t="str">
        <f>TEXT(B671,"0")&amp;"_04"</f>
        <v>1_04</v>
      </c>
      <c r="F696" s="53">
        <f t="shared" ref="F696:J696" si="570">F694*$B676</f>
        <v>0</v>
      </c>
      <c r="G696" s="53">
        <f t="shared" si="570"/>
        <v>0</v>
      </c>
      <c r="H696" s="53">
        <f t="shared" si="570"/>
        <v>0</v>
      </c>
      <c r="I696" s="53">
        <f t="shared" si="570"/>
        <v>0</v>
      </c>
      <c r="J696" s="53">
        <f t="shared" si="570"/>
        <v>0</v>
      </c>
      <c r="K696" s="53">
        <f t="shared" ref="K696" si="571">K694*$B676</f>
        <v>0</v>
      </c>
      <c r="M696" s="54">
        <f>SUM(F696:K696)</f>
        <v>0</v>
      </c>
    </row>
    <row r="697" spans="1:13" hidden="1" outlineLevel="2" x14ac:dyDescent="0.2">
      <c r="A697" t="str">
        <f ca="1">Language!A$567</f>
        <v xml:space="preserve">    запасы на основе периодов оборота</v>
      </c>
      <c r="C697" s="5" t="str">
        <f ca="1">CHOOSE(B671,CUR_Main,CUR_Foreign)</f>
        <v>руб.</v>
      </c>
      <c r="D697" t="str">
        <f>TEXT(B671,"0")&amp;"_05"&amp;";int_end"</f>
        <v>1_05;int_end</v>
      </c>
      <c r="F697" s="84">
        <f t="shared" ref="F697:J697" si="572">F692*$B691/PRJ_Step</f>
        <v>0</v>
      </c>
      <c r="G697" s="84">
        <f t="shared" si="572"/>
        <v>0</v>
      </c>
      <c r="H697" s="84">
        <f t="shared" si="572"/>
        <v>0</v>
      </c>
      <c r="I697" s="84">
        <f t="shared" si="572"/>
        <v>0</v>
      </c>
      <c r="J697" s="84">
        <f t="shared" si="572"/>
        <v>0</v>
      </c>
      <c r="K697" s="84">
        <f t="shared" ref="K697" si="573">K692*$B691/PRJ_Step</f>
        <v>0</v>
      </c>
    </row>
    <row r="698" spans="1:13" hidden="1" outlineLevel="2" x14ac:dyDescent="0.2">
      <c r="A698" t="str">
        <f ca="1">Language!A$568</f>
        <v xml:space="preserve">    запасы на основе графика оплаты</v>
      </c>
      <c r="C698" s="5" t="str">
        <f ca="1">CHOOSE(B671,CUR_Main,CUR_Foreign)</f>
        <v>руб.</v>
      </c>
      <c r="D698" t="str">
        <f>TEXT(B671,"0")&amp;"_13"&amp;";int_end"</f>
        <v>1_13;int_end</v>
      </c>
      <c r="F698" s="84">
        <f t="shared" ref="F698:K698" si="574">E698+F694-F692</f>
        <v>0</v>
      </c>
      <c r="G698" s="84">
        <f t="shared" si="574"/>
        <v>0</v>
      </c>
      <c r="H698" s="84">
        <f t="shared" si="574"/>
        <v>0</v>
      </c>
      <c r="I698" s="84">
        <f t="shared" si="574"/>
        <v>0</v>
      </c>
      <c r="J698" s="84">
        <f t="shared" si="574"/>
        <v>0</v>
      </c>
      <c r="K698" s="84">
        <f t="shared" si="574"/>
        <v>0</v>
      </c>
    </row>
    <row r="699" spans="1:13" hidden="1" outlineLevel="2" x14ac:dyDescent="0.2">
      <c r="A699" t="str">
        <f ca="1">Language!A$570</f>
        <v xml:space="preserve">    выплаченный НДС</v>
      </c>
      <c r="C699" s="5" t="str">
        <f ca="1">CHOOSE(B671,CUR_Main,CUR_Foreign)</f>
        <v>руб.</v>
      </c>
      <c r="D699" t="str">
        <f>TEXT(B671,"0")&amp;"_07"</f>
        <v>1_07</v>
      </c>
      <c r="F699" s="53">
        <f t="shared" ref="F699:J699" si="575">F695*$B676</f>
        <v>0</v>
      </c>
      <c r="G699" s="53">
        <f t="shared" si="575"/>
        <v>0</v>
      </c>
      <c r="H699" s="53">
        <f t="shared" si="575"/>
        <v>0</v>
      </c>
      <c r="I699" s="53">
        <f t="shared" si="575"/>
        <v>0</v>
      </c>
      <c r="J699" s="53">
        <f t="shared" si="575"/>
        <v>0</v>
      </c>
      <c r="K699" s="53">
        <f t="shared" ref="K699" si="576">K695*$B676</f>
        <v>0</v>
      </c>
      <c r="M699" s="54">
        <f>SUM(F699:K699)</f>
        <v>0</v>
      </c>
    </row>
    <row r="700" spans="1:13" hidden="1" outlineLevel="2" x14ac:dyDescent="0.2">
      <c r="A700" t="str">
        <f ca="1">Language!A$571</f>
        <v xml:space="preserve">    кредиторская задолженность</v>
      </c>
      <c r="C700" s="5" t="str">
        <f ca="1">CHOOSE(B671,CUR_Main,CUR_Foreign)</f>
        <v>руб.</v>
      </c>
      <c r="D700" t="str">
        <f>TEXT(B671,"0")&amp;"_08"&amp;";int_end"</f>
        <v>1_08;int_end</v>
      </c>
      <c r="F700" s="53">
        <f>IF(SUM($F694:F694)&gt;=0,MAX(SUM($F694:F694)+SUM($F696:F696)-SUM($F695:F695)-SUM($F699:F699),0),MIN(SUM($F694:F694)+SUM($F696:F696)-SUM($F695:F695)-SUM($F699:F699),0))</f>
        <v>0</v>
      </c>
      <c r="G700" s="53">
        <f>IF(SUM($F694:G694)&gt;=0,MAX(SUM($F694:G694)+SUM($F696:G696)-SUM($F695:G695)-SUM($F699:G699),0),MIN(SUM($F694:G694)+SUM($F696:G696)-SUM($F695:G695)-SUM($F699:G699),0))</f>
        <v>0</v>
      </c>
      <c r="H700" s="53">
        <f>IF(SUM($F694:H694)&gt;=0,MAX(SUM($F694:H694)+SUM($F696:H696)-SUM($F695:H695)-SUM($F699:H699),0),MIN(SUM($F694:H694)+SUM($F696:H696)-SUM($F695:H695)-SUM($F699:H699),0))</f>
        <v>0</v>
      </c>
      <c r="I700" s="53">
        <f>IF(SUM($F694:I694)&gt;=0,MAX(SUM($F694:I694)+SUM($F696:I696)-SUM($F695:I695)-SUM($F699:I699),0),MIN(SUM($F694:I694)+SUM($F696:I696)-SUM($F695:I695)-SUM($F699:I699),0))</f>
        <v>0</v>
      </c>
      <c r="J700" s="53">
        <f>IF(SUM($F694:J694)&gt;=0,MAX(SUM($F694:J694)+SUM($F696:J696)-SUM($F695:J695)-SUM($F699:J699),0),MIN(SUM($F694:J694)+SUM($F696:J696)-SUM($F695:J695)-SUM($F699:J699),0))</f>
        <v>0</v>
      </c>
      <c r="K700" s="53">
        <f>IF(SUM($F694:K694)&gt;=0,MAX(SUM($F694:K694)+SUM($F696:K696)-SUM($F695:K695)-SUM($F699:K699),0),MIN(SUM($F694:K694)+SUM($F696:K696)-SUM($F695:K695)-SUM($F699:K699),0))</f>
        <v>0</v>
      </c>
    </row>
    <row r="701" spans="1:13" hidden="1" outlineLevel="2" x14ac:dyDescent="0.2">
      <c r="A701" t="str">
        <f ca="1">Language!A$572</f>
        <v xml:space="preserve">    выплаченные авансы</v>
      </c>
      <c r="C701" s="5" t="str">
        <f ca="1">CHOOSE(B671,CUR_Main,CUR_Foreign)</f>
        <v>руб.</v>
      </c>
      <c r="D701" t="str">
        <f>TEXT(B671,"0")&amp;"_09"&amp;";int_end"</f>
        <v>1_09;int_end</v>
      </c>
      <c r="F701" s="53">
        <f>IF(SUM($F694:F694)&gt;=0,MAX(SUM($F695:F695)+SUM($F699:F699)-SUM($F694:F694)-SUM($F696:F696),0),MIN(SUM($F695:F695)+SUM($F699:F699)-SUM($F694:F694)-SUM($F696:F696),0))</f>
        <v>0</v>
      </c>
      <c r="G701" s="53">
        <f>IF(SUM($F694:G694)&gt;=0,MAX(SUM($F695:G695)+SUM($F699:G699)-SUM($F694:G694)-SUM($F696:G696),0),MIN(SUM($F695:G695)+SUM($F699:G699)-SUM($F694:G694)-SUM($F696:G696),0))</f>
        <v>0</v>
      </c>
      <c r="H701" s="53">
        <f>IF(SUM($F694:H694)&gt;=0,MAX(SUM($F695:H695)+SUM($F699:H699)-SUM($F694:H694)-SUM($F696:H696),0),MIN(SUM($F695:H695)+SUM($F699:H699)-SUM($F694:H694)-SUM($F696:H696),0))</f>
        <v>0</v>
      </c>
      <c r="I701" s="53">
        <f>IF(SUM($F694:I694)&gt;=0,MAX(SUM($F695:I695)+SUM($F699:I699)-SUM($F694:I694)-SUM($F696:I696),0),MIN(SUM($F695:I695)+SUM($F699:I699)-SUM($F694:I694)-SUM($F696:I696),0))</f>
        <v>0</v>
      </c>
      <c r="J701" s="53">
        <f>IF(SUM($F694:J694)&gt;=0,MAX(SUM($F695:J695)+SUM($F699:J699)-SUM($F694:J694)-SUM($F696:J696),0),MIN(SUM($F695:J695)+SUM($F699:J699)-SUM($F694:J694)-SUM($F696:J696),0))</f>
        <v>0</v>
      </c>
      <c r="K701" s="53">
        <f>IF(SUM($F694:K694)&gt;=0,MAX(SUM($F695:K695)+SUM($F699:K699)-SUM($F694:K694)-SUM($F696:K696),0),MIN(SUM($F695:K695)+SUM($F699:K699)-SUM($F694:K694)-SUM($F696:K696),0))</f>
        <v>0</v>
      </c>
    </row>
    <row r="702" spans="1:13" hidden="1" outlineLevel="2" x14ac:dyDescent="0.2">
      <c r="A702" t="str">
        <f ca="1">Language!A$573</f>
        <v xml:space="preserve">    списано затрат на реализованную продукцию</v>
      </c>
      <c r="C702" s="5" t="str">
        <f ca="1">CHOOSE(B671,CUR_Main,CUR_Foreign)</f>
        <v>руб.</v>
      </c>
      <c r="D702" t="str">
        <f>TEXT(B671,"0")&amp;"_10"</f>
        <v>1_10</v>
      </c>
      <c r="F702" s="53">
        <f t="shared" ref="F702:K702" si="577">IF((E651+F649)&gt;0,F650*(E703+F692)/(E651+F649),0)</f>
        <v>0</v>
      </c>
      <c r="G702" s="53">
        <f t="shared" si="577"/>
        <v>0</v>
      </c>
      <c r="H702" s="53">
        <f t="shared" si="577"/>
        <v>0</v>
      </c>
      <c r="I702" s="53">
        <f t="shared" si="577"/>
        <v>0</v>
      </c>
      <c r="J702" s="53">
        <f t="shared" si="577"/>
        <v>0</v>
      </c>
      <c r="K702" s="53">
        <f t="shared" si="577"/>
        <v>0</v>
      </c>
      <c r="M702" s="54">
        <f>SUM(F702:K702)</f>
        <v>0</v>
      </c>
    </row>
    <row r="703" spans="1:13" hidden="1" outlineLevel="2" x14ac:dyDescent="0.2">
      <c r="A703" s="48" t="str">
        <f ca="1">Language!A$574</f>
        <v xml:space="preserve">    остаток затрат на складе готовой продукции</v>
      </c>
      <c r="C703" s="5" t="str">
        <f ca="1">CHOOSE(B671,CUR_Main,CUR_Foreign)</f>
        <v>руб.</v>
      </c>
      <c r="D703" t="str">
        <f>TEXT(B671,"0")&amp;"_11"&amp;";int_end"</f>
        <v>1_11;int_end</v>
      </c>
      <c r="F703" s="84">
        <f t="shared" ref="F703:K703" si="578">IF((F649+E651)&gt;0,F651*(E703+F692)/(E651+F649),0)</f>
        <v>0</v>
      </c>
      <c r="G703" s="84">
        <f t="shared" si="578"/>
        <v>0</v>
      </c>
      <c r="H703" s="84">
        <f t="shared" si="578"/>
        <v>0</v>
      </c>
      <c r="I703" s="84">
        <f t="shared" si="578"/>
        <v>0</v>
      </c>
      <c r="J703" s="84">
        <f t="shared" si="578"/>
        <v>0</v>
      </c>
      <c r="K703" s="84">
        <f t="shared" si="578"/>
        <v>0</v>
      </c>
    </row>
    <row r="704" spans="1:13" hidden="1" outlineLevel="2" x14ac:dyDescent="0.2">
      <c r="A704" s="48" t="str">
        <f ca="1">Language!A$575</f>
        <v xml:space="preserve">    остаток затрат в незавершенном производстве</v>
      </c>
      <c r="B704" s="255">
        <f>NWC_T_Cycle</f>
        <v>60</v>
      </c>
      <c r="C704" s="5" t="str">
        <f ca="1">Language!A$38</f>
        <v>дн.</v>
      </c>
      <c r="D704" t="str">
        <f>TEXT(B671,"0")&amp;"_12"&amp;";int_end"</f>
        <v>1_12;int_end</v>
      </c>
      <c r="F704" s="84">
        <f t="shared" ref="F704:J704" si="579">F692*$B704/PRJ_Step</f>
        <v>0</v>
      </c>
      <c r="G704" s="84">
        <f t="shared" si="579"/>
        <v>0</v>
      </c>
      <c r="H704" s="84">
        <f t="shared" si="579"/>
        <v>0</v>
      </c>
      <c r="I704" s="84">
        <f t="shared" si="579"/>
        <v>0</v>
      </c>
      <c r="J704" s="84">
        <f t="shared" si="579"/>
        <v>0</v>
      </c>
      <c r="K704" s="84">
        <f t="shared" ref="K704" si="580">K692*$B704/PRJ_Step</f>
        <v>0</v>
      </c>
    </row>
    <row r="705" spans="1:13" outlineLevel="1" x14ac:dyDescent="0.2">
      <c r="A705" s="48" t="str">
        <f>A587</f>
        <v>Лицензия продукта</v>
      </c>
      <c r="E705">
        <v>15</v>
      </c>
    </row>
    <row r="706" spans="1:13" outlineLevel="1" collapsed="1" x14ac:dyDescent="0.2">
      <c r="A706" s="11" t="str">
        <f>A664</f>
        <v xml:space="preserve">Наименование сырья </v>
      </c>
      <c r="C706" s="5" t="str">
        <f ca="1">CHOOSE(B678,CUR_Main,CUR_Foreign)</f>
        <v>руб.</v>
      </c>
      <c r="D706" s="16" t="str">
        <f>TEXT(B678,"0")&amp;"_00"</f>
        <v>1_00</v>
      </c>
      <c r="F706" s="53">
        <f t="shared" ref="F706:K706" si="581">F664*F678</f>
        <v>0</v>
      </c>
      <c r="G706" s="53">
        <f t="shared" si="581"/>
        <v>0</v>
      </c>
      <c r="H706" s="53">
        <f t="shared" si="581"/>
        <v>0</v>
      </c>
      <c r="I706" s="53">
        <f t="shared" si="581"/>
        <v>0</v>
      </c>
      <c r="J706" s="53">
        <f t="shared" si="581"/>
        <v>0</v>
      </c>
      <c r="K706" s="53">
        <f t="shared" si="581"/>
        <v>0</v>
      </c>
      <c r="M706" s="54">
        <f>SUM(F706:K706)</f>
        <v>0</v>
      </c>
    </row>
    <row r="707" spans="1:13" hidden="1" outlineLevel="2" x14ac:dyDescent="0.2">
      <c r="A707" t="str">
        <f ca="1">Language!A$562</f>
        <v xml:space="preserve">    среднее время хранения</v>
      </c>
      <c r="B707" s="255">
        <f>NWC_T_Mat</f>
        <v>0</v>
      </c>
      <c r="C707" s="5" t="str">
        <f ca="1">Language!A$38</f>
        <v>дн.</v>
      </c>
      <c r="D707" s="16"/>
      <c r="F707" s="53"/>
      <c r="G707" s="53"/>
      <c r="H707" s="53"/>
      <c r="I707" s="53"/>
      <c r="J707" s="53"/>
      <c r="K707" s="53"/>
      <c r="M707" s="57"/>
    </row>
    <row r="708" spans="1:13" hidden="1" outlineLevel="2" x14ac:dyDescent="0.2">
      <c r="A708" t="str">
        <f ca="1">Language!A$563</f>
        <v xml:space="preserve">    затраты на сырье и материалы без НДС</v>
      </c>
      <c r="C708" s="5" t="str">
        <f ca="1">CHOOSE(B678,CUR_Main,CUR_Foreign)</f>
        <v>руб.</v>
      </c>
      <c r="D708" t="str">
        <f>TEXT(B678,"0")&amp;"_01"</f>
        <v>1_01</v>
      </c>
      <c r="F708" s="53">
        <f t="shared" ref="F708:K708" si="582">F706/(1+$B683)</f>
        <v>0</v>
      </c>
      <c r="G708" s="53">
        <f t="shared" si="582"/>
        <v>0</v>
      </c>
      <c r="H708" s="53">
        <f t="shared" si="582"/>
        <v>0</v>
      </c>
      <c r="I708" s="53">
        <f t="shared" si="582"/>
        <v>0</v>
      </c>
      <c r="J708" s="53">
        <f t="shared" si="582"/>
        <v>0</v>
      </c>
      <c r="K708" s="53">
        <f t="shared" si="582"/>
        <v>0</v>
      </c>
      <c r="M708" s="54">
        <f>SUM(F708:K708)</f>
        <v>0</v>
      </c>
    </row>
    <row r="709" spans="1:13" hidden="1" outlineLevel="2" x14ac:dyDescent="0.2">
      <c r="A709" t="str">
        <f ca="1">Language!A$564</f>
        <v xml:space="preserve">    в том числе импортная пошлина</v>
      </c>
      <c r="C709" s="5" t="str">
        <f ca="1">CHOOSE(B678,CUR_Main,CUR_Foreign)</f>
        <v>руб.</v>
      </c>
      <c r="D709" t="str">
        <f>TEXT(B678,"0")&amp;"_02"</f>
        <v>1_02</v>
      </c>
      <c r="F709" s="53">
        <f t="shared" ref="F709:K709" si="583">F708/(1+$B682)*$B682</f>
        <v>0</v>
      </c>
      <c r="G709" s="53">
        <f t="shared" si="583"/>
        <v>0</v>
      </c>
      <c r="H709" s="53">
        <f t="shared" si="583"/>
        <v>0</v>
      </c>
      <c r="I709" s="53">
        <f t="shared" si="583"/>
        <v>0</v>
      </c>
      <c r="J709" s="53">
        <f t="shared" si="583"/>
        <v>0</v>
      </c>
      <c r="K709" s="53">
        <f t="shared" si="583"/>
        <v>0</v>
      </c>
      <c r="M709" s="54">
        <f>SUM(F709:K709)</f>
        <v>0</v>
      </c>
    </row>
    <row r="710" spans="1:13" hidden="1" outlineLevel="2" x14ac:dyDescent="0.2">
      <c r="A710" t="str">
        <f ca="1">Language!A$565</f>
        <v xml:space="preserve">    закуплено сырья и материалов на сумму (без НДС)</v>
      </c>
      <c r="C710" s="5" t="str">
        <f ca="1">CHOOSE(B678,CUR_Main,CUR_Foreign)</f>
        <v>руб.</v>
      </c>
      <c r="D710" t="str">
        <f>TEXT(B678,"0")&amp;"_03"</f>
        <v>1_03</v>
      </c>
      <c r="F710" s="270">
        <f t="shared" ref="F710:K710" si="584">F708</f>
        <v>0</v>
      </c>
      <c r="G710" s="270">
        <f t="shared" si="584"/>
        <v>0</v>
      </c>
      <c r="H710" s="270">
        <f t="shared" si="584"/>
        <v>0</v>
      </c>
      <c r="I710" s="270">
        <f t="shared" si="584"/>
        <v>0</v>
      </c>
      <c r="J710" s="270">
        <f t="shared" si="584"/>
        <v>0</v>
      </c>
      <c r="K710" s="270">
        <f t="shared" si="584"/>
        <v>0</v>
      </c>
      <c r="M710" s="54">
        <f>SUM(F710:K710)</f>
        <v>0</v>
      </c>
    </row>
    <row r="711" spans="1:13" hidden="1" outlineLevel="2" x14ac:dyDescent="0.2">
      <c r="A711" t="str">
        <f ca="1">Language!A$569</f>
        <v xml:space="preserve">    оплачено сырья и материалов (без НДС)</v>
      </c>
      <c r="C711" s="5" t="str">
        <f ca="1">CHOOSE(B678,CUR_Main,CUR_Foreign)</f>
        <v>руб.</v>
      </c>
      <c r="D711" t="str">
        <f>TEXT(B678,"0")&amp;"_06"</f>
        <v>1_06</v>
      </c>
      <c r="F711" s="270">
        <f t="shared" ref="F711:K711" si="585">F710</f>
        <v>0</v>
      </c>
      <c r="G711" s="270">
        <f t="shared" si="585"/>
        <v>0</v>
      </c>
      <c r="H711" s="270">
        <f t="shared" si="585"/>
        <v>0</v>
      </c>
      <c r="I711" s="270">
        <f t="shared" si="585"/>
        <v>0</v>
      </c>
      <c r="J711" s="270">
        <f t="shared" si="585"/>
        <v>0</v>
      </c>
      <c r="K711" s="270">
        <f t="shared" si="585"/>
        <v>0</v>
      </c>
      <c r="M711" s="54">
        <f>SUM(F711:K711)</f>
        <v>0</v>
      </c>
    </row>
    <row r="712" spans="1:13" hidden="1" outlineLevel="2" x14ac:dyDescent="0.2">
      <c r="A712" t="str">
        <f ca="1">Language!A$566</f>
        <v xml:space="preserve">    зачет НДС</v>
      </c>
      <c r="C712" s="5" t="str">
        <f ca="1">CHOOSE(B678,CUR_Main,CUR_Foreign)</f>
        <v>руб.</v>
      </c>
      <c r="D712" t="str">
        <f>TEXT(B678,"0")&amp;"_04"</f>
        <v>1_04</v>
      </c>
      <c r="F712" s="53">
        <f t="shared" ref="F712:K712" si="586">F710*$B683</f>
        <v>0</v>
      </c>
      <c r="G712" s="53">
        <f t="shared" si="586"/>
        <v>0</v>
      </c>
      <c r="H712" s="53">
        <f t="shared" si="586"/>
        <v>0</v>
      </c>
      <c r="I712" s="53">
        <f t="shared" si="586"/>
        <v>0</v>
      </c>
      <c r="J712" s="53">
        <f t="shared" si="586"/>
        <v>0</v>
      </c>
      <c r="K712" s="53">
        <f t="shared" si="586"/>
        <v>0</v>
      </c>
      <c r="M712" s="54">
        <f>SUM(F712:K712)</f>
        <v>0</v>
      </c>
    </row>
    <row r="713" spans="1:13" hidden="1" outlineLevel="2" x14ac:dyDescent="0.2">
      <c r="A713" t="str">
        <f ca="1">Language!A$567</f>
        <v xml:space="preserve">    запасы на основе периодов оборота</v>
      </c>
      <c r="C713" s="5" t="str">
        <f ca="1">CHOOSE(B678,CUR_Main,CUR_Foreign)</f>
        <v>руб.</v>
      </c>
      <c r="D713" t="str">
        <f>TEXT(B678,"0")&amp;"_05"&amp;";int_end"</f>
        <v>1_05;int_end</v>
      </c>
      <c r="F713" s="84">
        <f t="shared" ref="F713:K713" si="587">F708*$B707/PRJ_Step</f>
        <v>0</v>
      </c>
      <c r="G713" s="84">
        <f t="shared" si="587"/>
        <v>0</v>
      </c>
      <c r="H713" s="84">
        <f t="shared" si="587"/>
        <v>0</v>
      </c>
      <c r="I713" s="84">
        <f t="shared" si="587"/>
        <v>0</v>
      </c>
      <c r="J713" s="84">
        <f t="shared" si="587"/>
        <v>0</v>
      </c>
      <c r="K713" s="84">
        <f t="shared" si="587"/>
        <v>0</v>
      </c>
    </row>
    <row r="714" spans="1:13" hidden="1" outlineLevel="2" x14ac:dyDescent="0.2">
      <c r="A714" t="str">
        <f ca="1">Language!A$568</f>
        <v xml:space="preserve">    запасы на основе графика оплаты</v>
      </c>
      <c r="C714" s="5" t="str">
        <f ca="1">CHOOSE(B678,CUR_Main,CUR_Foreign)</f>
        <v>руб.</v>
      </c>
      <c r="D714" t="str">
        <f>TEXT(B678,"0")&amp;"_13"&amp;";int_end"</f>
        <v>1_13;int_end</v>
      </c>
      <c r="F714" s="84">
        <f t="shared" ref="F714:K714" si="588">E714+F710-F708</f>
        <v>0</v>
      </c>
      <c r="G714" s="84">
        <f t="shared" si="588"/>
        <v>0</v>
      </c>
      <c r="H714" s="84">
        <f t="shared" si="588"/>
        <v>0</v>
      </c>
      <c r="I714" s="84">
        <f t="shared" si="588"/>
        <v>0</v>
      </c>
      <c r="J714" s="84">
        <f t="shared" si="588"/>
        <v>0</v>
      </c>
      <c r="K714" s="84">
        <f t="shared" si="588"/>
        <v>0</v>
      </c>
    </row>
    <row r="715" spans="1:13" hidden="1" outlineLevel="2" x14ac:dyDescent="0.2">
      <c r="A715" t="str">
        <f ca="1">Language!A$570</f>
        <v xml:space="preserve">    выплаченный НДС</v>
      </c>
      <c r="C715" s="5" t="str">
        <f ca="1">CHOOSE(B678,CUR_Main,CUR_Foreign)</f>
        <v>руб.</v>
      </c>
      <c r="D715" t="str">
        <f>TEXT(B678,"0")&amp;"_07"</f>
        <v>1_07</v>
      </c>
      <c r="F715" s="53">
        <f t="shared" ref="F715:K715" si="589">F711*$B683</f>
        <v>0</v>
      </c>
      <c r="G715" s="53">
        <f t="shared" si="589"/>
        <v>0</v>
      </c>
      <c r="H715" s="53">
        <f t="shared" si="589"/>
        <v>0</v>
      </c>
      <c r="I715" s="53">
        <f t="shared" si="589"/>
        <v>0</v>
      </c>
      <c r="J715" s="53">
        <f t="shared" si="589"/>
        <v>0</v>
      </c>
      <c r="K715" s="53">
        <f t="shared" si="589"/>
        <v>0</v>
      </c>
      <c r="M715" s="54">
        <f>SUM(F715:K715)</f>
        <v>0</v>
      </c>
    </row>
    <row r="716" spans="1:13" hidden="1" outlineLevel="2" x14ac:dyDescent="0.2">
      <c r="A716" t="str">
        <f ca="1">Language!A$571</f>
        <v xml:space="preserve">    кредиторская задолженность</v>
      </c>
      <c r="C716" s="5" t="str">
        <f ca="1">CHOOSE(B678,CUR_Main,CUR_Foreign)</f>
        <v>руб.</v>
      </c>
      <c r="D716" t="str">
        <f>TEXT(B678,"0")&amp;"_08"&amp;";int_end"</f>
        <v>1_08;int_end</v>
      </c>
      <c r="F716" s="53">
        <f>IF(SUM($F710:F710)&gt;=0,MAX(SUM($F710:F710)+SUM($F712:F712)-SUM($F711:F711)-SUM($F715:F715),0),MIN(SUM($F710:F710)+SUM($F712:F712)-SUM($F711:F711)-SUM($F715:F715),0))</f>
        <v>0</v>
      </c>
      <c r="G716" s="53">
        <f>IF(SUM($F710:G710)&gt;=0,MAX(SUM($F710:G710)+SUM($F712:G712)-SUM($F711:G711)-SUM($F715:G715),0),MIN(SUM($F710:G710)+SUM($F712:G712)-SUM($F711:G711)-SUM($F715:G715),0))</f>
        <v>0</v>
      </c>
      <c r="H716" s="53">
        <f>IF(SUM($F710:H710)&gt;=0,MAX(SUM($F710:H710)+SUM($F712:H712)-SUM($F711:H711)-SUM($F715:H715),0),MIN(SUM($F710:H710)+SUM($F712:H712)-SUM($F711:H711)-SUM($F715:H715),0))</f>
        <v>0</v>
      </c>
      <c r="I716" s="53">
        <f>IF(SUM($F710:I710)&gt;=0,MAX(SUM($F710:I710)+SUM($F712:I712)-SUM($F711:I711)-SUM($F715:I715),0),MIN(SUM($F710:I710)+SUM($F712:I712)-SUM($F711:I711)-SUM($F715:I715),0))</f>
        <v>0</v>
      </c>
      <c r="J716" s="53">
        <f>IF(SUM($F710:J710)&gt;=0,MAX(SUM($F710:J710)+SUM($F712:J712)-SUM($F711:J711)-SUM($F715:J715),0),MIN(SUM($F710:J710)+SUM($F712:J712)-SUM($F711:J711)-SUM($F715:J715),0))</f>
        <v>0</v>
      </c>
      <c r="K716" s="53">
        <f>IF(SUM($F710:K710)&gt;=0,MAX(SUM($F710:K710)+SUM($F712:K712)-SUM($F711:K711)-SUM($F715:K715),0),MIN(SUM($F710:K710)+SUM($F712:K712)-SUM($F711:K711)-SUM($F715:K715),0))</f>
        <v>0</v>
      </c>
    </row>
    <row r="717" spans="1:13" hidden="1" outlineLevel="2" x14ac:dyDescent="0.2">
      <c r="A717" t="str">
        <f ca="1">Language!A$572</f>
        <v xml:space="preserve">    выплаченные авансы</v>
      </c>
      <c r="C717" s="5" t="str">
        <f ca="1">CHOOSE(B678,CUR_Main,CUR_Foreign)</f>
        <v>руб.</v>
      </c>
      <c r="D717" t="str">
        <f>TEXT(B678,"0")&amp;"_09"&amp;";int_end"</f>
        <v>1_09;int_end</v>
      </c>
      <c r="F717" s="53">
        <f>IF(SUM($F710:F710)&gt;=0,MAX(SUM($F711:F711)+SUM($F715:F715)-SUM($F710:F710)-SUM($F712:F712),0),MIN(SUM($F711:F711)+SUM($F715:F715)-SUM($F710:F710)-SUM($F712:F712),0))</f>
        <v>0</v>
      </c>
      <c r="G717" s="53">
        <f>IF(SUM($F710:G710)&gt;=0,MAX(SUM($F711:G711)+SUM($F715:G715)-SUM($F710:G710)-SUM($F712:G712),0),MIN(SUM($F711:G711)+SUM($F715:G715)-SUM($F710:G710)-SUM($F712:G712),0))</f>
        <v>0</v>
      </c>
      <c r="H717" s="53">
        <f>IF(SUM($F710:H710)&gt;=0,MAX(SUM($F711:H711)+SUM($F715:H715)-SUM($F710:H710)-SUM($F712:H712),0),MIN(SUM($F711:H711)+SUM($F715:H715)-SUM($F710:H710)-SUM($F712:H712),0))</f>
        <v>0</v>
      </c>
      <c r="I717" s="53">
        <f>IF(SUM($F710:I710)&gt;=0,MAX(SUM($F711:I711)+SUM($F715:I715)-SUM($F710:I710)-SUM($F712:I712),0),MIN(SUM($F711:I711)+SUM($F715:I715)-SUM($F710:I710)-SUM($F712:I712),0))</f>
        <v>0</v>
      </c>
      <c r="J717" s="53">
        <f>IF(SUM($F710:J710)&gt;=0,MAX(SUM($F711:J711)+SUM($F715:J715)-SUM($F710:J710)-SUM($F712:J712),0),MIN(SUM($F711:J711)+SUM($F715:J715)-SUM($F710:J710)-SUM($F712:J712),0))</f>
        <v>0</v>
      </c>
      <c r="K717" s="53">
        <f>IF(SUM($F710:K710)&gt;=0,MAX(SUM($F711:K711)+SUM($F715:K715)-SUM($F710:K710)-SUM($F712:K712),0),MIN(SUM($F711:K711)+SUM($F715:K715)-SUM($F710:K710)-SUM($F712:K712),0))</f>
        <v>0</v>
      </c>
    </row>
    <row r="718" spans="1:13" hidden="1" outlineLevel="2" x14ac:dyDescent="0.2">
      <c r="A718" t="str">
        <f ca="1">Language!A$573</f>
        <v xml:space="preserve">    списано затрат на реализованную продукцию</v>
      </c>
      <c r="C718" s="5" t="str">
        <f ca="1">CHOOSE(B678,CUR_Main,CUR_Foreign)</f>
        <v>руб.</v>
      </c>
      <c r="D718" t="str">
        <f>TEXT(B678,"0")&amp;"_10"</f>
        <v>1_10</v>
      </c>
      <c r="F718" s="53">
        <f t="shared" ref="F718:K718" si="590">IF((E655+F653)&gt;0,F654*(E719+F708)/(E655+F653),0)</f>
        <v>0</v>
      </c>
      <c r="G718" s="53">
        <f t="shared" si="590"/>
        <v>0</v>
      </c>
      <c r="H718" s="53">
        <f t="shared" si="590"/>
        <v>0</v>
      </c>
      <c r="I718" s="53">
        <f t="shared" si="590"/>
        <v>0</v>
      </c>
      <c r="J718" s="53">
        <f t="shared" si="590"/>
        <v>0</v>
      </c>
      <c r="K718" s="53">
        <f t="shared" si="590"/>
        <v>0</v>
      </c>
      <c r="M718" s="54">
        <f>SUM(F718:K718)</f>
        <v>0</v>
      </c>
    </row>
    <row r="719" spans="1:13" hidden="1" outlineLevel="2" x14ac:dyDescent="0.2">
      <c r="A719" s="48" t="str">
        <f ca="1">Language!A$574</f>
        <v xml:space="preserve">    остаток затрат на складе готовой продукции</v>
      </c>
      <c r="C719" s="5" t="str">
        <f ca="1">CHOOSE(B678,CUR_Main,CUR_Foreign)</f>
        <v>руб.</v>
      </c>
      <c r="D719" t="str">
        <f>TEXT(B678,"0")&amp;"_11"&amp;";int_end"</f>
        <v>1_11;int_end</v>
      </c>
      <c r="F719" s="84">
        <f t="shared" ref="F719:K719" si="591">IF((F653+E655)&gt;0,F655*(E719+F708)/(E655+F653),0)</f>
        <v>0</v>
      </c>
      <c r="G719" s="84">
        <f t="shared" si="591"/>
        <v>0</v>
      </c>
      <c r="H719" s="84">
        <f t="shared" si="591"/>
        <v>0</v>
      </c>
      <c r="I719" s="84">
        <f t="shared" si="591"/>
        <v>0</v>
      </c>
      <c r="J719" s="84">
        <f t="shared" si="591"/>
        <v>0</v>
      </c>
      <c r="K719" s="84">
        <f t="shared" si="591"/>
        <v>0</v>
      </c>
    </row>
    <row r="720" spans="1:13" hidden="1" outlineLevel="2" x14ac:dyDescent="0.2">
      <c r="A720" s="48" t="str">
        <f ca="1">Language!A$575</f>
        <v xml:space="preserve">    остаток затрат в незавершенном производстве</v>
      </c>
      <c r="B720" s="255">
        <f>NWC_T_Cycle</f>
        <v>60</v>
      </c>
      <c r="C720" s="5" t="str">
        <f ca="1">Language!A$38</f>
        <v>дн.</v>
      </c>
      <c r="D720" t="str">
        <f>TEXT(B678,"0")&amp;"_12"&amp;";int_end"</f>
        <v>1_12;int_end</v>
      </c>
      <c r="F720" s="84">
        <f t="shared" ref="F720:K720" si="592">F708*$B720/PRJ_Step</f>
        <v>0</v>
      </c>
      <c r="G720" s="84">
        <f t="shared" si="592"/>
        <v>0</v>
      </c>
      <c r="H720" s="84">
        <f t="shared" si="592"/>
        <v>0</v>
      </c>
      <c r="I720" s="84">
        <f t="shared" si="592"/>
        <v>0</v>
      </c>
      <c r="J720" s="84">
        <f t="shared" si="592"/>
        <v>0</v>
      </c>
      <c r="K720" s="84">
        <f t="shared" si="592"/>
        <v>0</v>
      </c>
    </row>
    <row r="721" spans="1:13" outlineLevel="1" x14ac:dyDescent="0.2"/>
    <row r="722" spans="1:13" outlineLevel="1" collapsed="1" x14ac:dyDescent="0.2">
      <c r="A722" s="35" t="str">
        <f ca="1">Language!A547</f>
        <v xml:space="preserve"> = Итого</v>
      </c>
      <c r="C722" s="5" t="str">
        <f t="shared" ref="C722:C735" ca="1" si="593">CUR_Main</f>
        <v>руб.</v>
      </c>
      <c r="F722" s="56">
        <f t="shared" ref="F722:J722" si="594">SUMIF($D688:$D721,"*1_00*",F688:F721)+SUMIF($D688:$D721,"*2_00*",F688:F721)*F$88</f>
        <v>0</v>
      </c>
      <c r="G722" s="56">
        <f t="shared" si="594"/>
        <v>0</v>
      </c>
      <c r="H722" s="56">
        <f t="shared" si="594"/>
        <v>0</v>
      </c>
      <c r="I722" s="56">
        <f t="shared" si="594"/>
        <v>0</v>
      </c>
      <c r="J722" s="56">
        <f t="shared" si="594"/>
        <v>0</v>
      </c>
      <c r="K722" s="56">
        <f t="shared" ref="K722" si="595">SUMIF($D688:$D721,"*1_00*",K688:K721)+SUMIF($D688:$D721,"*2_00*",K688:K721)*K$88</f>
        <v>0</v>
      </c>
      <c r="M722" s="57">
        <f>SUM(F722:K722)</f>
        <v>0</v>
      </c>
    </row>
    <row r="723" spans="1:13" hidden="1" outlineLevel="2" x14ac:dyDescent="0.2">
      <c r="A723" t="str">
        <f ca="1">Language!A563</f>
        <v xml:space="preserve">    затраты на сырье и материалы без НДС</v>
      </c>
      <c r="C723" s="5" t="str">
        <f t="shared" ca="1" si="593"/>
        <v>руб.</v>
      </c>
      <c r="F723" s="53">
        <f t="shared" ref="F723:J723" si="596">SUMIF($D688:$D721,"*1_01*",F688:F721)+SUMIF($D688:$D721,"*2_01*",F688:F721)*F$88</f>
        <v>0</v>
      </c>
      <c r="G723" s="53">
        <f t="shared" si="596"/>
        <v>0</v>
      </c>
      <c r="H723" s="53">
        <f t="shared" si="596"/>
        <v>0</v>
      </c>
      <c r="I723" s="53">
        <f t="shared" si="596"/>
        <v>0</v>
      </c>
      <c r="J723" s="53">
        <f t="shared" si="596"/>
        <v>0</v>
      </c>
      <c r="K723" s="53">
        <f t="shared" ref="K723" si="597">SUMIF($D688:$D721,"*1_01*",K688:K721)+SUMIF($D688:$D721,"*2_01*",K688:K721)*K$88</f>
        <v>0</v>
      </c>
      <c r="M723" s="54">
        <f>SUM(F723:K723)</f>
        <v>0</v>
      </c>
    </row>
    <row r="724" spans="1:13" hidden="1" outlineLevel="2" x14ac:dyDescent="0.2">
      <c r="A724" t="str">
        <f ca="1">Language!A564</f>
        <v xml:space="preserve">    в том числе импортная пошлина</v>
      </c>
      <c r="C724" s="5" t="str">
        <f t="shared" ca="1" si="593"/>
        <v>руб.</v>
      </c>
      <c r="F724" s="53">
        <f t="shared" ref="F724:J724" si="598">SUMIF($D688:$D721,"*1_02*",F688:F721)+SUMIF($D688:$D721,"*2_02*",F688:F721)*F$88</f>
        <v>0</v>
      </c>
      <c r="G724" s="53">
        <f t="shared" si="598"/>
        <v>0</v>
      </c>
      <c r="H724" s="53">
        <f t="shared" si="598"/>
        <v>0</v>
      </c>
      <c r="I724" s="53">
        <f t="shared" si="598"/>
        <v>0</v>
      </c>
      <c r="J724" s="53">
        <f t="shared" si="598"/>
        <v>0</v>
      </c>
      <c r="K724" s="53">
        <f t="shared" ref="K724" si="599">SUMIF($D688:$D721,"*1_02*",K688:K721)+SUMIF($D688:$D721,"*2_02*",K688:K721)*K$88</f>
        <v>0</v>
      </c>
      <c r="M724" s="54">
        <f>SUM(F724:K724)</f>
        <v>0</v>
      </c>
    </row>
    <row r="725" spans="1:13" hidden="1" outlineLevel="2" x14ac:dyDescent="0.2">
      <c r="A725" t="str">
        <f ca="1">Language!A565</f>
        <v xml:space="preserve">    закуплено сырья и материалов на сумму (без НДС)</v>
      </c>
      <c r="C725" s="5" t="str">
        <f t="shared" ca="1" si="593"/>
        <v>руб.</v>
      </c>
      <c r="F725" s="53">
        <f t="shared" ref="F725:J725" si="600">SUMIF($D688:$D721,"*1_03*",F688:F721)+SUMIF($D688:$D721,"*2_03*",F688:F721)*F$88</f>
        <v>0</v>
      </c>
      <c r="G725" s="53">
        <f t="shared" si="600"/>
        <v>0</v>
      </c>
      <c r="H725" s="53">
        <f t="shared" si="600"/>
        <v>0</v>
      </c>
      <c r="I725" s="53">
        <f t="shared" si="600"/>
        <v>0</v>
      </c>
      <c r="J725" s="53">
        <f t="shared" si="600"/>
        <v>0</v>
      </c>
      <c r="K725" s="53">
        <f t="shared" ref="K725" si="601">SUMIF($D688:$D721,"*1_03*",K688:K721)+SUMIF($D688:$D721,"*2_03*",K688:K721)*K$88</f>
        <v>0</v>
      </c>
      <c r="M725" s="54">
        <f>SUM(F725:K725)</f>
        <v>0</v>
      </c>
    </row>
    <row r="726" spans="1:13" hidden="1" outlineLevel="2" x14ac:dyDescent="0.2">
      <c r="A726" t="str">
        <f ca="1">Language!A566</f>
        <v xml:space="preserve">    зачет НДС</v>
      </c>
      <c r="C726" s="5" t="str">
        <f t="shared" ca="1" si="593"/>
        <v>руб.</v>
      </c>
      <c r="F726" s="53">
        <f t="shared" ref="F726:J726" si="602">SUMIF($D688:$D721,"*1_04*",F688:F721)+SUMIF($D688:$D721,"*2_04*",F688:F721)*F$88</f>
        <v>0</v>
      </c>
      <c r="G726" s="53">
        <f t="shared" si="602"/>
        <v>0</v>
      </c>
      <c r="H726" s="53">
        <f t="shared" si="602"/>
        <v>0</v>
      </c>
      <c r="I726" s="53">
        <f t="shared" si="602"/>
        <v>0</v>
      </c>
      <c r="J726" s="53">
        <f t="shared" si="602"/>
        <v>0</v>
      </c>
      <c r="K726" s="53">
        <f t="shared" ref="K726" si="603">SUMIF($D688:$D721,"*1_04*",K688:K721)+SUMIF($D688:$D721,"*2_04*",K688:K721)*K$88</f>
        <v>0</v>
      </c>
      <c r="M726" s="54">
        <f>SUM(F726:K726)</f>
        <v>0</v>
      </c>
    </row>
    <row r="727" spans="1:13" hidden="1" outlineLevel="2" x14ac:dyDescent="0.2">
      <c r="A727" t="str">
        <f ca="1">Language!A567</f>
        <v xml:space="preserve">    запасы на основе периодов оборота</v>
      </c>
      <c r="C727" s="5" t="str">
        <f t="shared" ca="1" si="593"/>
        <v>руб.</v>
      </c>
      <c r="D727" s="16" t="s">
        <v>384</v>
      </c>
      <c r="F727" s="53">
        <f t="shared" ref="F727:J727" si="604">SUMIF($D688:$D721,"*1_05*",F688:F721)+SUMIF($D688:$D721,"*2_05*",F688:F721)*F$88</f>
        <v>0</v>
      </c>
      <c r="G727" s="53">
        <f t="shared" si="604"/>
        <v>0</v>
      </c>
      <c r="H727" s="53">
        <f t="shared" si="604"/>
        <v>0</v>
      </c>
      <c r="I727" s="53">
        <f t="shared" si="604"/>
        <v>0</v>
      </c>
      <c r="J727" s="53">
        <f t="shared" si="604"/>
        <v>0</v>
      </c>
      <c r="K727" s="53">
        <f t="shared" ref="K727" si="605">SUMIF($D688:$D721,"*1_05*",K688:K721)+SUMIF($D688:$D721,"*2_05*",K688:K721)*K$88</f>
        <v>0</v>
      </c>
    </row>
    <row r="728" spans="1:13" hidden="1" outlineLevel="2" x14ac:dyDescent="0.2">
      <c r="A728" t="str">
        <f ca="1">Language!A568</f>
        <v xml:space="preserve">    запасы на основе графика оплаты</v>
      </c>
      <c r="C728" s="5" t="str">
        <f t="shared" ca="1" si="593"/>
        <v>руб.</v>
      </c>
      <c r="D728" s="16" t="s">
        <v>384</v>
      </c>
      <c r="F728" s="53">
        <f t="shared" ref="F728:J728" si="606">SUMIF($D688:$D721,"*1_13*",F688:F721)+SUMIF($D688:$D721,"*2_13*",F688:F721)*F$88</f>
        <v>0</v>
      </c>
      <c r="G728" s="53">
        <f t="shared" si="606"/>
        <v>0</v>
      </c>
      <c r="H728" s="53">
        <f t="shared" si="606"/>
        <v>0</v>
      </c>
      <c r="I728" s="53">
        <f t="shared" si="606"/>
        <v>0</v>
      </c>
      <c r="J728" s="53">
        <f t="shared" si="606"/>
        <v>0</v>
      </c>
      <c r="K728" s="53">
        <f t="shared" ref="K728" si="607">SUMIF($D688:$D721,"*1_13*",K688:K721)+SUMIF($D688:$D721,"*2_13*",K688:K721)*K$88</f>
        <v>0</v>
      </c>
    </row>
    <row r="729" spans="1:13" hidden="1" outlineLevel="2" x14ac:dyDescent="0.2">
      <c r="A729" t="str">
        <f ca="1">Language!A569</f>
        <v xml:space="preserve">    оплачено сырья и материалов (без НДС)</v>
      </c>
      <c r="C729" s="5" t="str">
        <f t="shared" ca="1" si="593"/>
        <v>руб.</v>
      </c>
      <c r="D729" s="16"/>
      <c r="F729" s="53">
        <f t="shared" ref="F729:J729" si="608">SUMIF($D688:$D721,"*1_06*",F688:F721)+SUMIF($D688:$D721,"*2_06*",F688:F721)*F$88</f>
        <v>0</v>
      </c>
      <c r="G729" s="53">
        <f t="shared" si="608"/>
        <v>0</v>
      </c>
      <c r="H729" s="53">
        <f t="shared" si="608"/>
        <v>0</v>
      </c>
      <c r="I729" s="53">
        <f t="shared" si="608"/>
        <v>0</v>
      </c>
      <c r="J729" s="53">
        <f t="shared" si="608"/>
        <v>0</v>
      </c>
      <c r="K729" s="53">
        <f t="shared" ref="K729" si="609">SUMIF($D688:$D721,"*1_06*",K688:K721)+SUMIF($D688:$D721,"*2_06*",K688:K721)*K$88</f>
        <v>0</v>
      </c>
      <c r="M729" s="54">
        <f>SUM(F729:K729)</f>
        <v>0</v>
      </c>
    </row>
    <row r="730" spans="1:13" hidden="1" outlineLevel="2" x14ac:dyDescent="0.2">
      <c r="A730" t="str">
        <f ca="1">Language!A570</f>
        <v xml:space="preserve">    выплаченный НДС</v>
      </c>
      <c r="C730" s="5" t="str">
        <f t="shared" ca="1" si="593"/>
        <v>руб.</v>
      </c>
      <c r="D730" s="16"/>
      <c r="F730" s="53">
        <f t="shared" ref="F730:J730" si="610">SUMIF($D688:$D721,"*1_07*",F688:F721)+SUMIF($D688:$D721,"*2_07*",F688:F721)*F$88</f>
        <v>0</v>
      </c>
      <c r="G730" s="53">
        <f t="shared" si="610"/>
        <v>0</v>
      </c>
      <c r="H730" s="53">
        <f t="shared" si="610"/>
        <v>0</v>
      </c>
      <c r="I730" s="53">
        <f t="shared" si="610"/>
        <v>0</v>
      </c>
      <c r="J730" s="53">
        <f t="shared" si="610"/>
        <v>0</v>
      </c>
      <c r="K730" s="53">
        <f t="shared" ref="K730" si="611">SUMIF($D688:$D721,"*1_07*",K688:K721)+SUMIF($D688:$D721,"*2_07*",K688:K721)*K$88</f>
        <v>0</v>
      </c>
      <c r="M730" s="54">
        <f>SUM(F730:K730)</f>
        <v>0</v>
      </c>
    </row>
    <row r="731" spans="1:13" hidden="1" outlineLevel="2" x14ac:dyDescent="0.2">
      <c r="A731" t="str">
        <f ca="1">Language!A571</f>
        <v xml:space="preserve">    кредиторская задолженность</v>
      </c>
      <c r="C731" s="5" t="str">
        <f t="shared" ca="1" si="593"/>
        <v>руб.</v>
      </c>
      <c r="D731" s="16" t="s">
        <v>384</v>
      </c>
      <c r="F731" s="53">
        <f>MAX(SUM($F725:F725)+SUM($F726:F726)-SUM($F729:F729)-SUM($F730:F730),0)</f>
        <v>0</v>
      </c>
      <c r="G731" s="53">
        <f>MAX(SUM($F725:G725)+SUM($F726:G726)-SUM($F729:G729)-SUM($F730:G730),0)</f>
        <v>0</v>
      </c>
      <c r="H731" s="53">
        <f>MAX(SUM($F725:H725)+SUM($F726:H726)-SUM($F729:H729)-SUM($F730:H730),0)</f>
        <v>0</v>
      </c>
      <c r="I731" s="53">
        <f>MAX(SUM($F725:I725)+SUM($F726:I726)-SUM($F729:I729)-SUM($F730:I730),0)</f>
        <v>0</v>
      </c>
      <c r="J731" s="53">
        <f>MAX(SUM($F725:J725)+SUM($F726:J726)-SUM($F729:J729)-SUM($F730:J730),0)</f>
        <v>0</v>
      </c>
      <c r="K731" s="53">
        <f>MAX(SUM($F725:K725)+SUM($F726:K726)-SUM($F729:K729)-SUM($F730:K730),0)</f>
        <v>0</v>
      </c>
    </row>
    <row r="732" spans="1:13" hidden="1" outlineLevel="2" x14ac:dyDescent="0.2">
      <c r="A732" t="str">
        <f ca="1">Language!A572</f>
        <v xml:space="preserve">    выплаченные авансы</v>
      </c>
      <c r="C732" s="5" t="str">
        <f t="shared" ca="1" si="593"/>
        <v>руб.</v>
      </c>
      <c r="D732" s="16" t="s">
        <v>384</v>
      </c>
      <c r="F732" s="53">
        <f>MAX(SUM($F729:F729)+SUM($F730:F730)-SUM($F725:F725)-SUM($F726:F726),0)</f>
        <v>0</v>
      </c>
      <c r="G732" s="53">
        <f>MAX(SUM($F729:G729)+SUM($F730:G730)-SUM($F725:G725)-SUM($F726:G726),0)</f>
        <v>0</v>
      </c>
      <c r="H732" s="53">
        <f>MAX(SUM($F729:H729)+SUM($F730:H730)-SUM($F725:H725)-SUM($F726:H726),0)</f>
        <v>0</v>
      </c>
      <c r="I732" s="53">
        <f>MAX(SUM($F729:I729)+SUM($F730:I730)-SUM($F725:I725)-SUM($F726:I726),0)</f>
        <v>0</v>
      </c>
      <c r="J732" s="53">
        <f>MAX(SUM($F729:J729)+SUM($F730:J730)-SUM($F725:J725)-SUM($F726:J726),0)</f>
        <v>0</v>
      </c>
      <c r="K732" s="53">
        <f>MAX(SUM($F729:K729)+SUM($F730:K730)-SUM($F725:K725)-SUM($F726:K726),0)</f>
        <v>0</v>
      </c>
    </row>
    <row r="733" spans="1:13" hidden="1" outlineLevel="2" x14ac:dyDescent="0.2">
      <c r="A733" t="str">
        <f ca="1">Language!A$573</f>
        <v xml:space="preserve">    списано затрат на реализованную продукцию</v>
      </c>
      <c r="C733" s="5" t="str">
        <f t="shared" ca="1" si="593"/>
        <v>руб.</v>
      </c>
      <c r="D733" s="16"/>
      <c r="F733" s="53">
        <f t="shared" ref="F733:J733" si="612">SUMIF($D688:$D721,"*1_10*",F688:F721)+SUMIF($D688:$D721,"*2_10*",F688:F721)*F$88</f>
        <v>0</v>
      </c>
      <c r="G733" s="53">
        <f t="shared" si="612"/>
        <v>0</v>
      </c>
      <c r="H733" s="53">
        <f t="shared" si="612"/>
        <v>0</v>
      </c>
      <c r="I733" s="53">
        <f t="shared" si="612"/>
        <v>0</v>
      </c>
      <c r="J733" s="53">
        <f t="shared" si="612"/>
        <v>0</v>
      </c>
      <c r="K733" s="53">
        <f t="shared" ref="K733" si="613">SUMIF($D688:$D721,"*1_10*",K688:K721)+SUMIF($D688:$D721,"*2_10*",K688:K721)*K$88</f>
        <v>0</v>
      </c>
      <c r="M733" s="54">
        <f>SUM(F733:K733)</f>
        <v>0</v>
      </c>
    </row>
    <row r="734" spans="1:13" hidden="1" outlineLevel="2" x14ac:dyDescent="0.2">
      <c r="A734" s="48" t="str">
        <f ca="1">Language!A$574</f>
        <v xml:space="preserve">    остаток затрат на складе готовой продукции</v>
      </c>
      <c r="C734" s="5" t="str">
        <f t="shared" ca="1" si="593"/>
        <v>руб.</v>
      </c>
      <c r="D734" s="16" t="s">
        <v>384</v>
      </c>
      <c r="F734" s="84">
        <f>SUM($F725:F725)-SUM($F733:F733)-F728</f>
        <v>0</v>
      </c>
      <c r="G734" s="84">
        <f>SUM($F725:G725)-SUM($F733:G733)-G728</f>
        <v>0</v>
      </c>
      <c r="H734" s="84">
        <f>SUM($F725:H725)-SUM($F733:H733)-H728</f>
        <v>0</v>
      </c>
      <c r="I734" s="84">
        <f>SUM($F725:I725)-SUM($F733:I733)-I728</f>
        <v>0</v>
      </c>
      <c r="J734" s="84">
        <f>SUM($F725:J725)-SUM($F733:J733)-J728</f>
        <v>0</v>
      </c>
      <c r="K734" s="84">
        <f>SUM($F725:K725)-SUM($F733:K733)-K728</f>
        <v>0</v>
      </c>
    </row>
    <row r="735" spans="1:13" hidden="1" outlineLevel="2" x14ac:dyDescent="0.2">
      <c r="A735" s="48" t="str">
        <f ca="1">Language!A$575</f>
        <v xml:space="preserve">    остаток затрат в незавершенном производстве</v>
      </c>
      <c r="C735" s="5" t="str">
        <f t="shared" ca="1" si="593"/>
        <v>руб.</v>
      </c>
      <c r="D735" s="16" t="s">
        <v>384</v>
      </c>
      <c r="F735" s="53">
        <f t="shared" ref="F735:J735" si="614">SUMIF($D688:$D721,"*1_12*",F688:F721)+SUMIF($D688:$D721,"*2_12*",F688:F721)*F$88</f>
        <v>0</v>
      </c>
      <c r="G735" s="53">
        <f t="shared" si="614"/>
        <v>0</v>
      </c>
      <c r="H735" s="53">
        <f t="shared" si="614"/>
        <v>0</v>
      </c>
      <c r="I735" s="53">
        <f t="shared" si="614"/>
        <v>0</v>
      </c>
      <c r="J735" s="53">
        <f t="shared" si="614"/>
        <v>0</v>
      </c>
      <c r="K735" s="53">
        <f t="shared" ref="K735" si="615">SUMIF($D688:$D721,"*1_12*",K688:K721)+SUMIF($D688:$D721,"*2_12*",K688:K721)*K$88</f>
        <v>0</v>
      </c>
    </row>
    <row r="736" spans="1:13" outlineLevel="1" x14ac:dyDescent="0.2">
      <c r="A736" s="63"/>
      <c r="B736" s="63"/>
      <c r="C736" s="63"/>
      <c r="D736" s="63"/>
      <c r="E736" s="63"/>
      <c r="F736" s="63"/>
      <c r="G736" s="63"/>
      <c r="H736" s="63"/>
      <c r="I736" s="63"/>
      <c r="J736" s="63"/>
      <c r="K736" s="63"/>
      <c r="L736" s="63"/>
      <c r="M736" s="64"/>
    </row>
    <row r="737" spans="1:13" outlineLevel="1" x14ac:dyDescent="0.2"/>
    <row r="738" spans="1:13" s="4" customFormat="1" ht="15.9" customHeight="1" thickBot="1" x14ac:dyDescent="0.25">
      <c r="A738" s="166" t="str">
        <f ca="1">Language!A576</f>
        <v xml:space="preserve">         ПРОЧИЕ ПЕРЕМЕННЫЕ ЗАТРАТЫ</v>
      </c>
      <c r="B738" s="166"/>
      <c r="C738" s="166"/>
      <c r="D738" s="166">
        <v>1</v>
      </c>
      <c r="E738" s="166"/>
      <c r="F738" s="178" t="str">
        <f t="shared" ref="F738:K738" si="616">PeriodTitle</f>
        <v>4/ 2020</v>
      </c>
      <c r="G738" s="178" t="str">
        <f t="shared" si="616"/>
        <v>5/ 2020</v>
      </c>
      <c r="H738" s="178" t="str">
        <f t="shared" si="616"/>
        <v>6/ 2020</v>
      </c>
      <c r="I738" s="178" t="str">
        <f t="shared" si="616"/>
        <v>7/ 2020</v>
      </c>
      <c r="J738" s="178" t="str">
        <f t="shared" si="616"/>
        <v>8/ 2020</v>
      </c>
      <c r="K738" s="178" t="str">
        <f t="shared" si="616"/>
        <v>9/ 2020</v>
      </c>
      <c r="L738" s="166"/>
      <c r="M738" s="195" t="str">
        <f ca="1">Language!$A$371</f>
        <v>ИТОГО</v>
      </c>
    </row>
    <row r="739" spans="1:13" ht="10.8" outlineLevel="1" thickTop="1" x14ac:dyDescent="0.2">
      <c r="D739">
        <v>0</v>
      </c>
      <c r="E739">
        <v>1</v>
      </c>
    </row>
    <row r="740" spans="1:13" outlineLevel="1" x14ac:dyDescent="0.2">
      <c r="A740" s="48" t="str">
        <f>A586</f>
        <v>Наименование товара</v>
      </c>
      <c r="B740" s="36" t="str">
        <f ca="1">Language!A$73</f>
        <v>Валюта</v>
      </c>
      <c r="C740" s="85"/>
      <c r="D740">
        <v>1</v>
      </c>
      <c r="E740">
        <v>14</v>
      </c>
    </row>
    <row r="741" spans="1:13" outlineLevel="1" x14ac:dyDescent="0.2">
      <c r="A741" s="274" t="s">
        <v>2684</v>
      </c>
      <c r="B741" s="255">
        <v>1</v>
      </c>
      <c r="C741" s="5" t="str">
        <f ca="1">CHOOSE(B741,CUR_Main,CUR_Foreign)</f>
        <v>руб.</v>
      </c>
      <c r="D741" s="16"/>
      <c r="F741" s="403"/>
      <c r="G741" s="83"/>
      <c r="H741" s="83"/>
      <c r="I741" s="83"/>
      <c r="J741" s="83"/>
      <c r="K741" s="83"/>
      <c r="M741" s="54"/>
    </row>
    <row r="742" spans="1:13" outlineLevel="1" collapsed="1" x14ac:dyDescent="0.2">
      <c r="A742" t="str">
        <f ca="1">Language!A$579</f>
        <v>Плановый расход на единицу продукции</v>
      </c>
      <c r="B742" s="287">
        <v>0</v>
      </c>
      <c r="C742" s="5" t="str">
        <f ca="1">CHOOSE(B741,CUR_Main,CUR_Foreign)</f>
        <v>руб.</v>
      </c>
      <c r="D742" s="16"/>
      <c r="F742" s="141">
        <v>0</v>
      </c>
      <c r="G742" s="141">
        <f t="shared" ref="G742:K742" si="617">F742*IF(CalcMethod=2,1+F745,1)</f>
        <v>0</v>
      </c>
      <c r="H742" s="141">
        <v>0</v>
      </c>
      <c r="I742" s="141">
        <f t="shared" si="617"/>
        <v>0</v>
      </c>
      <c r="J742" s="141">
        <f t="shared" si="617"/>
        <v>0</v>
      </c>
      <c r="K742" s="141">
        <f t="shared" si="617"/>
        <v>0</v>
      </c>
      <c r="M742" s="54"/>
    </row>
    <row r="743" spans="1:13" s="48" customFormat="1" hidden="1" outlineLevel="2" x14ac:dyDescent="0.2">
      <c r="A743" t="str">
        <f ca="1">Language!A$580</f>
        <v>Расход за период</v>
      </c>
      <c r="B743" s="120"/>
      <c r="C743" s="93" t="str">
        <f ca="1">CHOOSE(B741,CUR_Main,CUR_Foreign)</f>
        <v>руб.</v>
      </c>
      <c r="D743" s="48" t="str">
        <f>TEXT(B741,"0")&amp;"_00"</f>
        <v>1_00</v>
      </c>
      <c r="F743" s="83">
        <f t="shared" ref="F743:J743" si="618">F742*F649</f>
        <v>0</v>
      </c>
      <c r="G743" s="83">
        <f t="shared" si="618"/>
        <v>0</v>
      </c>
      <c r="H743" s="83">
        <f t="shared" si="618"/>
        <v>0</v>
      </c>
      <c r="I743" s="83">
        <f t="shared" si="618"/>
        <v>0</v>
      </c>
      <c r="J743" s="83">
        <f t="shared" si="618"/>
        <v>0</v>
      </c>
      <c r="K743" s="83">
        <f t="shared" ref="K743" si="619">K742*K649</f>
        <v>0</v>
      </c>
      <c r="M743" s="54">
        <f>SUM(F743:K743)</f>
        <v>0</v>
      </c>
    </row>
    <row r="744" spans="1:13" s="48" customFormat="1" hidden="1" outlineLevel="2" x14ac:dyDescent="0.2">
      <c r="A744" t="str">
        <f ca="1">Language!A$104</f>
        <v>Предполагаемый темп годового роста цен</v>
      </c>
      <c r="B744"/>
      <c r="C744" s="5" t="s">
        <v>177</v>
      </c>
      <c r="D744" s="16" t="s">
        <v>176</v>
      </c>
      <c r="F744" s="269">
        <f t="shared" ref="F744:J744" si="620">CHOOSE($B741,F$80,F$91)</f>
        <v>7.0000000000000007E-2</v>
      </c>
      <c r="G744" s="269">
        <f t="shared" si="620"/>
        <v>7.0000000000000007E-2</v>
      </c>
      <c r="H744" s="269">
        <f t="shared" si="620"/>
        <v>7.0000000000000007E-2</v>
      </c>
      <c r="I744" s="269">
        <f t="shared" si="620"/>
        <v>7.0000000000000007E-2</v>
      </c>
      <c r="J744" s="269">
        <f t="shared" si="620"/>
        <v>7.0000000000000007E-2</v>
      </c>
      <c r="K744" s="269">
        <f t="shared" ref="K744" si="621">CHOOSE($B741,K$80,K$91)</f>
        <v>7.0000000000000007E-2</v>
      </c>
      <c r="M744" s="92"/>
    </row>
    <row r="745" spans="1:13" s="48" customFormat="1" hidden="1" outlineLevel="2" x14ac:dyDescent="0.2">
      <c r="A745" t="str">
        <f ca="1">Language!A$106</f>
        <v>То же, в пересчете на период, равный шагу проекта</v>
      </c>
      <c r="B745"/>
      <c r="C745" s="5" t="s">
        <v>177</v>
      </c>
      <c r="D745" s="16" t="s">
        <v>176</v>
      </c>
      <c r="F745" s="30">
        <f t="shared" ref="F745:J745" si="622">POWER(1+F744,PRJ_Step/360)-1</f>
        <v>5.6541453874052738E-3</v>
      </c>
      <c r="G745" s="30">
        <f t="shared" si="622"/>
        <v>5.6541453874052738E-3</v>
      </c>
      <c r="H745" s="30">
        <f t="shared" si="622"/>
        <v>5.6541453874052738E-3</v>
      </c>
      <c r="I745" s="30">
        <f t="shared" si="622"/>
        <v>5.6541453874052738E-3</v>
      </c>
      <c r="J745" s="30">
        <f t="shared" si="622"/>
        <v>5.6541453874052738E-3</v>
      </c>
      <c r="K745" s="30">
        <f t="shared" ref="K745" si="623">POWER(1+K744,PRJ_Step/360)-1</f>
        <v>5.6541453874052738E-3</v>
      </c>
      <c r="M745" s="92"/>
    </row>
    <row r="746" spans="1:13" s="48" customFormat="1" hidden="1" outlineLevel="2" x14ac:dyDescent="0.2">
      <c r="A746" t="str">
        <f ca="1">Language!A$578</f>
        <v xml:space="preserve">    затраты без НДС</v>
      </c>
      <c r="B746"/>
      <c r="C746" s="5" t="str">
        <f ca="1">CHOOSE(B741,CUR_Main,CUR_Foreign)</f>
        <v>руб.</v>
      </c>
      <c r="D746" t="str">
        <f>TEXT(B741,"0")&amp;"_01"</f>
        <v>1_01</v>
      </c>
      <c r="F746" s="53">
        <f t="shared" ref="F746:J746" si="624">F743/(1+$B747)</f>
        <v>0</v>
      </c>
      <c r="G746" s="53">
        <f t="shared" si="624"/>
        <v>0</v>
      </c>
      <c r="H746" s="53">
        <f t="shared" si="624"/>
        <v>0</v>
      </c>
      <c r="I746" s="53">
        <f t="shared" si="624"/>
        <v>0</v>
      </c>
      <c r="J746" s="53">
        <f t="shared" si="624"/>
        <v>0</v>
      </c>
      <c r="K746" s="53">
        <f t="shared" ref="K746" si="625">K743/(1+$B747)</f>
        <v>0</v>
      </c>
      <c r="M746" s="54">
        <f>SUM(F746:K746)</f>
        <v>0</v>
      </c>
    </row>
    <row r="747" spans="1:13" s="48" customFormat="1" hidden="1" outlineLevel="2" x14ac:dyDescent="0.2">
      <c r="A747" t="str">
        <f ca="1">Language!A$560</f>
        <v xml:space="preserve">    НДС</v>
      </c>
      <c r="B747" s="283">
        <f>VAT</f>
        <v>0</v>
      </c>
      <c r="C747" s="5" t="str">
        <f ca="1">CHOOSE(B741,CUR_Main,CUR_Foreign)</f>
        <v>руб.</v>
      </c>
      <c r="D747" t="str">
        <f>TEXT(B741,"0")&amp;"_02"</f>
        <v>1_02</v>
      </c>
      <c r="F747" s="53">
        <f t="shared" ref="F747:J747" si="626">F743-F746</f>
        <v>0</v>
      </c>
      <c r="G747" s="53">
        <f t="shared" si="626"/>
        <v>0</v>
      </c>
      <c r="H747" s="53">
        <f t="shared" si="626"/>
        <v>0</v>
      </c>
      <c r="I747" s="53">
        <f t="shared" si="626"/>
        <v>0</v>
      </c>
      <c r="J747" s="53">
        <f t="shared" si="626"/>
        <v>0</v>
      </c>
      <c r="K747" s="53">
        <f t="shared" ref="K747" si="627">K743-K746</f>
        <v>0</v>
      </c>
      <c r="M747" s="54">
        <f>SUM(F747:K747)</f>
        <v>0</v>
      </c>
    </row>
    <row r="748" spans="1:13" s="48" customFormat="1" hidden="1" outlineLevel="2" x14ac:dyDescent="0.2">
      <c r="A748" t="str">
        <f ca="1">Language!A$581</f>
        <v xml:space="preserve">    оплачено расходов (без НДС)</v>
      </c>
      <c r="B748" s="81"/>
      <c r="C748" s="5" t="str">
        <f ca="1">CHOOSE(B741,CUR_Main,CUR_Foreign)</f>
        <v>руб.</v>
      </c>
      <c r="D748" t="str">
        <f>TEXT(B741,"0")&amp;"_06"</f>
        <v>1_06</v>
      </c>
      <c r="F748" s="270">
        <f t="shared" ref="F748:J748" si="628">F746</f>
        <v>0</v>
      </c>
      <c r="G748" s="270">
        <f t="shared" si="628"/>
        <v>0</v>
      </c>
      <c r="H748" s="270">
        <f t="shared" si="628"/>
        <v>0</v>
      </c>
      <c r="I748" s="270">
        <f t="shared" si="628"/>
        <v>0</v>
      </c>
      <c r="J748" s="270">
        <f t="shared" si="628"/>
        <v>0</v>
      </c>
      <c r="K748" s="270">
        <f t="shared" ref="K748" si="629">K746</f>
        <v>0</v>
      </c>
      <c r="M748" s="54">
        <f>SUM(F748:K748)</f>
        <v>0</v>
      </c>
    </row>
    <row r="749" spans="1:13" s="48" customFormat="1" hidden="1" outlineLevel="2" x14ac:dyDescent="0.2">
      <c r="A749" t="str">
        <f ca="1">Language!A$570</f>
        <v xml:space="preserve">    выплаченный НДС</v>
      </c>
      <c r="B749" s="81"/>
      <c r="C749" s="5" t="str">
        <f ca="1">CHOOSE(B741,CUR_Main,CUR_Foreign)</f>
        <v>руб.</v>
      </c>
      <c r="D749" t="str">
        <f>TEXT(B741,"0")&amp;"_07"</f>
        <v>1_07</v>
      </c>
      <c r="F749" s="53">
        <f t="shared" ref="F749:J749" si="630">F748*$B747</f>
        <v>0</v>
      </c>
      <c r="G749" s="53">
        <f t="shared" si="630"/>
        <v>0</v>
      </c>
      <c r="H749" s="53">
        <f t="shared" si="630"/>
        <v>0</v>
      </c>
      <c r="I749" s="53">
        <f t="shared" si="630"/>
        <v>0</v>
      </c>
      <c r="J749" s="53">
        <f t="shared" si="630"/>
        <v>0</v>
      </c>
      <c r="K749" s="53">
        <f t="shared" ref="K749" si="631">K748*$B747</f>
        <v>0</v>
      </c>
      <c r="M749" s="54">
        <f>SUM(F749:K749)</f>
        <v>0</v>
      </c>
    </row>
    <row r="750" spans="1:13" hidden="1" outlineLevel="2" x14ac:dyDescent="0.2">
      <c r="A750" t="str">
        <f ca="1">Language!A$571</f>
        <v xml:space="preserve">    кредиторская задолженность</v>
      </c>
      <c r="C750" s="5" t="str">
        <f ca="1">CHOOSE(B741,CUR_Main,CUR_Foreign)</f>
        <v>руб.</v>
      </c>
      <c r="D750" t="str">
        <f>TEXT(B741,"0")&amp;"_08"&amp;";int_end"</f>
        <v>1_08;int_end</v>
      </c>
      <c r="F750" s="53">
        <f>IF(SUM(E746:F746)&gt;=0,MAX(SUM($F746:F746)+SUM($F747:F747)-SUM($F748:F748)-SUM($F749:F749),0),MIN(SUM($F746:F746)+SUM($F747:F747)-SUM($F748:F748)-SUM($F749:F749),0))</f>
        <v>0</v>
      </c>
      <c r="G750" s="53">
        <f>IF(SUM(F746:G746)&gt;=0,MAX(SUM($F746:G746)+SUM($F747:G747)-SUM($F748:G748)-SUM($F749:G749),0),MIN(SUM($F746:G746)+SUM($F747:G747)-SUM($F748:G748)-SUM($F749:G749),0))</f>
        <v>0</v>
      </c>
      <c r="H750" s="53">
        <f>IF(SUM(G746:H746)&gt;=0,MAX(SUM($F746:H746)+SUM($F747:H747)-SUM($F748:H748)-SUM($F749:H749),0),MIN(SUM($F746:H746)+SUM($F747:H747)-SUM($F748:H748)-SUM($F749:H749),0))</f>
        <v>0</v>
      </c>
      <c r="I750" s="53">
        <f>IF(SUM(H746:I746)&gt;=0,MAX(SUM($F746:I746)+SUM($F747:I747)-SUM($F748:I748)-SUM($F749:I749),0),MIN(SUM($F746:I746)+SUM($F747:I747)-SUM($F748:I748)-SUM($F749:I749),0))</f>
        <v>0</v>
      </c>
      <c r="J750" s="53">
        <f>IF(SUM(I746:J746)&gt;=0,MAX(SUM($F746:J746)+SUM($F747:J747)-SUM($F748:J748)-SUM($F749:J749),0),MIN(SUM($F746:J746)+SUM($F747:J747)-SUM($F748:J748)-SUM($F749:J749),0))</f>
        <v>0</v>
      </c>
      <c r="K750" s="53">
        <f>IF(SUM(J746:K746)&gt;=0,MAX(SUM($F746:K746)+SUM($F747:K747)-SUM($F748:K748)-SUM($F749:K749),0),MIN(SUM($F746:K746)+SUM($F747:K747)-SUM($F748:K748)-SUM($F749:K749),0))</f>
        <v>0</v>
      </c>
    </row>
    <row r="751" spans="1:13" hidden="1" outlineLevel="2" x14ac:dyDescent="0.2">
      <c r="A751" t="str">
        <f ca="1">Language!A$572</f>
        <v xml:space="preserve">    выплаченные авансы</v>
      </c>
      <c r="C751" s="5" t="str">
        <f ca="1">CHOOSE(B741,CUR_Main,CUR_Foreign)</f>
        <v>руб.</v>
      </c>
      <c r="D751" t="str">
        <f>TEXT(B741,"0")&amp;"_09"&amp;";int_end"</f>
        <v>1_09;int_end</v>
      </c>
      <c r="F751" s="53">
        <f>IF(SUM(E746:F746)&gt;=0,MAX(SUM($F748:F748)+SUM($F749:F749)-SUM($F746:F746)-SUM($F747:F747),0),MIN(SUM($F748:F748)+SUM($F749:F749)-SUM($F746:F746)-SUM($F747:F747),0))</f>
        <v>0</v>
      </c>
      <c r="G751" s="53">
        <f>IF(SUM(F746:G746)&gt;=0,MAX(SUM($F748:G748)+SUM($F749:G749)-SUM($F746:G746)-SUM($F747:G747),0),MIN(SUM($F748:G748)+SUM($F749:G749)-SUM($F746:G746)-SUM($F747:G747),0))</f>
        <v>0</v>
      </c>
      <c r="H751" s="53">
        <f>IF(SUM(G746:H746)&gt;=0,MAX(SUM($F748:H748)+SUM($F749:H749)-SUM($F746:H746)-SUM($F747:H747),0),MIN(SUM($F748:H748)+SUM($F749:H749)-SUM($F746:H746)-SUM($F747:H747),0))</f>
        <v>0</v>
      </c>
      <c r="I751" s="53">
        <f>IF(SUM(H746:I746)&gt;=0,MAX(SUM($F748:I748)+SUM($F749:I749)-SUM($F746:I746)-SUM($F747:I747),0),MIN(SUM($F748:I748)+SUM($F749:I749)-SUM($F746:I746)-SUM($F747:I747),0))</f>
        <v>0</v>
      </c>
      <c r="J751" s="53">
        <f>IF(SUM(I746:J746)&gt;=0,MAX(SUM($F748:J748)+SUM($F749:J749)-SUM($F746:J746)-SUM($F747:J747),0),MIN(SUM($F748:J748)+SUM($F749:J749)-SUM($F746:J746)-SUM($F747:J747),0))</f>
        <v>0</v>
      </c>
      <c r="K751" s="53">
        <f>IF(SUM(J746:K746)&gt;=0,MAX(SUM($F748:K748)+SUM($F749:K749)-SUM($F746:K746)-SUM($F747:K747),0),MIN(SUM($F748:K748)+SUM($F749:K749)-SUM($F746:K746)-SUM($F747:K747),0))</f>
        <v>0</v>
      </c>
    </row>
    <row r="752" spans="1:13" hidden="1" outlineLevel="2" x14ac:dyDescent="0.2">
      <c r="A752" t="str">
        <f ca="1">Language!A$573</f>
        <v xml:space="preserve">    списано затрат на реализованную продукцию</v>
      </c>
      <c r="C752" s="5" t="str">
        <f ca="1">CHOOSE(B741,CUR_Main,CUR_Foreign)</f>
        <v>руб.</v>
      </c>
      <c r="D752" t="str">
        <f>TEXT(B741,"0")&amp;"_10"</f>
        <v>1_10</v>
      </c>
      <c r="F752" s="53">
        <f t="shared" ref="F752:K752" si="632">IF((E651+F649)&gt;0,F650*(E753+F746)/(E651+F649),0)</f>
        <v>0</v>
      </c>
      <c r="G752" s="53">
        <f t="shared" si="632"/>
        <v>0</v>
      </c>
      <c r="H752" s="53">
        <f t="shared" si="632"/>
        <v>0</v>
      </c>
      <c r="I752" s="53">
        <f t="shared" si="632"/>
        <v>0</v>
      </c>
      <c r="J752" s="53">
        <f t="shared" si="632"/>
        <v>0</v>
      </c>
      <c r="K752" s="53">
        <f t="shared" si="632"/>
        <v>0</v>
      </c>
      <c r="M752" s="54">
        <f>SUM(F752:K752)</f>
        <v>0</v>
      </c>
    </row>
    <row r="753" spans="1:13" hidden="1" outlineLevel="2" x14ac:dyDescent="0.2">
      <c r="A753" s="48" t="str">
        <f ca="1">Language!A$574</f>
        <v xml:space="preserve">    остаток затрат на складе готовой продукции</v>
      </c>
      <c r="C753" s="5" t="str">
        <f ca="1">CHOOSE(B741,CUR_Main,CUR_Foreign)</f>
        <v>руб.</v>
      </c>
      <c r="D753" t="str">
        <f>TEXT(B741,"0")&amp;"_11"&amp;";int_end"</f>
        <v>1_11;int_end</v>
      </c>
      <c r="F753" s="84">
        <f>SUM($F746:F746)-SUM($F752:F752)</f>
        <v>0</v>
      </c>
      <c r="G753" s="84">
        <f>SUM($F746:G746)-SUM($F752:G752)</f>
        <v>0</v>
      </c>
      <c r="H753" s="84">
        <f>SUM($F746:H746)-SUM($F752:H752)</f>
        <v>0</v>
      </c>
      <c r="I753" s="84">
        <f>SUM($F746:I746)-SUM($F752:I752)</f>
        <v>0</v>
      </c>
      <c r="J753" s="84">
        <f>SUM($F746:J746)-SUM($F752:J752)</f>
        <v>0</v>
      </c>
      <c r="K753" s="84">
        <f>SUM($F746:K746)-SUM($F752:K752)</f>
        <v>0</v>
      </c>
    </row>
    <row r="754" spans="1:13" hidden="1" outlineLevel="2" x14ac:dyDescent="0.2">
      <c r="A754" s="48" t="str">
        <f ca="1">Language!A$575</f>
        <v xml:space="preserve">    остаток затрат в незавершенном производстве</v>
      </c>
      <c r="B754" s="255">
        <f>NWC_T_Cycle</f>
        <v>60</v>
      </c>
      <c r="C754" s="5" t="str">
        <f ca="1">Language!A$38</f>
        <v>дн.</v>
      </c>
      <c r="D754" t="str">
        <f>TEXT(B741,"0")&amp;"_12"&amp;";int_end"</f>
        <v>1_12;int_end</v>
      </c>
      <c r="F754" s="84">
        <f t="shared" ref="F754:J754" si="633">F746*$B754/PRJ_Step</f>
        <v>0</v>
      </c>
      <c r="G754" s="84">
        <f t="shared" si="633"/>
        <v>0</v>
      </c>
      <c r="H754" s="84">
        <f t="shared" si="633"/>
        <v>0</v>
      </c>
      <c r="I754" s="84">
        <f t="shared" si="633"/>
        <v>0</v>
      </c>
      <c r="J754" s="84">
        <f t="shared" si="633"/>
        <v>0</v>
      </c>
      <c r="K754" s="84">
        <f t="shared" ref="K754" si="634">K746*$B754/PRJ_Step</f>
        <v>0</v>
      </c>
    </row>
    <row r="755" spans="1:13" outlineLevel="1" x14ac:dyDescent="0.2">
      <c r="A755" s="48" t="str">
        <f>A587</f>
        <v>Лицензия продукта</v>
      </c>
      <c r="B755" s="36" t="str">
        <f ca="1">Language!A$73</f>
        <v>Валюта</v>
      </c>
      <c r="C755" s="85"/>
      <c r="D755">
        <v>1</v>
      </c>
      <c r="E755">
        <v>14</v>
      </c>
    </row>
    <row r="756" spans="1:13" outlineLevel="1" x14ac:dyDescent="0.2">
      <c r="A756" s="274" t="s">
        <v>2684</v>
      </c>
      <c r="B756" s="255">
        <v>1</v>
      </c>
      <c r="C756" s="5" t="str">
        <f ca="1">CHOOSE(B756,CUR_Main,CUR_Foreign)</f>
        <v>руб.</v>
      </c>
      <c r="D756" s="16"/>
      <c r="F756" s="403"/>
      <c r="G756" s="83"/>
      <c r="H756" s="83"/>
      <c r="I756" s="83"/>
      <c r="J756" s="83"/>
      <c r="K756" s="83"/>
      <c r="M756" s="54"/>
    </row>
    <row r="757" spans="1:13" outlineLevel="1" collapsed="1" x14ac:dyDescent="0.2">
      <c r="A757" t="str">
        <f ca="1">Language!A$579</f>
        <v>Плановый расход на единицу продукции</v>
      </c>
      <c r="B757" s="287">
        <v>0</v>
      </c>
      <c r="C757" s="5" t="str">
        <f ca="1">CHOOSE(B756,CUR_Main,CUR_Foreign)</f>
        <v>руб.</v>
      </c>
      <c r="D757" s="16"/>
      <c r="F757" s="141">
        <v>0</v>
      </c>
      <c r="G757" s="141">
        <f>F757*IF(CalcMethod=2,1+F760,1)</f>
        <v>0</v>
      </c>
      <c r="H757" s="141">
        <v>0</v>
      </c>
      <c r="I757" s="141">
        <f>H757*IF(CalcMethod=2,1+H760,1)</f>
        <v>0</v>
      </c>
      <c r="J757" s="141">
        <f>I757*IF(CalcMethod=2,1+I760,1)</f>
        <v>0</v>
      </c>
      <c r="K757" s="141">
        <f>J757*IF(CalcMethod=2,1+J760,1)</f>
        <v>0</v>
      </c>
      <c r="M757" s="54"/>
    </row>
    <row r="758" spans="1:13" s="48" customFormat="1" hidden="1" outlineLevel="2" x14ac:dyDescent="0.2">
      <c r="A758" t="str">
        <f ca="1">Language!A$580</f>
        <v>Расход за период</v>
      </c>
      <c r="B758" s="120"/>
      <c r="C758" s="93" t="str">
        <f ca="1">CHOOSE(B756,CUR_Main,CUR_Foreign)</f>
        <v>руб.</v>
      </c>
      <c r="D758" s="48" t="str">
        <f>TEXT(B756,"0")&amp;"_00"</f>
        <v>1_00</v>
      </c>
      <c r="F758" s="83">
        <f t="shared" ref="F758:K758" si="635">F757*F653</f>
        <v>0</v>
      </c>
      <c r="G758" s="83">
        <f t="shared" si="635"/>
        <v>0</v>
      </c>
      <c r="H758" s="83">
        <f t="shared" si="635"/>
        <v>0</v>
      </c>
      <c r="I758" s="83">
        <f t="shared" si="635"/>
        <v>0</v>
      </c>
      <c r="J758" s="83">
        <f t="shared" si="635"/>
        <v>0</v>
      </c>
      <c r="K758" s="83">
        <f t="shared" si="635"/>
        <v>0</v>
      </c>
      <c r="M758" s="54">
        <f>SUM(F758:K758)</f>
        <v>0</v>
      </c>
    </row>
    <row r="759" spans="1:13" s="48" customFormat="1" hidden="1" outlineLevel="2" x14ac:dyDescent="0.2">
      <c r="A759" t="str">
        <f ca="1">Language!A$104</f>
        <v>Предполагаемый темп годового роста цен</v>
      </c>
      <c r="B759"/>
      <c r="C759" s="5" t="s">
        <v>177</v>
      </c>
      <c r="D759" s="16" t="s">
        <v>176</v>
      </c>
      <c r="F759" s="269">
        <f t="shared" ref="F759:K759" si="636">CHOOSE($B756,F$80,F$91)</f>
        <v>7.0000000000000007E-2</v>
      </c>
      <c r="G759" s="269">
        <f t="shared" si="636"/>
        <v>7.0000000000000007E-2</v>
      </c>
      <c r="H759" s="269">
        <f t="shared" si="636"/>
        <v>7.0000000000000007E-2</v>
      </c>
      <c r="I759" s="269">
        <f t="shared" si="636"/>
        <v>7.0000000000000007E-2</v>
      </c>
      <c r="J759" s="269">
        <f t="shared" si="636"/>
        <v>7.0000000000000007E-2</v>
      </c>
      <c r="K759" s="269">
        <f t="shared" si="636"/>
        <v>7.0000000000000007E-2</v>
      </c>
      <c r="M759" s="92"/>
    </row>
    <row r="760" spans="1:13" s="48" customFormat="1" hidden="1" outlineLevel="2" x14ac:dyDescent="0.2">
      <c r="A760" t="str">
        <f ca="1">Language!A$106</f>
        <v>То же, в пересчете на период, равный шагу проекта</v>
      </c>
      <c r="B760"/>
      <c r="C760" s="5" t="s">
        <v>177</v>
      </c>
      <c r="D760" s="16" t="s">
        <v>176</v>
      </c>
      <c r="F760" s="30">
        <f t="shared" ref="F760:K760" si="637">POWER(1+F759,PRJ_Step/360)-1</f>
        <v>5.6541453874052738E-3</v>
      </c>
      <c r="G760" s="30">
        <f t="shared" si="637"/>
        <v>5.6541453874052738E-3</v>
      </c>
      <c r="H760" s="30">
        <f t="shared" si="637"/>
        <v>5.6541453874052738E-3</v>
      </c>
      <c r="I760" s="30">
        <f t="shared" si="637"/>
        <v>5.6541453874052738E-3</v>
      </c>
      <c r="J760" s="30">
        <f t="shared" si="637"/>
        <v>5.6541453874052738E-3</v>
      </c>
      <c r="K760" s="30">
        <f t="shared" si="637"/>
        <v>5.6541453874052738E-3</v>
      </c>
      <c r="M760" s="92"/>
    </row>
    <row r="761" spans="1:13" s="48" customFormat="1" hidden="1" outlineLevel="2" x14ac:dyDescent="0.2">
      <c r="A761" t="str">
        <f ca="1">Language!A$578</f>
        <v xml:space="preserve">    затраты без НДС</v>
      </c>
      <c r="B761"/>
      <c r="C761" s="5" t="str">
        <f ca="1">CHOOSE(B756,CUR_Main,CUR_Foreign)</f>
        <v>руб.</v>
      </c>
      <c r="D761" t="str">
        <f>TEXT(B756,"0")&amp;"_01"</f>
        <v>1_01</v>
      </c>
      <c r="F761" s="53">
        <f t="shared" ref="F761:K761" si="638">F758/(1+$B762)</f>
        <v>0</v>
      </c>
      <c r="G761" s="53">
        <f t="shared" si="638"/>
        <v>0</v>
      </c>
      <c r="H761" s="53">
        <f t="shared" si="638"/>
        <v>0</v>
      </c>
      <c r="I761" s="53">
        <f t="shared" si="638"/>
        <v>0</v>
      </c>
      <c r="J761" s="53">
        <f t="shared" si="638"/>
        <v>0</v>
      </c>
      <c r="K761" s="53">
        <f t="shared" si="638"/>
        <v>0</v>
      </c>
      <c r="M761" s="54">
        <f>SUM(F761:K761)</f>
        <v>0</v>
      </c>
    </row>
    <row r="762" spans="1:13" s="48" customFormat="1" hidden="1" outlineLevel="2" x14ac:dyDescent="0.2">
      <c r="A762" t="str">
        <f ca="1">Language!A$560</f>
        <v xml:space="preserve">    НДС</v>
      </c>
      <c r="B762" s="283">
        <f>VAT</f>
        <v>0</v>
      </c>
      <c r="C762" s="5" t="str">
        <f ca="1">CHOOSE(B756,CUR_Main,CUR_Foreign)</f>
        <v>руб.</v>
      </c>
      <c r="D762" t="str">
        <f>TEXT(B756,"0")&amp;"_02"</f>
        <v>1_02</v>
      </c>
      <c r="F762" s="53">
        <f t="shared" ref="F762:K762" si="639">F758-F761</f>
        <v>0</v>
      </c>
      <c r="G762" s="53">
        <f t="shared" si="639"/>
        <v>0</v>
      </c>
      <c r="H762" s="53">
        <f t="shared" si="639"/>
        <v>0</v>
      </c>
      <c r="I762" s="53">
        <f t="shared" si="639"/>
        <v>0</v>
      </c>
      <c r="J762" s="53">
        <f t="shared" si="639"/>
        <v>0</v>
      </c>
      <c r="K762" s="53">
        <f t="shared" si="639"/>
        <v>0</v>
      </c>
      <c r="M762" s="54">
        <f>SUM(F762:K762)</f>
        <v>0</v>
      </c>
    </row>
    <row r="763" spans="1:13" s="48" customFormat="1" hidden="1" outlineLevel="2" x14ac:dyDescent="0.2">
      <c r="A763" t="str">
        <f ca="1">Language!A$581</f>
        <v xml:space="preserve">    оплачено расходов (без НДС)</v>
      </c>
      <c r="B763" s="81"/>
      <c r="C763" s="5" t="str">
        <f ca="1">CHOOSE(B756,CUR_Main,CUR_Foreign)</f>
        <v>руб.</v>
      </c>
      <c r="D763" t="str">
        <f>TEXT(B756,"0")&amp;"_06"</f>
        <v>1_06</v>
      </c>
      <c r="F763" s="270">
        <f t="shared" ref="F763:K763" si="640">F761</f>
        <v>0</v>
      </c>
      <c r="G763" s="270">
        <f t="shared" si="640"/>
        <v>0</v>
      </c>
      <c r="H763" s="270">
        <f t="shared" si="640"/>
        <v>0</v>
      </c>
      <c r="I763" s="270">
        <f t="shared" si="640"/>
        <v>0</v>
      </c>
      <c r="J763" s="270">
        <f t="shared" si="640"/>
        <v>0</v>
      </c>
      <c r="K763" s="270">
        <f t="shared" si="640"/>
        <v>0</v>
      </c>
      <c r="M763" s="54">
        <f>SUM(F763:K763)</f>
        <v>0</v>
      </c>
    </row>
    <row r="764" spans="1:13" s="48" customFormat="1" hidden="1" outlineLevel="2" x14ac:dyDescent="0.2">
      <c r="A764" t="str">
        <f ca="1">Language!A$570</f>
        <v xml:space="preserve">    выплаченный НДС</v>
      </c>
      <c r="B764" s="81"/>
      <c r="C764" s="5" t="str">
        <f ca="1">CHOOSE(B756,CUR_Main,CUR_Foreign)</f>
        <v>руб.</v>
      </c>
      <c r="D764" t="str">
        <f>TEXT(B756,"0")&amp;"_07"</f>
        <v>1_07</v>
      </c>
      <c r="F764" s="53">
        <f t="shared" ref="F764:K764" si="641">F763*$B762</f>
        <v>0</v>
      </c>
      <c r="G764" s="53">
        <f t="shared" si="641"/>
        <v>0</v>
      </c>
      <c r="H764" s="53">
        <f t="shared" si="641"/>
        <v>0</v>
      </c>
      <c r="I764" s="53">
        <f t="shared" si="641"/>
        <v>0</v>
      </c>
      <c r="J764" s="53">
        <f t="shared" si="641"/>
        <v>0</v>
      </c>
      <c r="K764" s="53">
        <f t="shared" si="641"/>
        <v>0</v>
      </c>
      <c r="M764" s="54">
        <f>SUM(F764:K764)</f>
        <v>0</v>
      </c>
    </row>
    <row r="765" spans="1:13" hidden="1" outlineLevel="2" x14ac:dyDescent="0.2">
      <c r="A765" t="str">
        <f ca="1">Language!A$571</f>
        <v xml:space="preserve">    кредиторская задолженность</v>
      </c>
      <c r="C765" s="5" t="str">
        <f ca="1">CHOOSE(B756,CUR_Main,CUR_Foreign)</f>
        <v>руб.</v>
      </c>
      <c r="D765" t="str">
        <f>TEXT(B756,"0")&amp;"_08"&amp;";int_end"</f>
        <v>1_08;int_end</v>
      </c>
      <c r="F765" s="53">
        <f>IF(SUM(E761:F761)&gt;=0,MAX(SUM($F761:F761)+SUM($F762:F762)-SUM($F763:F763)-SUM($F764:F764),0),MIN(SUM($F761:F761)+SUM($F762:F762)-SUM($F763:F763)-SUM($F764:F764),0))</f>
        <v>0</v>
      </c>
      <c r="G765" s="53">
        <f>IF(SUM(F761:G761)&gt;=0,MAX(SUM($F761:G761)+SUM($F762:G762)-SUM($F763:G763)-SUM($F764:G764),0),MIN(SUM($F761:G761)+SUM($F762:G762)-SUM($F763:G763)-SUM($F764:G764),0))</f>
        <v>0</v>
      </c>
      <c r="H765" s="53">
        <f>IF(SUM(G761:H761)&gt;=0,MAX(SUM($F761:H761)+SUM($F762:H762)-SUM($F763:H763)-SUM($F764:H764),0),MIN(SUM($F761:H761)+SUM($F762:H762)-SUM($F763:H763)-SUM($F764:H764),0))</f>
        <v>0</v>
      </c>
      <c r="I765" s="53">
        <f>IF(SUM(H761:I761)&gt;=0,MAX(SUM($F761:I761)+SUM($F762:I762)-SUM($F763:I763)-SUM($F764:I764),0),MIN(SUM($F761:I761)+SUM($F762:I762)-SUM($F763:I763)-SUM($F764:I764),0))</f>
        <v>0</v>
      </c>
      <c r="J765" s="53">
        <f>IF(SUM(I761:J761)&gt;=0,MAX(SUM($F761:J761)+SUM($F762:J762)-SUM($F763:J763)-SUM($F764:J764),0),MIN(SUM($F761:J761)+SUM($F762:J762)-SUM($F763:J763)-SUM($F764:J764),0))</f>
        <v>0</v>
      </c>
      <c r="K765" s="53">
        <f>IF(SUM(J761:K761)&gt;=0,MAX(SUM($F761:K761)+SUM($F762:K762)-SUM($F763:K763)-SUM($F764:K764),0),MIN(SUM($F761:K761)+SUM($F762:K762)-SUM($F763:K763)-SUM($F764:K764),0))</f>
        <v>0</v>
      </c>
    </row>
    <row r="766" spans="1:13" hidden="1" outlineLevel="2" x14ac:dyDescent="0.2">
      <c r="A766" t="str">
        <f ca="1">Language!A$572</f>
        <v xml:space="preserve">    выплаченные авансы</v>
      </c>
      <c r="C766" s="5" t="str">
        <f ca="1">CHOOSE(B756,CUR_Main,CUR_Foreign)</f>
        <v>руб.</v>
      </c>
      <c r="D766" t="str">
        <f>TEXT(B756,"0")&amp;"_09"&amp;";int_end"</f>
        <v>1_09;int_end</v>
      </c>
      <c r="F766" s="53">
        <f>IF(SUM(E761:F761)&gt;=0,MAX(SUM($F763:F763)+SUM($F764:F764)-SUM($F761:F761)-SUM($F762:F762),0),MIN(SUM($F763:F763)+SUM($F764:F764)-SUM($F761:F761)-SUM($F762:F762),0))</f>
        <v>0</v>
      </c>
      <c r="G766" s="53">
        <f>IF(SUM(F761:G761)&gt;=0,MAX(SUM($F763:G763)+SUM($F764:G764)-SUM($F761:G761)-SUM($F762:G762),0),MIN(SUM($F763:G763)+SUM($F764:G764)-SUM($F761:G761)-SUM($F762:G762),0))</f>
        <v>0</v>
      </c>
      <c r="H766" s="53">
        <f>IF(SUM(G761:H761)&gt;=0,MAX(SUM($F763:H763)+SUM($F764:H764)-SUM($F761:H761)-SUM($F762:H762),0),MIN(SUM($F763:H763)+SUM($F764:H764)-SUM($F761:H761)-SUM($F762:H762),0))</f>
        <v>0</v>
      </c>
      <c r="I766" s="53">
        <f>IF(SUM(H761:I761)&gt;=0,MAX(SUM($F763:I763)+SUM($F764:I764)-SUM($F761:I761)-SUM($F762:I762),0),MIN(SUM($F763:I763)+SUM($F764:I764)-SUM($F761:I761)-SUM($F762:I762),0))</f>
        <v>0</v>
      </c>
      <c r="J766" s="53">
        <f>IF(SUM(I761:J761)&gt;=0,MAX(SUM($F763:J763)+SUM($F764:J764)-SUM($F761:J761)-SUM($F762:J762),0),MIN(SUM($F763:J763)+SUM($F764:J764)-SUM($F761:J761)-SUM($F762:J762),0))</f>
        <v>0</v>
      </c>
      <c r="K766" s="53">
        <f>IF(SUM(J761:K761)&gt;=0,MAX(SUM($F763:K763)+SUM($F764:K764)-SUM($F761:K761)-SUM($F762:K762),0),MIN(SUM($F763:K763)+SUM($F764:K764)-SUM($F761:K761)-SUM($F762:K762),0))</f>
        <v>0</v>
      </c>
    </row>
    <row r="767" spans="1:13" hidden="1" outlineLevel="2" x14ac:dyDescent="0.2">
      <c r="A767" t="str">
        <f ca="1">Language!A$573</f>
        <v xml:space="preserve">    списано затрат на реализованную продукцию</v>
      </c>
      <c r="C767" s="5" t="str">
        <f ca="1">CHOOSE(B756,CUR_Main,CUR_Foreign)</f>
        <v>руб.</v>
      </c>
      <c r="D767" t="str">
        <f>TEXT(B756,"0")&amp;"_10"</f>
        <v>1_10</v>
      </c>
      <c r="F767" s="53">
        <f t="shared" ref="F767:K767" si="642">IF((E655+F653)&gt;0,F654*(E768+F761)/(E655+F653),0)</f>
        <v>0</v>
      </c>
      <c r="G767" s="53">
        <f t="shared" si="642"/>
        <v>0</v>
      </c>
      <c r="H767" s="53">
        <f t="shared" si="642"/>
        <v>0</v>
      </c>
      <c r="I767" s="53">
        <f t="shared" si="642"/>
        <v>0</v>
      </c>
      <c r="J767" s="53">
        <f t="shared" si="642"/>
        <v>0</v>
      </c>
      <c r="K767" s="53">
        <f t="shared" si="642"/>
        <v>0</v>
      </c>
      <c r="M767" s="54">
        <f>SUM(F767:K767)</f>
        <v>0</v>
      </c>
    </row>
    <row r="768" spans="1:13" hidden="1" outlineLevel="2" x14ac:dyDescent="0.2">
      <c r="A768" s="48" t="str">
        <f ca="1">Language!A$574</f>
        <v xml:space="preserve">    остаток затрат на складе готовой продукции</v>
      </c>
      <c r="C768" s="5" t="str">
        <f ca="1">CHOOSE(B756,CUR_Main,CUR_Foreign)</f>
        <v>руб.</v>
      </c>
      <c r="D768" t="str">
        <f>TEXT(B756,"0")&amp;"_11"&amp;";int_end"</f>
        <v>1_11;int_end</v>
      </c>
      <c r="F768" s="84">
        <f>SUM($F761:F761)-SUM($F767:F767)</f>
        <v>0</v>
      </c>
      <c r="G768" s="84">
        <f>SUM($F761:G761)-SUM($F767:G767)</f>
        <v>0</v>
      </c>
      <c r="H768" s="84">
        <f>SUM($F761:H761)-SUM($F767:H767)</f>
        <v>0</v>
      </c>
      <c r="I768" s="84">
        <f>SUM($F761:I761)-SUM($F767:I767)</f>
        <v>0</v>
      </c>
      <c r="J768" s="84">
        <f>SUM($F761:J761)-SUM($F767:J767)</f>
        <v>0</v>
      </c>
      <c r="K768" s="84">
        <f>SUM($F761:K761)-SUM($F767:K767)</f>
        <v>0</v>
      </c>
    </row>
    <row r="769" spans="1:13" hidden="1" outlineLevel="2" x14ac:dyDescent="0.2">
      <c r="A769" s="48" t="str">
        <f ca="1">Language!A$575</f>
        <v xml:space="preserve">    остаток затрат в незавершенном производстве</v>
      </c>
      <c r="B769" s="255">
        <f>NWC_T_Cycle</f>
        <v>60</v>
      </c>
      <c r="C769" s="5" t="str">
        <f ca="1">Language!A$38</f>
        <v>дн.</v>
      </c>
      <c r="D769" t="str">
        <f>TEXT(B756,"0")&amp;"_12"&amp;";int_end"</f>
        <v>1_12;int_end</v>
      </c>
      <c r="F769" s="84">
        <f t="shared" ref="F769:K769" si="643">F761*$B769/PRJ_Step</f>
        <v>0</v>
      </c>
      <c r="G769" s="84">
        <f t="shared" si="643"/>
        <v>0</v>
      </c>
      <c r="H769" s="84">
        <f t="shared" si="643"/>
        <v>0</v>
      </c>
      <c r="I769" s="84">
        <f t="shared" si="643"/>
        <v>0</v>
      </c>
      <c r="J769" s="84">
        <f t="shared" si="643"/>
        <v>0</v>
      </c>
      <c r="K769" s="84">
        <f t="shared" si="643"/>
        <v>0</v>
      </c>
    </row>
    <row r="770" spans="1:13" s="48" customFormat="1" outlineLevel="1" x14ac:dyDescent="0.2">
      <c r="B770" s="81"/>
      <c r="C770" s="73"/>
      <c r="F770" s="82"/>
      <c r="G770" s="82"/>
      <c r="H770" s="82"/>
      <c r="I770" s="82"/>
      <c r="J770" s="82"/>
      <c r="K770" s="82"/>
      <c r="M770" s="92"/>
    </row>
    <row r="771" spans="1:13" s="48" customFormat="1" outlineLevel="1" collapsed="1" x14ac:dyDescent="0.2">
      <c r="A771" s="35" t="str">
        <f ca="1">Language!A547</f>
        <v xml:space="preserve"> = Итого</v>
      </c>
      <c r="B771" s="81"/>
      <c r="C771" s="5" t="str">
        <f t="shared" ref="C771:C780" ca="1" si="644">CUR_Main</f>
        <v>руб.</v>
      </c>
      <c r="F771" s="56">
        <f t="shared" ref="F771:J771" si="645">SUMIF($D739:$D770,"*1_00*",F739:F770)+SUMIF($D739:$D770,"*2_00*",F739:F770)*F$88</f>
        <v>0</v>
      </c>
      <c r="G771" s="56">
        <f t="shared" si="645"/>
        <v>0</v>
      </c>
      <c r="H771" s="56">
        <f t="shared" si="645"/>
        <v>0</v>
      </c>
      <c r="I771" s="56">
        <f t="shared" si="645"/>
        <v>0</v>
      </c>
      <c r="J771" s="56">
        <f t="shared" si="645"/>
        <v>0</v>
      </c>
      <c r="K771" s="56">
        <f t="shared" ref="K771" si="646">SUMIF($D739:$D770,"*1_00*",K739:K770)+SUMIF($D739:$D770,"*2_00*",K739:K770)*K$88</f>
        <v>0</v>
      </c>
      <c r="L771" s="106"/>
      <c r="M771" s="95">
        <f>SUM(F771:K771)</f>
        <v>0</v>
      </c>
    </row>
    <row r="772" spans="1:13" s="48" customFormat="1" hidden="1" outlineLevel="2" x14ac:dyDescent="0.2">
      <c r="A772" t="str">
        <f ca="1">Language!A$578</f>
        <v xml:space="preserve">    затраты без НДС</v>
      </c>
      <c r="B772" s="81"/>
      <c r="C772" s="5" t="str">
        <f t="shared" ca="1" si="644"/>
        <v>руб.</v>
      </c>
      <c r="F772" s="84">
        <f t="shared" ref="F772:J772" si="647">SUMIF($D739:$D770,"*1_01*",F739:F770)+SUMIF($D739:$D770,"*2_01*",F739:F770)*F$88</f>
        <v>0</v>
      </c>
      <c r="G772" s="84">
        <f t="shared" si="647"/>
        <v>0</v>
      </c>
      <c r="H772" s="84">
        <f t="shared" si="647"/>
        <v>0</v>
      </c>
      <c r="I772" s="84">
        <f t="shared" si="647"/>
        <v>0</v>
      </c>
      <c r="J772" s="84">
        <f t="shared" si="647"/>
        <v>0</v>
      </c>
      <c r="K772" s="84">
        <f t="shared" ref="K772" si="648">SUMIF($D739:$D770,"*1_01*",K739:K770)+SUMIF($D739:$D770,"*2_01*",K739:K770)*K$88</f>
        <v>0</v>
      </c>
      <c r="L772" s="106"/>
      <c r="M772" s="94">
        <f>SUM(F772:K772)</f>
        <v>0</v>
      </c>
    </row>
    <row r="773" spans="1:13" hidden="1" outlineLevel="2" x14ac:dyDescent="0.2">
      <c r="A773" t="str">
        <f ca="1">Language!A$560</f>
        <v xml:space="preserve">    НДС</v>
      </c>
      <c r="C773" s="5" t="str">
        <f t="shared" ca="1" si="644"/>
        <v>руб.</v>
      </c>
      <c r="F773" s="43">
        <f t="shared" ref="F773:J773" si="649">SUMIF($D739:$D770,"*1_02*",F739:F770)+SUMIF($D739:$D770,"*2_02*",F739:F770)*F$88</f>
        <v>0</v>
      </c>
      <c r="G773" s="43">
        <f t="shared" si="649"/>
        <v>0</v>
      </c>
      <c r="H773" s="43">
        <f t="shared" si="649"/>
        <v>0</v>
      </c>
      <c r="I773" s="43">
        <f t="shared" si="649"/>
        <v>0</v>
      </c>
      <c r="J773" s="43">
        <f t="shared" si="649"/>
        <v>0</v>
      </c>
      <c r="K773" s="43">
        <f t="shared" ref="K773" si="650">SUMIF($D739:$D770,"*1_02*",K739:K770)+SUMIF($D739:$D770,"*2_02*",K739:K770)*K$88</f>
        <v>0</v>
      </c>
      <c r="L773" s="43"/>
      <c r="M773" s="94">
        <f>SUM(F773:K773)</f>
        <v>0</v>
      </c>
    </row>
    <row r="774" spans="1:13" hidden="1" outlineLevel="2" x14ac:dyDescent="0.2">
      <c r="A774" t="str">
        <f ca="1">Language!A581</f>
        <v xml:space="preserve">    оплачено расходов (без НДС)</v>
      </c>
      <c r="C774" s="5" t="str">
        <f t="shared" ca="1" si="644"/>
        <v>руб.</v>
      </c>
      <c r="F774" s="43">
        <f t="shared" ref="F774:J774" si="651">SUMIF($D739:$D770,"*1_06*",F739:F770)+SUMIF($D739:$D770,"*2_06*",F739:F770)*F$88</f>
        <v>0</v>
      </c>
      <c r="G774" s="43">
        <f t="shared" si="651"/>
        <v>0</v>
      </c>
      <c r="H774" s="43">
        <f t="shared" si="651"/>
        <v>0</v>
      </c>
      <c r="I774" s="43">
        <f t="shared" si="651"/>
        <v>0</v>
      </c>
      <c r="J774" s="43">
        <f t="shared" si="651"/>
        <v>0</v>
      </c>
      <c r="K774" s="43">
        <f t="shared" ref="K774" si="652">SUMIF($D739:$D770,"*1_06*",K739:K770)+SUMIF($D739:$D770,"*2_06*",K739:K770)*K$88</f>
        <v>0</v>
      </c>
      <c r="L774" s="43"/>
      <c r="M774" s="94">
        <f>SUM(F774:K774)</f>
        <v>0</v>
      </c>
    </row>
    <row r="775" spans="1:13" hidden="1" outlineLevel="2" x14ac:dyDescent="0.2">
      <c r="A775" t="str">
        <f ca="1">Language!A$570</f>
        <v xml:space="preserve">    выплаченный НДС</v>
      </c>
      <c r="C775" s="5" t="str">
        <f t="shared" ca="1" si="644"/>
        <v>руб.</v>
      </c>
      <c r="F775" s="43">
        <f t="shared" ref="F775:J775" si="653">SUMIF($D739:$D770,"*1_07*",F739:F770)+SUMIF($D739:$D770,"*2_07*",F739:F770)*F$88</f>
        <v>0</v>
      </c>
      <c r="G775" s="43">
        <f t="shared" si="653"/>
        <v>0</v>
      </c>
      <c r="H775" s="43">
        <f t="shared" si="653"/>
        <v>0</v>
      </c>
      <c r="I775" s="43">
        <f t="shared" si="653"/>
        <v>0</v>
      </c>
      <c r="J775" s="43">
        <f t="shared" si="653"/>
        <v>0</v>
      </c>
      <c r="K775" s="43">
        <f t="shared" ref="K775" si="654">SUMIF($D739:$D770,"*1_07*",K739:K770)+SUMIF($D739:$D770,"*2_07*",K739:K770)*K$88</f>
        <v>0</v>
      </c>
      <c r="L775" s="43"/>
      <c r="M775" s="94">
        <f>SUM(F775:K775)</f>
        <v>0</v>
      </c>
    </row>
    <row r="776" spans="1:13" hidden="1" outlineLevel="2" x14ac:dyDescent="0.2">
      <c r="A776" t="str">
        <f ca="1">Language!A$571</f>
        <v xml:space="preserve">    кредиторская задолженность</v>
      </c>
      <c r="C776" s="5" t="str">
        <f t="shared" ca="1" si="644"/>
        <v>руб.</v>
      </c>
      <c r="D776" s="16" t="s">
        <v>384</v>
      </c>
      <c r="F776" s="43">
        <f>MAX(SUM($F772:F772)+SUM($F773:F773)-SUM($F774:F774)-SUM($F775:F775),0)</f>
        <v>0</v>
      </c>
      <c r="G776" s="43">
        <f>MAX(SUM($F772:G772)+SUM($F773:G773)-SUM($F774:G774)-SUM($F775:G775),0)</f>
        <v>0</v>
      </c>
      <c r="H776" s="43">
        <f>MAX(SUM($F772:H772)+SUM($F773:H773)-SUM($F774:H774)-SUM($F775:H775),0)</f>
        <v>0</v>
      </c>
      <c r="I776" s="43">
        <f>MAX(SUM($F772:I772)+SUM($F773:I773)-SUM($F774:I774)-SUM($F775:I775),0)</f>
        <v>0</v>
      </c>
      <c r="J776" s="43">
        <f>MAX(SUM($F772:J772)+SUM($F773:J773)-SUM($F774:J774)-SUM($F775:J775),0)</f>
        <v>0</v>
      </c>
      <c r="K776" s="43">
        <f>MAX(SUM($F772:K772)+SUM($F773:K773)-SUM($F774:K774)-SUM($F775:K775),0)</f>
        <v>0</v>
      </c>
      <c r="L776" s="43"/>
      <c r="M776" s="94"/>
    </row>
    <row r="777" spans="1:13" hidden="1" outlineLevel="2" x14ac:dyDescent="0.2">
      <c r="A777" t="str">
        <f ca="1">Language!A$572</f>
        <v xml:space="preserve">    выплаченные авансы</v>
      </c>
      <c r="C777" s="5" t="str">
        <f t="shared" ca="1" si="644"/>
        <v>руб.</v>
      </c>
      <c r="D777" s="16" t="s">
        <v>384</v>
      </c>
      <c r="F777" s="43">
        <f>MAX(SUM($F774:F774)+SUM($F775:F775)-SUM($F772:F772)-SUM($F773:F773),0)</f>
        <v>0</v>
      </c>
      <c r="G777" s="43">
        <f>MAX(SUM($F774:G774)+SUM($F775:G775)-SUM($F772:G772)-SUM($F773:G773),0)</f>
        <v>0</v>
      </c>
      <c r="H777" s="43">
        <f>MAX(SUM($F774:H774)+SUM($F775:H775)-SUM($F772:H772)-SUM($F773:H773),0)</f>
        <v>0</v>
      </c>
      <c r="I777" s="43">
        <f>MAX(SUM($F774:I774)+SUM($F775:I775)-SUM($F772:I772)-SUM($F773:I773),0)</f>
        <v>0</v>
      </c>
      <c r="J777" s="43">
        <f>MAX(SUM($F774:J774)+SUM($F775:J775)-SUM($F772:J772)-SUM($F773:J773),0)</f>
        <v>0</v>
      </c>
      <c r="K777" s="43">
        <f>MAX(SUM($F774:K774)+SUM($F775:K775)-SUM($F772:K772)-SUM($F773:K773),0)</f>
        <v>0</v>
      </c>
      <c r="L777" s="43"/>
      <c r="M777" s="94"/>
    </row>
    <row r="778" spans="1:13" hidden="1" outlineLevel="2" x14ac:dyDescent="0.2">
      <c r="A778" t="str">
        <f ca="1">Language!A$573</f>
        <v xml:space="preserve">    списано затрат на реализованную продукцию</v>
      </c>
      <c r="C778" s="5" t="str">
        <f t="shared" ca="1" si="644"/>
        <v>руб.</v>
      </c>
      <c r="F778" s="43">
        <f t="shared" ref="F778:J778" si="655">SUMIF($D739:$D770,"*1_10*",F739:F770)+SUMIF($D739:$D770,"*2_10*",F739:F770)*F$88</f>
        <v>0</v>
      </c>
      <c r="G778" s="43">
        <f t="shared" si="655"/>
        <v>0</v>
      </c>
      <c r="H778" s="43">
        <f t="shared" si="655"/>
        <v>0</v>
      </c>
      <c r="I778" s="43">
        <f t="shared" si="655"/>
        <v>0</v>
      </c>
      <c r="J778" s="43">
        <f t="shared" si="655"/>
        <v>0</v>
      </c>
      <c r="K778" s="43">
        <f t="shared" ref="K778" si="656">SUMIF($D739:$D770,"*1_10*",K739:K770)+SUMIF($D739:$D770,"*2_10*",K739:K770)*K$88</f>
        <v>0</v>
      </c>
      <c r="L778" s="43"/>
      <c r="M778" s="94">
        <f>SUM(F778:K778)</f>
        <v>0</v>
      </c>
    </row>
    <row r="779" spans="1:13" hidden="1" outlineLevel="2" x14ac:dyDescent="0.2">
      <c r="A779" s="48" t="str">
        <f ca="1">Language!A$574</f>
        <v xml:space="preserve">    остаток затрат на складе готовой продукции</v>
      </c>
      <c r="C779" s="5" t="str">
        <f t="shared" ca="1" si="644"/>
        <v>руб.</v>
      </c>
      <c r="D779" s="16" t="s">
        <v>384</v>
      </c>
      <c r="F779" s="106">
        <f>SUM($F772:F772)-SUM($F778:F778)</f>
        <v>0</v>
      </c>
      <c r="G779" s="106">
        <f>SUM($F772:G772)-SUM($F778:G778)</f>
        <v>0</v>
      </c>
      <c r="H779" s="106">
        <f>SUM($F772:H772)-SUM($F778:H778)</f>
        <v>0</v>
      </c>
      <c r="I779" s="106">
        <f>SUM($F772:I772)-SUM($F778:I778)</f>
        <v>0</v>
      </c>
      <c r="J779" s="106">
        <f>SUM($F772:J772)-SUM($F778:J778)</f>
        <v>0</v>
      </c>
      <c r="K779" s="106">
        <f>SUM($F772:K772)-SUM($F778:K778)</f>
        <v>0</v>
      </c>
      <c r="L779" s="43"/>
      <c r="M779" s="94"/>
    </row>
    <row r="780" spans="1:13" hidden="1" outlineLevel="2" x14ac:dyDescent="0.2">
      <c r="A780" s="48" t="str">
        <f ca="1">Language!A$575</f>
        <v xml:space="preserve">    остаток затрат в незавершенном производстве</v>
      </c>
      <c r="C780" s="5" t="str">
        <f t="shared" ca="1" si="644"/>
        <v>руб.</v>
      </c>
      <c r="D780" s="16" t="s">
        <v>384</v>
      </c>
      <c r="F780" s="43">
        <f t="shared" ref="F780:J780" si="657">SUMIF($D739:$D770,"*1_12*",F739:F770)+SUMIF($D739:$D770,"*2_12*",F739:F770)*F$88</f>
        <v>0</v>
      </c>
      <c r="G780" s="43">
        <f t="shared" si="657"/>
        <v>0</v>
      </c>
      <c r="H780" s="43">
        <f t="shared" si="657"/>
        <v>0</v>
      </c>
      <c r="I780" s="43">
        <f t="shared" si="657"/>
        <v>0</v>
      </c>
      <c r="J780" s="43">
        <f t="shared" si="657"/>
        <v>0</v>
      </c>
      <c r="K780" s="43">
        <f t="shared" ref="K780" si="658">SUMIF($D739:$D770,"*1_12*",K739:K770)+SUMIF($D739:$D770,"*2_12*",K739:K770)*K$88</f>
        <v>0</v>
      </c>
      <c r="L780" s="43"/>
      <c r="M780" s="94"/>
    </row>
    <row r="781" spans="1:13" outlineLevel="1" x14ac:dyDescent="0.2">
      <c r="A781" s="63"/>
      <c r="B781" s="63"/>
      <c r="C781" s="63"/>
      <c r="D781" s="63"/>
      <c r="E781" s="63"/>
      <c r="F781" s="63"/>
      <c r="G781" s="63"/>
      <c r="H781" s="63"/>
      <c r="I781" s="63"/>
      <c r="J781" s="63"/>
      <c r="K781" s="63"/>
      <c r="L781" s="63"/>
      <c r="M781" s="64"/>
    </row>
    <row r="782" spans="1:13" outlineLevel="1" x14ac:dyDescent="0.2"/>
    <row r="783" spans="1:13" s="4" customFormat="1" ht="15.9" customHeight="1" thickBot="1" x14ac:dyDescent="0.25">
      <c r="A783" s="166" t="str">
        <f ca="1">Language!A582</f>
        <v xml:space="preserve">         ПЕРСОНАЛ И ЗАРАБОТНАЯ ПЛАТА</v>
      </c>
      <c r="B783" s="166"/>
      <c r="C783" s="166"/>
      <c r="D783" s="166"/>
      <c r="E783" s="166"/>
      <c r="F783" s="178" t="str">
        <f t="shared" ref="F783:K783" si="659">PeriodTitle</f>
        <v>4/ 2020</v>
      </c>
      <c r="G783" s="178" t="str">
        <f t="shared" si="659"/>
        <v>5/ 2020</v>
      </c>
      <c r="H783" s="178" t="str">
        <f t="shared" si="659"/>
        <v>6/ 2020</v>
      </c>
      <c r="I783" s="178" t="str">
        <f t="shared" si="659"/>
        <v>7/ 2020</v>
      </c>
      <c r="J783" s="178" t="str">
        <f t="shared" si="659"/>
        <v>8/ 2020</v>
      </c>
      <c r="K783" s="178" t="str">
        <f t="shared" si="659"/>
        <v>9/ 2020</v>
      </c>
      <c r="L783" s="166"/>
      <c r="M783" s="195" t="str">
        <f ca="1">Language!$A$371</f>
        <v>ИТОГО</v>
      </c>
    </row>
    <row r="784" spans="1:13" ht="10.8" outlineLevel="1" thickTop="1" x14ac:dyDescent="0.2"/>
    <row r="785" spans="1:13" outlineLevel="1" x14ac:dyDescent="0.2">
      <c r="A785" s="35" t="str">
        <f ca="1">Language!A583</f>
        <v>Основной производственный персонал</v>
      </c>
    </row>
    <row r="786" spans="1:13" outlineLevel="1" x14ac:dyDescent="0.2">
      <c r="B786" s="36" t="str">
        <f ca="1">Language!A$73</f>
        <v>Валюта</v>
      </c>
      <c r="C786" s="88"/>
      <c r="D786">
        <v>4</v>
      </c>
      <c r="E786">
        <v>5</v>
      </c>
    </row>
    <row r="787" spans="1:13" outlineLevel="1" x14ac:dyDescent="0.2">
      <c r="A787" s="274" t="s">
        <v>2692</v>
      </c>
      <c r="B787" s="255">
        <v>1</v>
      </c>
      <c r="C787" s="87" t="str">
        <f ca="1">CHOOSE(B787,CUR_Main,CUR_Foreign)</f>
        <v>руб.</v>
      </c>
      <c r="D787" s="16" t="str">
        <f>TEXT(B787,"0")&amp;"_01"</f>
        <v>1_01</v>
      </c>
      <c r="F787" s="53">
        <f t="shared" ref="F787:J787" si="660">F789*F788*PRJ_Step/30</f>
        <v>0</v>
      </c>
      <c r="G787" s="53">
        <f t="shared" si="660"/>
        <v>0</v>
      </c>
      <c r="H787" s="53">
        <f t="shared" si="660"/>
        <v>0</v>
      </c>
      <c r="I787" s="53">
        <f t="shared" si="660"/>
        <v>0</v>
      </c>
      <c r="J787" s="53">
        <f t="shared" si="660"/>
        <v>0</v>
      </c>
      <c r="K787" s="53">
        <f t="shared" ref="K787" si="661">K789*K788*PRJ_Step/30</f>
        <v>0</v>
      </c>
      <c r="M787" s="54">
        <f>SUM(F787:K787)</f>
        <v>0</v>
      </c>
    </row>
    <row r="788" spans="1:13" outlineLevel="1" x14ac:dyDescent="0.2">
      <c r="A788" t="str">
        <f ca="1">Language!A$589</f>
        <v>Количество</v>
      </c>
      <c r="B788" s="271">
        <v>1</v>
      </c>
      <c r="C788" s="5" t="str">
        <f ca="1">Language!A$591</f>
        <v>чел.</v>
      </c>
      <c r="D788" s="16" t="s">
        <v>2209</v>
      </c>
      <c r="F788" s="270">
        <v>0</v>
      </c>
      <c r="G788" s="270">
        <v>0</v>
      </c>
      <c r="H788" s="270">
        <v>0</v>
      </c>
      <c r="I788" s="270">
        <v>0</v>
      </c>
      <c r="J788" s="270">
        <v>0</v>
      </c>
      <c r="K788" s="270">
        <v>0</v>
      </c>
      <c r="M788" s="54"/>
    </row>
    <row r="789" spans="1:13" s="48" customFormat="1" outlineLevel="1" collapsed="1" x14ac:dyDescent="0.2">
      <c r="A789" s="52" t="str">
        <f ca="1">Language!A$588</f>
        <v>Месячный оклад</v>
      </c>
      <c r="B789" s="288">
        <v>0</v>
      </c>
      <c r="C789" s="87" t="str">
        <f ca="1">CHOOSE(B787,CUR_Main,CUR_Foreign)</f>
        <v>руб.</v>
      </c>
      <c r="D789" s="16" t="s">
        <v>176</v>
      </c>
      <c r="F789" s="276">
        <v>0</v>
      </c>
      <c r="G789" s="276">
        <v>0</v>
      </c>
      <c r="H789" s="276">
        <v>0</v>
      </c>
      <c r="I789" s="276">
        <v>0</v>
      </c>
      <c r="J789" s="276">
        <v>0</v>
      </c>
      <c r="K789" s="276">
        <v>0</v>
      </c>
      <c r="M789" s="94"/>
    </row>
    <row r="790" spans="1:13" hidden="1" outlineLevel="2" x14ac:dyDescent="0.2">
      <c r="A790" t="str">
        <f ca="1">Language!A$104</f>
        <v>Предполагаемый темп годового роста цен</v>
      </c>
      <c r="C790" s="5" t="s">
        <v>177</v>
      </c>
      <c r="D790" s="16" t="s">
        <v>176</v>
      </c>
      <c r="F790" s="269">
        <f t="shared" ref="F790:J790" si="662">CHOOSE($B787,F$80,F$91)</f>
        <v>7.0000000000000007E-2</v>
      </c>
      <c r="G790" s="269">
        <f t="shared" si="662"/>
        <v>7.0000000000000007E-2</v>
      </c>
      <c r="H790" s="269">
        <f t="shared" si="662"/>
        <v>7.0000000000000007E-2</v>
      </c>
      <c r="I790" s="269">
        <f t="shared" si="662"/>
        <v>7.0000000000000007E-2</v>
      </c>
      <c r="J790" s="269">
        <f t="shared" si="662"/>
        <v>7.0000000000000007E-2</v>
      </c>
      <c r="K790" s="269">
        <f t="shared" ref="K790" si="663">CHOOSE($B787,K$80,K$91)</f>
        <v>7.0000000000000007E-2</v>
      </c>
      <c r="M790" s="54"/>
    </row>
    <row r="791" spans="1:13" hidden="1" outlineLevel="2" x14ac:dyDescent="0.2">
      <c r="A791" t="str">
        <f ca="1">Language!A$106</f>
        <v>То же, в пересчете на период, равный шагу проекта</v>
      </c>
      <c r="C791" s="5" t="s">
        <v>177</v>
      </c>
      <c r="D791" s="16" t="s">
        <v>176</v>
      </c>
      <c r="F791" s="30">
        <f t="shared" ref="F791:J791" si="664">POWER(1+F790,PRJ_Step/360)-1</f>
        <v>5.6541453874052738E-3</v>
      </c>
      <c r="G791" s="30">
        <f t="shared" si="664"/>
        <v>5.6541453874052738E-3</v>
      </c>
      <c r="H791" s="30">
        <f t="shared" si="664"/>
        <v>5.6541453874052738E-3</v>
      </c>
      <c r="I791" s="30">
        <f t="shared" si="664"/>
        <v>5.6541453874052738E-3</v>
      </c>
      <c r="J791" s="30">
        <f t="shared" si="664"/>
        <v>5.6541453874052738E-3</v>
      </c>
      <c r="K791" s="30">
        <f t="shared" ref="K791" si="665">POWER(1+K790,PRJ_Step/360)-1</f>
        <v>5.6541453874052738E-3</v>
      </c>
      <c r="M791" s="54"/>
    </row>
    <row r="792" spans="1:13" outlineLevel="1" x14ac:dyDescent="0.2">
      <c r="A792" s="274" t="s">
        <v>2695</v>
      </c>
      <c r="B792" s="255">
        <v>1</v>
      </c>
      <c r="C792" s="87" t="str">
        <f ca="1">CHOOSE(B792,CUR_Main,CUR_Foreign)</f>
        <v>руб.</v>
      </c>
      <c r="D792" s="16" t="str">
        <f>TEXT(B792,"0")&amp;"_01"</f>
        <v>1_01</v>
      </c>
      <c r="F792" s="53">
        <f t="shared" ref="F792:K792" si="666">F794*F793*PRJ_Step/30</f>
        <v>380000</v>
      </c>
      <c r="G792" s="53">
        <f t="shared" si="666"/>
        <v>380000</v>
      </c>
      <c r="H792" s="53">
        <f t="shared" si="666"/>
        <v>380000</v>
      </c>
      <c r="I792" s="53">
        <f t="shared" si="666"/>
        <v>380000</v>
      </c>
      <c r="J792" s="53">
        <f t="shared" si="666"/>
        <v>380000</v>
      </c>
      <c r="K792" s="53">
        <f t="shared" si="666"/>
        <v>380000</v>
      </c>
      <c r="M792" s="54">
        <f>SUM(F792:K792)</f>
        <v>2280000</v>
      </c>
    </row>
    <row r="793" spans="1:13" outlineLevel="1" x14ac:dyDescent="0.2">
      <c r="A793" t="str">
        <f ca="1">Language!A$589</f>
        <v>Количество</v>
      </c>
      <c r="B793" s="271">
        <v>1</v>
      </c>
      <c r="C793" s="5" t="str">
        <f ca="1">Language!A$591</f>
        <v>чел.</v>
      </c>
      <c r="D793" s="16" t="s">
        <v>2209</v>
      </c>
      <c r="F793" s="270">
        <v>1</v>
      </c>
      <c r="G793" s="270">
        <v>1</v>
      </c>
      <c r="H793" s="270">
        <v>1</v>
      </c>
      <c r="I793" s="270">
        <v>1</v>
      </c>
      <c r="J793" s="270">
        <v>1</v>
      </c>
      <c r="K793" s="270">
        <v>1</v>
      </c>
      <c r="M793" s="54"/>
    </row>
    <row r="794" spans="1:13" s="48" customFormat="1" outlineLevel="1" collapsed="1" x14ac:dyDescent="0.2">
      <c r="A794" s="52" t="str">
        <f ca="1">Language!A$588</f>
        <v>Месячный оклад</v>
      </c>
      <c r="B794" s="288">
        <v>0</v>
      </c>
      <c r="C794" s="87" t="str">
        <f ca="1">CHOOSE(B792,CUR_Main,CUR_Foreign)</f>
        <v>руб.</v>
      </c>
      <c r="D794" s="16" t="s">
        <v>176</v>
      </c>
      <c r="F794" s="276">
        <v>380000</v>
      </c>
      <c r="G794" s="276">
        <v>380000</v>
      </c>
      <c r="H794" s="276">
        <v>380000</v>
      </c>
      <c r="I794" s="276">
        <v>380000</v>
      </c>
      <c r="J794" s="276">
        <v>380000</v>
      </c>
      <c r="K794" s="276">
        <v>380000</v>
      </c>
      <c r="M794" s="94"/>
    </row>
    <row r="795" spans="1:13" hidden="1" outlineLevel="2" x14ac:dyDescent="0.2">
      <c r="A795" t="str">
        <f ca="1">Language!A$104</f>
        <v>Предполагаемый темп годового роста цен</v>
      </c>
      <c r="C795" s="5" t="s">
        <v>177</v>
      </c>
      <c r="D795" s="16" t="s">
        <v>176</v>
      </c>
      <c r="F795" s="269">
        <f t="shared" ref="F795:K795" si="667">CHOOSE($B792,F$80,F$91)</f>
        <v>7.0000000000000007E-2</v>
      </c>
      <c r="G795" s="269">
        <f t="shared" si="667"/>
        <v>7.0000000000000007E-2</v>
      </c>
      <c r="H795" s="269">
        <f t="shared" si="667"/>
        <v>7.0000000000000007E-2</v>
      </c>
      <c r="I795" s="269">
        <f t="shared" si="667"/>
        <v>7.0000000000000007E-2</v>
      </c>
      <c r="J795" s="269">
        <f t="shared" si="667"/>
        <v>7.0000000000000007E-2</v>
      </c>
      <c r="K795" s="269">
        <f t="shared" si="667"/>
        <v>7.0000000000000007E-2</v>
      </c>
      <c r="M795" s="54"/>
    </row>
    <row r="796" spans="1:13" hidden="1" outlineLevel="2" x14ac:dyDescent="0.2">
      <c r="A796" t="str">
        <f ca="1">Language!A$106</f>
        <v>То же, в пересчете на период, равный шагу проекта</v>
      </c>
      <c r="C796" s="5" t="s">
        <v>177</v>
      </c>
      <c r="D796" s="16" t="s">
        <v>176</v>
      </c>
      <c r="F796" s="30">
        <f t="shared" ref="F796:K796" si="668">POWER(1+F795,PRJ_Step/360)-1</f>
        <v>5.6541453874052738E-3</v>
      </c>
      <c r="G796" s="30">
        <f t="shared" si="668"/>
        <v>5.6541453874052738E-3</v>
      </c>
      <c r="H796" s="30">
        <f t="shared" si="668"/>
        <v>5.6541453874052738E-3</v>
      </c>
      <c r="I796" s="30">
        <f t="shared" si="668"/>
        <v>5.6541453874052738E-3</v>
      </c>
      <c r="J796" s="30">
        <f t="shared" si="668"/>
        <v>5.6541453874052738E-3</v>
      </c>
      <c r="K796" s="30">
        <f t="shared" si="668"/>
        <v>5.6541453874052738E-3</v>
      </c>
      <c r="M796" s="54"/>
    </row>
    <row r="797" spans="1:13" outlineLevel="1" x14ac:dyDescent="0.2">
      <c r="A797" s="274" t="s">
        <v>2696</v>
      </c>
      <c r="B797" s="255">
        <v>1</v>
      </c>
      <c r="C797" s="87" t="str">
        <f ca="1">CHOOSE(B797,CUR_Main,CUR_Foreign)</f>
        <v>руб.</v>
      </c>
      <c r="D797" s="16" t="str">
        <f>TEXT(B797,"0")&amp;"_01"</f>
        <v>1_01</v>
      </c>
      <c r="F797" s="53">
        <f t="shared" ref="F797:K797" si="669">F799*F798*PRJ_Step/30</f>
        <v>140000</v>
      </c>
      <c r="G797" s="53">
        <f t="shared" si="669"/>
        <v>280000</v>
      </c>
      <c r="H797" s="53">
        <f t="shared" si="669"/>
        <v>420000</v>
      </c>
      <c r="I797" s="53">
        <f t="shared" si="669"/>
        <v>420000</v>
      </c>
      <c r="J797" s="53">
        <f t="shared" si="669"/>
        <v>420000</v>
      </c>
      <c r="K797" s="53">
        <f t="shared" si="669"/>
        <v>420000</v>
      </c>
      <c r="M797" s="54">
        <f>SUM(F797:K797)</f>
        <v>2100000</v>
      </c>
    </row>
    <row r="798" spans="1:13" outlineLevel="1" x14ac:dyDescent="0.2">
      <c r="A798" t="str">
        <f ca="1">Language!A$589</f>
        <v>Количество</v>
      </c>
      <c r="B798" s="271">
        <v>1</v>
      </c>
      <c r="C798" s="5" t="str">
        <f ca="1">Language!A$591</f>
        <v>чел.</v>
      </c>
      <c r="D798" s="16" t="s">
        <v>2209</v>
      </c>
      <c r="F798" s="270">
        <v>1</v>
      </c>
      <c r="G798" s="270">
        <v>2</v>
      </c>
      <c r="H798" s="270">
        <v>3</v>
      </c>
      <c r="I798" s="270">
        <v>3</v>
      </c>
      <c r="J798" s="270">
        <v>3</v>
      </c>
      <c r="K798" s="270">
        <v>3</v>
      </c>
      <c r="M798" s="54"/>
    </row>
    <row r="799" spans="1:13" s="48" customFormat="1" outlineLevel="1" collapsed="1" x14ac:dyDescent="0.2">
      <c r="A799" s="52" t="str">
        <f ca="1">Language!A$588</f>
        <v>Месячный оклад</v>
      </c>
      <c r="B799" s="288">
        <v>0</v>
      </c>
      <c r="C799" s="87" t="str">
        <f ca="1">CHOOSE(B797,CUR_Main,CUR_Foreign)</f>
        <v>руб.</v>
      </c>
      <c r="D799" s="16" t="s">
        <v>176</v>
      </c>
      <c r="F799" s="276">
        <v>140000</v>
      </c>
      <c r="G799" s="276">
        <v>140000</v>
      </c>
      <c r="H799" s="276">
        <v>140000</v>
      </c>
      <c r="I799" s="276">
        <v>140000</v>
      </c>
      <c r="J799" s="276">
        <v>140000</v>
      </c>
      <c r="K799" s="276">
        <v>140000</v>
      </c>
      <c r="M799" s="94"/>
    </row>
    <row r="800" spans="1:13" hidden="1" outlineLevel="2" x14ac:dyDescent="0.2">
      <c r="A800" t="str">
        <f ca="1">Language!A$104</f>
        <v>Предполагаемый темп годового роста цен</v>
      </c>
      <c r="C800" s="5" t="s">
        <v>177</v>
      </c>
      <c r="D800" s="16" t="s">
        <v>176</v>
      </c>
      <c r="F800" s="269">
        <f t="shared" ref="F800:K800" si="670">CHOOSE($B797,F$80,F$91)</f>
        <v>7.0000000000000007E-2</v>
      </c>
      <c r="G800" s="269">
        <f t="shared" si="670"/>
        <v>7.0000000000000007E-2</v>
      </c>
      <c r="H800" s="269">
        <f t="shared" si="670"/>
        <v>7.0000000000000007E-2</v>
      </c>
      <c r="I800" s="269">
        <f t="shared" si="670"/>
        <v>7.0000000000000007E-2</v>
      </c>
      <c r="J800" s="269">
        <f t="shared" si="670"/>
        <v>7.0000000000000007E-2</v>
      </c>
      <c r="K800" s="269">
        <f t="shared" si="670"/>
        <v>7.0000000000000007E-2</v>
      </c>
      <c r="M800" s="54"/>
    </row>
    <row r="801" spans="1:13" hidden="1" outlineLevel="2" x14ac:dyDescent="0.2">
      <c r="A801" t="str">
        <f ca="1">Language!A$106</f>
        <v>То же, в пересчете на период, равный шагу проекта</v>
      </c>
      <c r="C801" s="5" t="s">
        <v>177</v>
      </c>
      <c r="D801" s="16" t="s">
        <v>176</v>
      </c>
      <c r="F801" s="30">
        <f t="shared" ref="F801:K801" si="671">POWER(1+F800,PRJ_Step/360)-1</f>
        <v>5.6541453874052738E-3</v>
      </c>
      <c r="G801" s="30">
        <f t="shared" si="671"/>
        <v>5.6541453874052738E-3</v>
      </c>
      <c r="H801" s="30">
        <f t="shared" si="671"/>
        <v>5.6541453874052738E-3</v>
      </c>
      <c r="I801" s="30">
        <f t="shared" si="671"/>
        <v>5.6541453874052738E-3</v>
      </c>
      <c r="J801" s="30">
        <f t="shared" si="671"/>
        <v>5.6541453874052738E-3</v>
      </c>
      <c r="K801" s="30">
        <f t="shared" si="671"/>
        <v>5.6541453874052738E-3</v>
      </c>
      <c r="M801" s="54"/>
    </row>
    <row r="802" spans="1:13" outlineLevel="1" x14ac:dyDescent="0.2">
      <c r="A802" s="274" t="s">
        <v>2697</v>
      </c>
      <c r="B802" s="255">
        <v>1</v>
      </c>
      <c r="C802" s="87" t="str">
        <f ca="1">CHOOSE(B802,CUR_Main,CUR_Foreign)</f>
        <v>руб.</v>
      </c>
      <c r="D802" s="16" t="str">
        <f>TEXT(B802,"0")&amp;"_01"</f>
        <v>1_01</v>
      </c>
      <c r="F802" s="53">
        <f t="shared" ref="F802:K802" si="672">F804*F803*PRJ_Step/30</f>
        <v>70000</v>
      </c>
      <c r="G802" s="53">
        <f t="shared" si="672"/>
        <v>70000</v>
      </c>
      <c r="H802" s="53">
        <f t="shared" si="672"/>
        <v>70000</v>
      </c>
      <c r="I802" s="53">
        <f t="shared" si="672"/>
        <v>140000</v>
      </c>
      <c r="J802" s="53">
        <f t="shared" si="672"/>
        <v>140000</v>
      </c>
      <c r="K802" s="53">
        <f t="shared" si="672"/>
        <v>140000</v>
      </c>
      <c r="M802" s="54">
        <f>SUM(F802:K802)</f>
        <v>630000</v>
      </c>
    </row>
    <row r="803" spans="1:13" outlineLevel="1" x14ac:dyDescent="0.2">
      <c r="A803" t="str">
        <f ca="1">Language!A$589</f>
        <v>Количество</v>
      </c>
      <c r="B803" s="271">
        <v>1</v>
      </c>
      <c r="C803" s="5" t="str">
        <f ca="1">Language!A$591</f>
        <v>чел.</v>
      </c>
      <c r="D803" s="16" t="s">
        <v>2209</v>
      </c>
      <c r="F803" s="270">
        <v>1</v>
      </c>
      <c r="G803" s="270">
        <v>1</v>
      </c>
      <c r="H803" s="270">
        <v>1</v>
      </c>
      <c r="I803" s="270">
        <v>2</v>
      </c>
      <c r="J803" s="270">
        <v>2</v>
      </c>
      <c r="K803" s="270">
        <v>2</v>
      </c>
      <c r="M803" s="54"/>
    </row>
    <row r="804" spans="1:13" s="48" customFormat="1" outlineLevel="1" collapsed="1" x14ac:dyDescent="0.2">
      <c r="A804" s="52" t="str">
        <f ca="1">Language!A$588</f>
        <v>Месячный оклад</v>
      </c>
      <c r="B804" s="288">
        <v>0</v>
      </c>
      <c r="C804" s="87" t="str">
        <f ca="1">CHOOSE(B802,CUR_Main,CUR_Foreign)</f>
        <v>руб.</v>
      </c>
      <c r="D804" s="16" t="s">
        <v>176</v>
      </c>
      <c r="F804" s="276">
        <v>70000</v>
      </c>
      <c r="G804" s="276">
        <v>70000</v>
      </c>
      <c r="H804" s="276">
        <v>70000</v>
      </c>
      <c r="I804" s="276">
        <v>70000</v>
      </c>
      <c r="J804" s="276">
        <v>70000</v>
      </c>
      <c r="K804" s="276">
        <v>70000</v>
      </c>
      <c r="M804" s="94"/>
    </row>
    <row r="805" spans="1:13" hidden="1" outlineLevel="2" x14ac:dyDescent="0.2">
      <c r="A805" t="str">
        <f ca="1">Language!A$104</f>
        <v>Предполагаемый темп годового роста цен</v>
      </c>
      <c r="C805" s="5" t="s">
        <v>177</v>
      </c>
      <c r="D805" s="16" t="s">
        <v>176</v>
      </c>
      <c r="F805" s="269">
        <f t="shared" ref="F805:K805" si="673">CHOOSE($B802,F$80,F$91)</f>
        <v>7.0000000000000007E-2</v>
      </c>
      <c r="G805" s="269">
        <f t="shared" si="673"/>
        <v>7.0000000000000007E-2</v>
      </c>
      <c r="H805" s="269">
        <f t="shared" si="673"/>
        <v>7.0000000000000007E-2</v>
      </c>
      <c r="I805" s="269">
        <f t="shared" si="673"/>
        <v>7.0000000000000007E-2</v>
      </c>
      <c r="J805" s="269">
        <f t="shared" si="673"/>
        <v>7.0000000000000007E-2</v>
      </c>
      <c r="K805" s="269">
        <f t="shared" si="673"/>
        <v>7.0000000000000007E-2</v>
      </c>
      <c r="M805" s="54"/>
    </row>
    <row r="806" spans="1:13" hidden="1" outlineLevel="2" x14ac:dyDescent="0.2">
      <c r="A806" t="str">
        <f ca="1">Language!A$106</f>
        <v>То же, в пересчете на период, равный шагу проекта</v>
      </c>
      <c r="C806" s="5" t="s">
        <v>177</v>
      </c>
      <c r="D806" s="16" t="s">
        <v>176</v>
      </c>
      <c r="F806" s="30">
        <f t="shared" ref="F806:K806" si="674">POWER(1+F805,PRJ_Step/360)-1</f>
        <v>5.6541453874052738E-3</v>
      </c>
      <c r="G806" s="30">
        <f t="shared" si="674"/>
        <v>5.6541453874052738E-3</v>
      </c>
      <c r="H806" s="30">
        <f t="shared" si="674"/>
        <v>5.6541453874052738E-3</v>
      </c>
      <c r="I806" s="30">
        <f t="shared" si="674"/>
        <v>5.6541453874052738E-3</v>
      </c>
      <c r="J806" s="30">
        <f t="shared" si="674"/>
        <v>5.6541453874052738E-3</v>
      </c>
      <c r="K806" s="30">
        <f t="shared" si="674"/>
        <v>5.6541453874052738E-3</v>
      </c>
      <c r="M806" s="54"/>
    </row>
    <row r="807" spans="1:13" outlineLevel="1" x14ac:dyDescent="0.2">
      <c r="M807" s="54"/>
    </row>
    <row r="808" spans="1:13" outlineLevel="1" x14ac:dyDescent="0.2">
      <c r="A808" s="63"/>
      <c r="B808" s="63"/>
      <c r="C808" s="63"/>
      <c r="D808" s="63"/>
      <c r="E808" s="63"/>
      <c r="F808" s="63"/>
      <c r="G808" s="63"/>
      <c r="H808" s="63"/>
      <c r="I808" s="63"/>
      <c r="J808" s="63"/>
      <c r="K808" s="63"/>
      <c r="L808" s="63"/>
      <c r="M808" s="122"/>
    </row>
    <row r="809" spans="1:13" outlineLevel="1" x14ac:dyDescent="0.2">
      <c r="A809" s="35" t="str">
        <f ca="1">Language!A584</f>
        <v>Вспомогательный производственный персонал</v>
      </c>
      <c r="M809" s="54"/>
    </row>
    <row r="810" spans="1:13" outlineLevel="1" x14ac:dyDescent="0.2">
      <c r="B810" s="36" t="str">
        <f ca="1">Language!A$73</f>
        <v>Валюта</v>
      </c>
      <c r="C810" s="88"/>
      <c r="D810">
        <v>1</v>
      </c>
      <c r="E810">
        <v>5</v>
      </c>
      <c r="M810" s="54"/>
    </row>
    <row r="811" spans="1:13" outlineLevel="1" x14ac:dyDescent="0.2">
      <c r="A811" s="274" t="s">
        <v>2676</v>
      </c>
      <c r="B811" s="255">
        <v>1</v>
      </c>
      <c r="C811" s="87" t="str">
        <f ca="1">CHOOSE(B811,CUR_Main,CUR_Foreign)</f>
        <v>руб.</v>
      </c>
      <c r="D811" s="16" t="str">
        <f>TEXT(B811,"0")&amp;"_02"</f>
        <v>1_02</v>
      </c>
      <c r="F811" s="53">
        <f t="shared" ref="F811:J811" si="675">F813*F812*PRJ_Step/30</f>
        <v>0</v>
      </c>
      <c r="G811" s="53">
        <f t="shared" si="675"/>
        <v>0</v>
      </c>
      <c r="H811" s="53">
        <f t="shared" si="675"/>
        <v>0</v>
      </c>
      <c r="I811" s="53">
        <f t="shared" si="675"/>
        <v>0</v>
      </c>
      <c r="J811" s="53">
        <f t="shared" si="675"/>
        <v>0</v>
      </c>
      <c r="K811" s="53">
        <f t="shared" ref="K811" si="676">K813*K812*PRJ_Step/30</f>
        <v>0</v>
      </c>
      <c r="M811" s="54">
        <f>SUM(F811:K811)</f>
        <v>0</v>
      </c>
    </row>
    <row r="812" spans="1:13" outlineLevel="1" x14ac:dyDescent="0.2">
      <c r="A812" t="str">
        <f ca="1">Language!A$589</f>
        <v>Количество</v>
      </c>
      <c r="B812" s="271">
        <v>0</v>
      </c>
      <c r="C812" s="5" t="str">
        <f ca="1">Language!A$591</f>
        <v>чел.</v>
      </c>
      <c r="D812" s="16" t="s">
        <v>2209</v>
      </c>
      <c r="F812" s="270">
        <v>0</v>
      </c>
      <c r="G812" s="270">
        <f>IF(SUM($F$636:G$636)&lt;&gt;0,$B812,0)</f>
        <v>0</v>
      </c>
      <c r="H812" s="270">
        <f>IF(SUM($F$636:H$636)&lt;&gt;0,$B812,0)</f>
        <v>0</v>
      </c>
      <c r="I812" s="270">
        <f>IF(SUM($F$636:I$636)&lt;&gt;0,$B812,0)</f>
        <v>0</v>
      </c>
      <c r="J812" s="270">
        <f>IF(SUM($F$636:J$636)&lt;&gt;0,$B812,0)</f>
        <v>0</v>
      </c>
      <c r="K812" s="270">
        <f>IF(SUM($F$636:K$636)&lt;&gt;0,$B812,0)</f>
        <v>0</v>
      </c>
      <c r="M812" s="54"/>
    </row>
    <row r="813" spans="1:13" s="48" customFormat="1" outlineLevel="1" collapsed="1" x14ac:dyDescent="0.2">
      <c r="A813" s="52" t="str">
        <f ca="1">Language!A$588</f>
        <v>Месячный оклад</v>
      </c>
      <c r="B813" s="288">
        <v>0</v>
      </c>
      <c r="C813" s="87" t="str">
        <f ca="1">CHOOSE(B811,CUR_Main,CUR_Foreign)</f>
        <v>руб.</v>
      </c>
      <c r="D813" s="16" t="s">
        <v>176</v>
      </c>
      <c r="F813" s="285">
        <f>B813</f>
        <v>0</v>
      </c>
      <c r="G813" s="285">
        <f t="shared" ref="G813:K813" si="677">F813*IF(CalcMethod=2,1+F815,1)</f>
        <v>0</v>
      </c>
      <c r="H813" s="285">
        <v>0</v>
      </c>
      <c r="I813" s="285">
        <f t="shared" si="677"/>
        <v>0</v>
      </c>
      <c r="J813" s="285">
        <f t="shared" si="677"/>
        <v>0</v>
      </c>
      <c r="K813" s="285">
        <f t="shared" si="677"/>
        <v>0</v>
      </c>
      <c r="M813" s="94"/>
    </row>
    <row r="814" spans="1:13" hidden="1" outlineLevel="2" x14ac:dyDescent="0.2">
      <c r="A814" t="str">
        <f ca="1">Language!A$104</f>
        <v>Предполагаемый темп годового роста цен</v>
      </c>
      <c r="C814" s="5" t="s">
        <v>177</v>
      </c>
      <c r="D814" s="16" t="s">
        <v>176</v>
      </c>
      <c r="F814" s="269">
        <f t="shared" ref="F814:J814" si="678">CHOOSE($B811,F$80,F$91)</f>
        <v>7.0000000000000007E-2</v>
      </c>
      <c r="G814" s="269">
        <f t="shared" si="678"/>
        <v>7.0000000000000007E-2</v>
      </c>
      <c r="H814" s="269">
        <f t="shared" si="678"/>
        <v>7.0000000000000007E-2</v>
      </c>
      <c r="I814" s="269">
        <f t="shared" si="678"/>
        <v>7.0000000000000007E-2</v>
      </c>
      <c r="J814" s="269">
        <f t="shared" si="678"/>
        <v>7.0000000000000007E-2</v>
      </c>
      <c r="K814" s="269">
        <f t="shared" ref="K814" si="679">CHOOSE($B811,K$80,K$91)</f>
        <v>7.0000000000000007E-2</v>
      </c>
      <c r="M814" s="54"/>
    </row>
    <row r="815" spans="1:13" hidden="1" outlineLevel="2" x14ac:dyDescent="0.2">
      <c r="A815" t="str">
        <f ca="1">Language!A$106</f>
        <v>То же, в пересчете на период, равный шагу проекта</v>
      </c>
      <c r="C815" s="5" t="s">
        <v>177</v>
      </c>
      <c r="D815" s="16" t="s">
        <v>176</v>
      </c>
      <c r="F815" s="30">
        <f t="shared" ref="F815:J815" si="680">POWER(1+F814,PRJ_Step/360)-1</f>
        <v>5.6541453874052738E-3</v>
      </c>
      <c r="G815" s="30">
        <f t="shared" si="680"/>
        <v>5.6541453874052738E-3</v>
      </c>
      <c r="H815" s="30">
        <f t="shared" si="680"/>
        <v>5.6541453874052738E-3</v>
      </c>
      <c r="I815" s="30">
        <f t="shared" si="680"/>
        <v>5.6541453874052738E-3</v>
      </c>
      <c r="J815" s="30">
        <f t="shared" si="680"/>
        <v>5.6541453874052738E-3</v>
      </c>
      <c r="K815" s="30">
        <f t="shared" ref="K815" si="681">POWER(1+K814,PRJ_Step/360)-1</f>
        <v>5.6541453874052738E-3</v>
      </c>
      <c r="M815" s="54"/>
    </row>
    <row r="816" spans="1:13" outlineLevel="1" x14ac:dyDescent="0.2">
      <c r="M816" s="54"/>
    </row>
    <row r="817" spans="1:13" outlineLevel="1" x14ac:dyDescent="0.2">
      <c r="A817" s="63"/>
      <c r="B817" s="63"/>
      <c r="C817" s="63"/>
      <c r="D817" s="63"/>
      <c r="E817" s="63"/>
      <c r="F817" s="63"/>
      <c r="G817" s="63"/>
      <c r="H817" s="63"/>
      <c r="I817" s="63"/>
      <c r="J817" s="63"/>
      <c r="K817" s="63"/>
      <c r="L817" s="63"/>
      <c r="M817" s="122"/>
    </row>
    <row r="818" spans="1:13" outlineLevel="1" x14ac:dyDescent="0.2">
      <c r="A818" s="35" t="str">
        <f ca="1">Language!A585</f>
        <v>Административный персонал</v>
      </c>
      <c r="M818" s="54"/>
    </row>
    <row r="819" spans="1:13" outlineLevel="1" x14ac:dyDescent="0.2">
      <c r="B819" s="36" t="str">
        <f ca="1">Language!A$73</f>
        <v>Валюта</v>
      </c>
      <c r="C819" s="88"/>
      <c r="D819">
        <v>1</v>
      </c>
      <c r="E819">
        <v>5</v>
      </c>
      <c r="M819" s="54"/>
    </row>
    <row r="820" spans="1:13" outlineLevel="1" x14ac:dyDescent="0.2">
      <c r="A820" s="274" t="s">
        <v>2687</v>
      </c>
      <c r="B820" s="255">
        <v>1</v>
      </c>
      <c r="C820" s="87" t="str">
        <f ca="1">CHOOSE(B820,CUR_Main,CUR_Foreign)</f>
        <v>руб.</v>
      </c>
      <c r="D820" s="16" t="str">
        <f>TEXT(B820,"0")&amp;"_03"</f>
        <v>1_03</v>
      </c>
      <c r="F820" s="53">
        <f t="shared" ref="F820:J820" si="682">F822*F821*PRJ_Step/30</f>
        <v>0</v>
      </c>
      <c r="G820" s="53">
        <f t="shared" si="682"/>
        <v>0</v>
      </c>
      <c r="H820" s="53">
        <f t="shared" si="682"/>
        <v>0</v>
      </c>
      <c r="I820" s="53">
        <f t="shared" si="682"/>
        <v>0</v>
      </c>
      <c r="J820" s="53">
        <f t="shared" si="682"/>
        <v>0</v>
      </c>
      <c r="K820" s="53">
        <f t="shared" ref="K820" si="683">K822*K821*PRJ_Step/30</f>
        <v>0</v>
      </c>
      <c r="M820" s="54">
        <f>SUM(F820:K820)</f>
        <v>0</v>
      </c>
    </row>
    <row r="821" spans="1:13" outlineLevel="1" x14ac:dyDescent="0.2">
      <c r="A821" t="str">
        <f ca="1">Language!A$589</f>
        <v>Количество</v>
      </c>
      <c r="B821" s="271">
        <v>2</v>
      </c>
      <c r="C821" s="5" t="str">
        <f ca="1">Language!A$591</f>
        <v>чел.</v>
      </c>
      <c r="D821" s="16" t="s">
        <v>2209</v>
      </c>
      <c r="F821" s="270">
        <v>0</v>
      </c>
      <c r="G821" s="270">
        <v>0</v>
      </c>
      <c r="H821" s="270">
        <v>0</v>
      </c>
      <c r="I821" s="270">
        <v>0</v>
      </c>
      <c r="J821" s="270">
        <v>0</v>
      </c>
      <c r="K821" s="270">
        <v>0</v>
      </c>
      <c r="M821" s="54"/>
    </row>
    <row r="822" spans="1:13" s="48" customFormat="1" outlineLevel="1" collapsed="1" x14ac:dyDescent="0.2">
      <c r="A822" s="52" t="str">
        <f ca="1">Language!A$588</f>
        <v>Месячный оклад</v>
      </c>
      <c r="B822" s="288">
        <v>0</v>
      </c>
      <c r="C822" s="87" t="str">
        <f ca="1">CHOOSE(B820,CUR_Main,CUR_Foreign)</f>
        <v>руб.</v>
      </c>
      <c r="D822" s="16" t="s">
        <v>176</v>
      </c>
      <c r="F822" s="276">
        <v>0</v>
      </c>
      <c r="G822" s="276">
        <v>0</v>
      </c>
      <c r="H822" s="276">
        <v>0</v>
      </c>
      <c r="I822" s="276">
        <v>0</v>
      </c>
      <c r="J822" s="276">
        <v>0</v>
      </c>
      <c r="K822" s="276">
        <v>0</v>
      </c>
      <c r="M822" s="94"/>
    </row>
    <row r="823" spans="1:13" hidden="1" outlineLevel="2" x14ac:dyDescent="0.2">
      <c r="A823" t="str">
        <f ca="1">Language!A$104</f>
        <v>Предполагаемый темп годового роста цен</v>
      </c>
      <c r="C823" s="5" t="s">
        <v>177</v>
      </c>
      <c r="D823" s="16" t="s">
        <v>176</v>
      </c>
      <c r="F823" s="269">
        <f t="shared" ref="F823:J823" si="684">CHOOSE($B820,F$80,F$91)</f>
        <v>7.0000000000000007E-2</v>
      </c>
      <c r="G823" s="269">
        <f t="shared" si="684"/>
        <v>7.0000000000000007E-2</v>
      </c>
      <c r="H823" s="269">
        <f t="shared" si="684"/>
        <v>7.0000000000000007E-2</v>
      </c>
      <c r="I823" s="269">
        <f t="shared" si="684"/>
        <v>7.0000000000000007E-2</v>
      </c>
      <c r="J823" s="269">
        <f t="shared" si="684"/>
        <v>7.0000000000000007E-2</v>
      </c>
      <c r="K823" s="269">
        <f t="shared" ref="K823" si="685">CHOOSE($B820,K$80,K$91)</f>
        <v>7.0000000000000007E-2</v>
      </c>
      <c r="M823" s="54"/>
    </row>
    <row r="824" spans="1:13" hidden="1" outlineLevel="2" x14ac:dyDescent="0.2">
      <c r="A824" t="str">
        <f ca="1">Language!A$106</f>
        <v>То же, в пересчете на период, равный шагу проекта</v>
      </c>
      <c r="C824" s="5" t="s">
        <v>177</v>
      </c>
      <c r="D824" s="16" t="s">
        <v>176</v>
      </c>
      <c r="F824" s="30">
        <f t="shared" ref="F824:J824" si="686">POWER(1+F823,PRJ_Step/360)-1</f>
        <v>5.6541453874052738E-3</v>
      </c>
      <c r="G824" s="30">
        <f t="shared" si="686"/>
        <v>5.6541453874052738E-3</v>
      </c>
      <c r="H824" s="30">
        <f t="shared" si="686"/>
        <v>5.6541453874052738E-3</v>
      </c>
      <c r="I824" s="30">
        <f t="shared" si="686"/>
        <v>5.6541453874052738E-3</v>
      </c>
      <c r="J824" s="30">
        <f t="shared" si="686"/>
        <v>5.6541453874052738E-3</v>
      </c>
      <c r="K824" s="30">
        <f t="shared" ref="K824" si="687">POWER(1+K823,PRJ_Step/360)-1</f>
        <v>5.6541453874052738E-3</v>
      </c>
      <c r="M824" s="54"/>
    </row>
    <row r="825" spans="1:13" outlineLevel="1" x14ac:dyDescent="0.2">
      <c r="M825" s="54"/>
    </row>
    <row r="826" spans="1:13" outlineLevel="1" x14ac:dyDescent="0.2">
      <c r="A826" s="63"/>
      <c r="B826" s="63"/>
      <c r="C826" s="63"/>
      <c r="D826" s="63"/>
      <c r="E826" s="63"/>
      <c r="F826" s="63"/>
      <c r="G826" s="63"/>
      <c r="H826" s="63"/>
      <c r="I826" s="63"/>
      <c r="J826" s="63"/>
      <c r="K826" s="63"/>
      <c r="L826" s="63"/>
      <c r="M826" s="122"/>
    </row>
    <row r="827" spans="1:13" outlineLevel="1" x14ac:dyDescent="0.2">
      <c r="A827" s="35" t="str">
        <f ca="1">Language!A586</f>
        <v>Коммерческий персонал</v>
      </c>
      <c r="M827" s="54"/>
    </row>
    <row r="828" spans="1:13" outlineLevel="1" x14ac:dyDescent="0.2">
      <c r="B828" s="36" t="str">
        <f ca="1">Language!A$73</f>
        <v>Валюта</v>
      </c>
      <c r="C828" s="88"/>
      <c r="D828">
        <v>2</v>
      </c>
      <c r="E828">
        <v>5</v>
      </c>
      <c r="M828" s="54"/>
    </row>
    <row r="829" spans="1:13" outlineLevel="1" x14ac:dyDescent="0.2">
      <c r="A829" s="274" t="s">
        <v>2677</v>
      </c>
      <c r="B829" s="255">
        <v>1</v>
      </c>
      <c r="C829" s="87" t="str">
        <f ca="1">CHOOSE(B829,CUR_Main,CUR_Foreign)</f>
        <v>руб.</v>
      </c>
      <c r="D829" s="16" t="str">
        <f>TEXT(B829,"0")&amp;"_04"</f>
        <v>1_04</v>
      </c>
      <c r="F829" s="53">
        <f t="shared" ref="F829:J829" si="688">F831*F830*PRJ_Step/30</f>
        <v>0</v>
      </c>
      <c r="G829" s="53">
        <f t="shared" si="688"/>
        <v>0</v>
      </c>
      <c r="H829" s="53">
        <f t="shared" si="688"/>
        <v>0</v>
      </c>
      <c r="I829" s="53">
        <f t="shared" si="688"/>
        <v>0</v>
      </c>
      <c r="J829" s="53">
        <f t="shared" si="688"/>
        <v>0</v>
      </c>
      <c r="K829" s="53">
        <f t="shared" ref="K829" si="689">K831*K830*PRJ_Step/30</f>
        <v>0</v>
      </c>
      <c r="M829" s="54">
        <f>SUM(F829:K829)</f>
        <v>0</v>
      </c>
    </row>
    <row r="830" spans="1:13" outlineLevel="1" x14ac:dyDescent="0.2">
      <c r="A830" t="str">
        <f ca="1">Language!A$589</f>
        <v>Количество</v>
      </c>
      <c r="B830" s="271">
        <v>3</v>
      </c>
      <c r="C830" s="5" t="str">
        <f ca="1">Language!A$591</f>
        <v>чел.</v>
      </c>
      <c r="D830" s="16" t="s">
        <v>2209</v>
      </c>
      <c r="F830" s="270">
        <v>0</v>
      </c>
      <c r="G830" s="270">
        <v>0</v>
      </c>
      <c r="H830" s="270">
        <v>0</v>
      </c>
      <c r="I830" s="270">
        <v>0</v>
      </c>
      <c r="J830" s="270">
        <v>0</v>
      </c>
      <c r="K830" s="270">
        <v>0</v>
      </c>
      <c r="M830" s="54"/>
    </row>
    <row r="831" spans="1:13" s="48" customFormat="1" outlineLevel="1" collapsed="1" x14ac:dyDescent="0.2">
      <c r="A831" s="52" t="str">
        <f ca="1">Language!A$588</f>
        <v>Месячный оклад</v>
      </c>
      <c r="B831" s="288">
        <v>50000</v>
      </c>
      <c r="C831" s="87" t="str">
        <f ca="1">CHOOSE(B829,CUR_Main,CUR_Foreign)</f>
        <v>руб.</v>
      </c>
      <c r="D831" s="16" t="s">
        <v>176</v>
      </c>
      <c r="F831" s="285">
        <v>0</v>
      </c>
      <c r="G831" s="285">
        <f t="shared" ref="G831:K831" si="690">F831*IF(CalcMethod=2,1+F833,1)</f>
        <v>0</v>
      </c>
      <c r="H831" s="285">
        <f t="shared" si="690"/>
        <v>0</v>
      </c>
      <c r="I831" s="285">
        <f t="shared" si="690"/>
        <v>0</v>
      </c>
      <c r="J831" s="285">
        <f t="shared" si="690"/>
        <v>0</v>
      </c>
      <c r="K831" s="285">
        <f t="shared" si="690"/>
        <v>0</v>
      </c>
      <c r="M831" s="94"/>
    </row>
    <row r="832" spans="1:13" hidden="1" outlineLevel="2" x14ac:dyDescent="0.2">
      <c r="A832" t="str">
        <f ca="1">Language!A$104</f>
        <v>Предполагаемый темп годового роста цен</v>
      </c>
      <c r="C832" s="5" t="s">
        <v>177</v>
      </c>
      <c r="D832" s="16" t="s">
        <v>176</v>
      </c>
      <c r="F832" s="269">
        <f t="shared" ref="F832:J832" si="691">CHOOSE($B829,F$80,F$91)</f>
        <v>7.0000000000000007E-2</v>
      </c>
      <c r="G832" s="269">
        <f t="shared" si="691"/>
        <v>7.0000000000000007E-2</v>
      </c>
      <c r="H832" s="269">
        <f t="shared" si="691"/>
        <v>7.0000000000000007E-2</v>
      </c>
      <c r="I832" s="269">
        <f t="shared" si="691"/>
        <v>7.0000000000000007E-2</v>
      </c>
      <c r="J832" s="269">
        <f t="shared" si="691"/>
        <v>7.0000000000000007E-2</v>
      </c>
      <c r="K832" s="269">
        <f t="shared" ref="K832" si="692">CHOOSE($B829,K$80,K$91)</f>
        <v>7.0000000000000007E-2</v>
      </c>
      <c r="M832" s="54"/>
    </row>
    <row r="833" spans="1:13" hidden="1" outlineLevel="2" x14ac:dyDescent="0.2">
      <c r="A833" t="str">
        <f ca="1">Language!A$106</f>
        <v>То же, в пересчете на период, равный шагу проекта</v>
      </c>
      <c r="C833" s="5" t="s">
        <v>177</v>
      </c>
      <c r="D833" s="16" t="s">
        <v>176</v>
      </c>
      <c r="F833" s="30">
        <f t="shared" ref="F833:J833" si="693">POWER(1+F832,PRJ_Step/360)-1</f>
        <v>5.6541453874052738E-3</v>
      </c>
      <c r="G833" s="30">
        <f t="shared" si="693"/>
        <v>5.6541453874052738E-3</v>
      </c>
      <c r="H833" s="30">
        <f t="shared" si="693"/>
        <v>5.6541453874052738E-3</v>
      </c>
      <c r="I833" s="30">
        <f t="shared" si="693"/>
        <v>5.6541453874052738E-3</v>
      </c>
      <c r="J833" s="30">
        <f t="shared" si="693"/>
        <v>5.6541453874052738E-3</v>
      </c>
      <c r="K833" s="30">
        <f t="shared" ref="K833" si="694">POWER(1+K832,PRJ_Step/360)-1</f>
        <v>5.6541453874052738E-3</v>
      </c>
      <c r="M833" s="54"/>
    </row>
    <row r="834" spans="1:13" outlineLevel="1" x14ac:dyDescent="0.2">
      <c r="A834" s="274" t="s">
        <v>2699</v>
      </c>
      <c r="B834" s="255">
        <v>1</v>
      </c>
      <c r="C834" s="87" t="str">
        <f ca="1">CHOOSE(B834,CUR_Main,CUR_Foreign)</f>
        <v>руб.</v>
      </c>
      <c r="D834" s="16" t="str">
        <f>TEXT(B834,"0")&amp;"_04"</f>
        <v>1_04</v>
      </c>
      <c r="F834" s="53">
        <f t="shared" ref="F834:K834" si="695">F836*F835*PRJ_Step/30</f>
        <v>35000</v>
      </c>
      <c r="G834" s="53">
        <f t="shared" si="695"/>
        <v>35000</v>
      </c>
      <c r="H834" s="53">
        <f t="shared" si="695"/>
        <v>35000</v>
      </c>
      <c r="I834" s="53">
        <f t="shared" si="695"/>
        <v>35000</v>
      </c>
      <c r="J834" s="53">
        <f t="shared" si="695"/>
        <v>35000</v>
      </c>
      <c r="K834" s="53">
        <f t="shared" si="695"/>
        <v>35000</v>
      </c>
      <c r="M834" s="54">
        <f>SUM(F834:K834)</f>
        <v>210000</v>
      </c>
    </row>
    <row r="835" spans="1:13" outlineLevel="1" x14ac:dyDescent="0.2">
      <c r="A835" t="str">
        <f ca="1">Language!A$589</f>
        <v>Количество</v>
      </c>
      <c r="B835" s="271">
        <v>3</v>
      </c>
      <c r="C835" s="5" t="str">
        <f ca="1">Language!A$591</f>
        <v>чел.</v>
      </c>
      <c r="D835" s="16" t="s">
        <v>2209</v>
      </c>
      <c r="F835" s="270">
        <v>1</v>
      </c>
      <c r="G835" s="270">
        <v>1</v>
      </c>
      <c r="H835" s="270">
        <v>1</v>
      </c>
      <c r="I835" s="270">
        <v>1</v>
      </c>
      <c r="J835" s="270">
        <v>1</v>
      </c>
      <c r="K835" s="270">
        <v>1</v>
      </c>
      <c r="M835" s="54"/>
    </row>
    <row r="836" spans="1:13" s="48" customFormat="1" outlineLevel="1" collapsed="1" x14ac:dyDescent="0.2">
      <c r="A836" s="52" t="str">
        <f ca="1">Language!A$588</f>
        <v>Месячный оклад</v>
      </c>
      <c r="B836" s="288">
        <v>50000</v>
      </c>
      <c r="C836" s="87" t="str">
        <f ca="1">CHOOSE(B834,CUR_Main,CUR_Foreign)</f>
        <v>руб.</v>
      </c>
      <c r="D836" s="16" t="s">
        <v>176</v>
      </c>
      <c r="F836" s="285">
        <v>35000</v>
      </c>
      <c r="G836" s="285">
        <f t="shared" ref="G836" si="696">F836*IF(CalcMethod=2,1+F838,1)</f>
        <v>35000</v>
      </c>
      <c r="H836" s="285">
        <f t="shared" ref="H836" si="697">G836*IF(CalcMethod=2,1+G838,1)</f>
        <v>35000</v>
      </c>
      <c r="I836" s="285">
        <f t="shared" ref="I836" si="698">H836*IF(CalcMethod=2,1+H838,1)</f>
        <v>35000</v>
      </c>
      <c r="J836" s="285">
        <f t="shared" ref="J836" si="699">I836*IF(CalcMethod=2,1+I838,1)</f>
        <v>35000</v>
      </c>
      <c r="K836" s="285">
        <f t="shared" ref="K836" si="700">J836*IF(CalcMethod=2,1+J838,1)</f>
        <v>35000</v>
      </c>
      <c r="M836" s="94"/>
    </row>
    <row r="837" spans="1:13" hidden="1" outlineLevel="2" x14ac:dyDescent="0.2">
      <c r="A837" t="str">
        <f ca="1">Language!A$104</f>
        <v>Предполагаемый темп годового роста цен</v>
      </c>
      <c r="C837" s="5" t="s">
        <v>177</v>
      </c>
      <c r="D837" s="16" t="s">
        <v>176</v>
      </c>
      <c r="F837" s="269">
        <f t="shared" ref="F837:K837" si="701">CHOOSE($B834,F$80,F$91)</f>
        <v>7.0000000000000007E-2</v>
      </c>
      <c r="G837" s="269">
        <f t="shared" si="701"/>
        <v>7.0000000000000007E-2</v>
      </c>
      <c r="H837" s="269">
        <f t="shared" si="701"/>
        <v>7.0000000000000007E-2</v>
      </c>
      <c r="I837" s="269">
        <f t="shared" si="701"/>
        <v>7.0000000000000007E-2</v>
      </c>
      <c r="J837" s="269">
        <f t="shared" si="701"/>
        <v>7.0000000000000007E-2</v>
      </c>
      <c r="K837" s="269">
        <f t="shared" si="701"/>
        <v>7.0000000000000007E-2</v>
      </c>
      <c r="M837" s="54"/>
    </row>
    <row r="838" spans="1:13" hidden="1" outlineLevel="2" x14ac:dyDescent="0.2">
      <c r="A838" t="str">
        <f ca="1">Language!A$106</f>
        <v>То же, в пересчете на период, равный шагу проекта</v>
      </c>
      <c r="C838" s="5" t="s">
        <v>177</v>
      </c>
      <c r="D838" s="16" t="s">
        <v>176</v>
      </c>
      <c r="F838" s="30">
        <f t="shared" ref="F838:K838" si="702">POWER(1+F837,PRJ_Step/360)-1</f>
        <v>5.6541453874052738E-3</v>
      </c>
      <c r="G838" s="30">
        <f t="shared" si="702"/>
        <v>5.6541453874052738E-3</v>
      </c>
      <c r="H838" s="30">
        <f t="shared" si="702"/>
        <v>5.6541453874052738E-3</v>
      </c>
      <c r="I838" s="30">
        <f t="shared" si="702"/>
        <v>5.6541453874052738E-3</v>
      </c>
      <c r="J838" s="30">
        <f t="shared" si="702"/>
        <v>5.6541453874052738E-3</v>
      </c>
      <c r="K838" s="30">
        <f t="shared" si="702"/>
        <v>5.6541453874052738E-3</v>
      </c>
      <c r="M838" s="54"/>
    </row>
    <row r="839" spans="1:13" outlineLevel="1" x14ac:dyDescent="0.2">
      <c r="M839" s="54"/>
    </row>
    <row r="840" spans="1:13" outlineLevel="1" x14ac:dyDescent="0.2">
      <c r="A840" s="63"/>
      <c r="B840" s="63"/>
      <c r="C840" s="63"/>
      <c r="D840" s="63"/>
      <c r="E840" s="63"/>
      <c r="F840" s="63"/>
      <c r="G840" s="63"/>
      <c r="H840" s="63"/>
      <c r="I840" s="63"/>
      <c r="J840" s="63"/>
      <c r="K840" s="63"/>
      <c r="L840" s="63"/>
      <c r="M840" s="122"/>
    </row>
    <row r="841" spans="1:13" outlineLevel="1" collapsed="1" x14ac:dyDescent="0.2">
      <c r="A841" s="35" t="str">
        <f ca="1">Language!A547</f>
        <v xml:space="preserve"> = Итого</v>
      </c>
      <c r="C841" s="5" t="str">
        <f ca="1">CUR_Main</f>
        <v>руб.</v>
      </c>
      <c r="F841" s="89">
        <f t="shared" ref="F841:J841" si="703">SUM(F842:F845)</f>
        <v>625000</v>
      </c>
      <c r="G841" s="89">
        <f t="shared" si="703"/>
        <v>765000</v>
      </c>
      <c r="H841" s="89">
        <f t="shared" si="703"/>
        <v>905000</v>
      </c>
      <c r="I841" s="89">
        <f t="shared" si="703"/>
        <v>975000</v>
      </c>
      <c r="J841" s="89">
        <f t="shared" si="703"/>
        <v>975000</v>
      </c>
      <c r="K841" s="89">
        <f t="shared" ref="K841" si="704">SUM(K842:K845)</f>
        <v>975000</v>
      </c>
      <c r="M841" s="57">
        <f>SUM(F841:K841)</f>
        <v>5220000</v>
      </c>
    </row>
    <row r="842" spans="1:13" hidden="1" outlineLevel="2" x14ac:dyDescent="0.2">
      <c r="A842" t="str">
        <f ca="1">Language!A583</f>
        <v>Основной производственный персонал</v>
      </c>
      <c r="C842" s="5" t="str">
        <f ca="1">CUR_Main</f>
        <v>руб.</v>
      </c>
      <c r="F842" s="53">
        <f t="shared" ref="F842:J842" si="705">SUMIF($D785:$D840,"*1_01*",F785:F840)+SUMIF($D785:$D840,"*2_01*",F785:F840)*F$88</f>
        <v>590000</v>
      </c>
      <c r="G842" s="53">
        <f t="shared" si="705"/>
        <v>730000</v>
      </c>
      <c r="H842" s="53">
        <f t="shared" si="705"/>
        <v>870000</v>
      </c>
      <c r="I842" s="53">
        <f t="shared" si="705"/>
        <v>940000</v>
      </c>
      <c r="J842" s="53">
        <f t="shared" si="705"/>
        <v>940000</v>
      </c>
      <c r="K842" s="53">
        <f t="shared" ref="K842" si="706">SUMIF($D785:$D840,"*1_01*",K785:K840)+SUMIF($D785:$D840,"*2_01*",K785:K840)*K$88</f>
        <v>940000</v>
      </c>
      <c r="M842" s="54">
        <f>SUM(F842:K842)</f>
        <v>5010000</v>
      </c>
    </row>
    <row r="843" spans="1:13" hidden="1" outlineLevel="2" x14ac:dyDescent="0.2">
      <c r="A843" t="str">
        <f ca="1">Language!A584</f>
        <v>Вспомогательный производственный персонал</v>
      </c>
      <c r="C843" s="5" t="str">
        <f ca="1">CUR_Main</f>
        <v>руб.</v>
      </c>
      <c r="F843" s="53">
        <f t="shared" ref="F843:J843" si="707">SUMIF($D785:$D840,"*1_02*",F785:F840)+SUMIF($D785:$D840,"*2_02*",F785:F840)*F$88</f>
        <v>0</v>
      </c>
      <c r="G843" s="53">
        <f t="shared" si="707"/>
        <v>0</v>
      </c>
      <c r="H843" s="53">
        <f t="shared" si="707"/>
        <v>0</v>
      </c>
      <c r="I843" s="53">
        <f t="shared" si="707"/>
        <v>0</v>
      </c>
      <c r="J843" s="53">
        <f t="shared" si="707"/>
        <v>0</v>
      </c>
      <c r="K843" s="53">
        <f t="shared" ref="K843" si="708">SUMIF($D785:$D840,"*1_02*",K785:K840)+SUMIF($D785:$D840,"*2_02*",K785:K840)*K$88</f>
        <v>0</v>
      </c>
      <c r="M843" s="54">
        <f>SUM(F843:K843)</f>
        <v>0</v>
      </c>
    </row>
    <row r="844" spans="1:13" hidden="1" outlineLevel="2" x14ac:dyDescent="0.2">
      <c r="A844" t="str">
        <f ca="1">Language!A585</f>
        <v>Административный персонал</v>
      </c>
      <c r="C844" s="5" t="str">
        <f ca="1">CUR_Main</f>
        <v>руб.</v>
      </c>
      <c r="F844" s="53">
        <f t="shared" ref="F844:J844" si="709">SUMIF($D785:$D840,"*1_03*",F785:F840)+SUMIF($D785:$D840,"*2_03*",F785:F840)*F$88</f>
        <v>0</v>
      </c>
      <c r="G844" s="53">
        <f t="shared" si="709"/>
        <v>0</v>
      </c>
      <c r="H844" s="53">
        <f t="shared" si="709"/>
        <v>0</v>
      </c>
      <c r="I844" s="53">
        <f t="shared" si="709"/>
        <v>0</v>
      </c>
      <c r="J844" s="53">
        <f t="shared" si="709"/>
        <v>0</v>
      </c>
      <c r="K844" s="53">
        <f t="shared" ref="K844" si="710">SUMIF($D785:$D840,"*1_03*",K785:K840)+SUMIF($D785:$D840,"*2_03*",K785:K840)*K$88</f>
        <v>0</v>
      </c>
      <c r="M844" s="54">
        <f>SUM(F844:K844)</f>
        <v>0</v>
      </c>
    </row>
    <row r="845" spans="1:13" hidden="1" outlineLevel="2" x14ac:dyDescent="0.2">
      <c r="A845" t="str">
        <f ca="1">Language!A586</f>
        <v>Коммерческий персонал</v>
      </c>
      <c r="C845" s="5" t="str">
        <f ca="1">CUR_Main</f>
        <v>руб.</v>
      </c>
      <c r="F845" s="53">
        <f t="shared" ref="F845:J845" si="711">SUMIF($D785:$D840,"*1_04*",F785:F840)+SUMIF($D785:$D840,"*2_04*",F785:F840)*F$88</f>
        <v>35000</v>
      </c>
      <c r="G845" s="53">
        <f t="shared" si="711"/>
        <v>35000</v>
      </c>
      <c r="H845" s="53">
        <f t="shared" si="711"/>
        <v>35000</v>
      </c>
      <c r="I845" s="53">
        <f t="shared" si="711"/>
        <v>35000</v>
      </c>
      <c r="J845" s="53">
        <f t="shared" si="711"/>
        <v>35000</v>
      </c>
      <c r="K845" s="53">
        <f t="shared" ref="K845" si="712">SUMIF($D785:$D840,"*1_04*",K785:K840)+SUMIF($D785:$D840,"*2_04*",K785:K840)*K$88</f>
        <v>35000</v>
      </c>
      <c r="M845" s="54">
        <f>SUM(F845:K845)</f>
        <v>210000</v>
      </c>
    </row>
    <row r="846" spans="1:13" outlineLevel="1" x14ac:dyDescent="0.2">
      <c r="M846" s="54"/>
    </row>
    <row r="847" spans="1:13" outlineLevel="1" collapsed="1" x14ac:dyDescent="0.2">
      <c r="A847" s="35" t="str">
        <f ca="1">Language!A592</f>
        <v>Начисленный ЕСН и страхование</v>
      </c>
      <c r="C847" s="5" t="str">
        <f ca="1">CUR_Main</f>
        <v>руб.</v>
      </c>
      <c r="F847" s="56">
        <f t="shared" ref="F847:J847" si="713">SUM(F848:F851)</f>
        <v>87500.000000000015</v>
      </c>
      <c r="G847" s="56">
        <f t="shared" si="713"/>
        <v>107100.00000000001</v>
      </c>
      <c r="H847" s="56">
        <f t="shared" si="713"/>
        <v>126700.00000000001</v>
      </c>
      <c r="I847" s="56">
        <f t="shared" si="713"/>
        <v>136500</v>
      </c>
      <c r="J847" s="56">
        <f t="shared" si="713"/>
        <v>136500</v>
      </c>
      <c r="K847" s="56">
        <f t="shared" ref="K847" si="714">SUM(K848:K851)</f>
        <v>136500</v>
      </c>
      <c r="M847" s="57">
        <f>SUM(F847:K847)</f>
        <v>730800</v>
      </c>
    </row>
    <row r="848" spans="1:13" hidden="1" outlineLevel="2" x14ac:dyDescent="0.2">
      <c r="A848" t="str">
        <f ca="1">Language!A593</f>
        <v xml:space="preserve">    - на зарплату основного произв. персонала</v>
      </c>
      <c r="C848" s="5" t="str">
        <f ca="1">CUR_Main</f>
        <v>руб.</v>
      </c>
      <c r="F848" s="84">
        <f t="shared" ref="F848:J848" si="715">F842*(F138+F141+F205+F224)</f>
        <v>82600.000000000015</v>
      </c>
      <c r="G848" s="84">
        <f t="shared" si="715"/>
        <v>102200.00000000001</v>
      </c>
      <c r="H848" s="84">
        <f t="shared" si="715"/>
        <v>121800.00000000001</v>
      </c>
      <c r="I848" s="84">
        <f t="shared" si="715"/>
        <v>131600</v>
      </c>
      <c r="J848" s="84">
        <f t="shared" si="715"/>
        <v>131600</v>
      </c>
      <c r="K848" s="84">
        <f t="shared" ref="K848" si="716">K842*(K138+K141+K205+K224)</f>
        <v>131600</v>
      </c>
      <c r="M848" s="54">
        <f>SUM(F848:K848)</f>
        <v>701400</v>
      </c>
    </row>
    <row r="849" spans="1:13" hidden="1" outlineLevel="2" x14ac:dyDescent="0.2">
      <c r="A849" t="str">
        <f ca="1">Language!A594</f>
        <v xml:space="preserve">    - на зарплату вспомогательного произв. персонала</v>
      </c>
      <c r="C849" s="5" t="str">
        <f ca="1">CUR_Main</f>
        <v>руб.</v>
      </c>
      <c r="F849" s="84">
        <f t="shared" ref="F849:J849" si="717">F843*(F138+F141+F205+F224)</f>
        <v>0</v>
      </c>
      <c r="G849" s="84">
        <f t="shared" si="717"/>
        <v>0</v>
      </c>
      <c r="H849" s="84">
        <f t="shared" si="717"/>
        <v>0</v>
      </c>
      <c r="I849" s="84">
        <f t="shared" si="717"/>
        <v>0</v>
      </c>
      <c r="J849" s="84">
        <f t="shared" si="717"/>
        <v>0</v>
      </c>
      <c r="K849" s="84">
        <f t="shared" ref="K849" si="718">K843*(K138+K141+K205+K224)</f>
        <v>0</v>
      </c>
      <c r="M849" s="54">
        <f>SUM(F849:K849)</f>
        <v>0</v>
      </c>
    </row>
    <row r="850" spans="1:13" hidden="1" outlineLevel="2" x14ac:dyDescent="0.2">
      <c r="A850" t="str">
        <f ca="1">Language!A595</f>
        <v xml:space="preserve">    - на зарплату административного персонала</v>
      </c>
      <c r="C850" s="5" t="str">
        <f ca="1">CUR_Main</f>
        <v>руб.</v>
      </c>
      <c r="F850" s="84">
        <f t="shared" ref="F850:J850" si="719">F844*(F138+F141+F205+F224)</f>
        <v>0</v>
      </c>
      <c r="G850" s="84">
        <f t="shared" si="719"/>
        <v>0</v>
      </c>
      <c r="H850" s="84">
        <f t="shared" si="719"/>
        <v>0</v>
      </c>
      <c r="I850" s="84">
        <f t="shared" si="719"/>
        <v>0</v>
      </c>
      <c r="J850" s="84">
        <f t="shared" si="719"/>
        <v>0</v>
      </c>
      <c r="K850" s="84">
        <f t="shared" ref="K850" si="720">K844*(K138+K141+K205+K224)</f>
        <v>0</v>
      </c>
      <c r="M850" s="54">
        <f>SUM(F850:K850)</f>
        <v>0</v>
      </c>
    </row>
    <row r="851" spans="1:13" hidden="1" outlineLevel="2" x14ac:dyDescent="0.2">
      <c r="A851" t="str">
        <f ca="1">Language!A596</f>
        <v xml:space="preserve">    - на зарплату коммерческого персонала</v>
      </c>
      <c r="C851" s="5" t="str">
        <f ca="1">CUR_Main</f>
        <v>руб.</v>
      </c>
      <c r="F851" s="84">
        <f t="shared" ref="F851:J851" si="721">F845*(F138+F141+F205+F224)</f>
        <v>4900.0000000000009</v>
      </c>
      <c r="G851" s="84">
        <f t="shared" si="721"/>
        <v>4900.0000000000009</v>
      </c>
      <c r="H851" s="84">
        <f t="shared" si="721"/>
        <v>4900.0000000000009</v>
      </c>
      <c r="I851" s="84">
        <f t="shared" si="721"/>
        <v>4900.0000000000009</v>
      </c>
      <c r="J851" s="84">
        <f t="shared" si="721"/>
        <v>4900.0000000000009</v>
      </c>
      <c r="K851" s="84">
        <f t="shared" ref="K851" si="722">K845*(K138+K141+K205+K224)</f>
        <v>4900.0000000000009</v>
      </c>
      <c r="M851" s="54">
        <f>SUM(F851:K851)</f>
        <v>29400.000000000004</v>
      </c>
    </row>
    <row r="852" spans="1:13" outlineLevel="1" x14ac:dyDescent="0.2">
      <c r="M852" s="54"/>
    </row>
    <row r="853" spans="1:13" outlineLevel="1" x14ac:dyDescent="0.2">
      <c r="A853" s="35" t="str">
        <f ca="1">Language!A597</f>
        <v>Расходы на зарплату с учетом ЕСН и страхования</v>
      </c>
      <c r="C853" s="5" t="str">
        <f ca="1">CUR_Main</f>
        <v>руб.</v>
      </c>
      <c r="F853" s="58">
        <f t="shared" ref="F853:J853" si="723">F841+F847</f>
        <v>712500</v>
      </c>
      <c r="G853" s="58">
        <f t="shared" si="723"/>
        <v>872100</v>
      </c>
      <c r="H853" s="58">
        <f t="shared" si="723"/>
        <v>1031700</v>
      </c>
      <c r="I853" s="58">
        <f t="shared" si="723"/>
        <v>1111500</v>
      </c>
      <c r="J853" s="58">
        <f t="shared" si="723"/>
        <v>1111500</v>
      </c>
      <c r="K853" s="58">
        <f t="shared" ref="K853" si="724">K841+K847</f>
        <v>1111500</v>
      </c>
      <c r="M853" s="57">
        <f>SUM(F853:K853)</f>
        <v>5950800</v>
      </c>
    </row>
    <row r="854" spans="1:13" outlineLevel="1" x14ac:dyDescent="0.2">
      <c r="A854" s="35"/>
      <c r="C854" s="5"/>
      <c r="F854" s="58"/>
      <c r="G854" s="58"/>
      <c r="H854" s="58"/>
      <c r="I854" s="58"/>
      <c r="J854" s="58"/>
      <c r="K854" s="58"/>
      <c r="M854" s="57"/>
    </row>
    <row r="855" spans="1:13" s="11" customFormat="1" outlineLevel="1" x14ac:dyDescent="0.2">
      <c r="A855" s="11" t="str">
        <f ca="1">Language!A587</f>
        <v>Общая численность персонала</v>
      </c>
      <c r="C855" s="36" t="str">
        <f ca="1">Language!A591</f>
        <v>чел.</v>
      </c>
      <c r="D855" s="90" t="s">
        <v>176</v>
      </c>
      <c r="F855" s="91">
        <f t="shared" ref="F855:J855" si="725">SUMIF($D785:$D840,"*qnt*",F785:F840)</f>
        <v>4</v>
      </c>
      <c r="G855" s="91">
        <f t="shared" si="725"/>
        <v>5</v>
      </c>
      <c r="H855" s="91">
        <f t="shared" si="725"/>
        <v>6</v>
      </c>
      <c r="I855" s="91">
        <f t="shared" si="725"/>
        <v>7</v>
      </c>
      <c r="J855" s="91">
        <f t="shared" si="725"/>
        <v>7</v>
      </c>
      <c r="K855" s="91">
        <f t="shared" ref="K855" si="726">SUMIF($D785:$D840,"*qnt*",K785:K840)</f>
        <v>7</v>
      </c>
      <c r="M855" s="54"/>
    </row>
    <row r="856" spans="1:13" outlineLevel="1" x14ac:dyDescent="0.2">
      <c r="A856" s="63"/>
      <c r="B856" s="63"/>
      <c r="C856" s="63"/>
      <c r="D856" s="63"/>
      <c r="E856" s="63"/>
      <c r="F856" s="63"/>
      <c r="G856" s="63"/>
      <c r="H856" s="63"/>
      <c r="I856" s="63"/>
      <c r="J856" s="63"/>
      <c r="K856" s="63"/>
      <c r="L856" s="63"/>
      <c r="M856" s="64"/>
    </row>
    <row r="857" spans="1:13" outlineLevel="1" x14ac:dyDescent="0.2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22"/>
    </row>
    <row r="858" spans="1:13" s="4" customFormat="1" ht="15.9" customHeight="1" thickBot="1" x14ac:dyDescent="0.25">
      <c r="A858" s="166" t="str">
        <f ca="1">Language!A598</f>
        <v xml:space="preserve">         ТЕКУЩИЕ ЗАТРАТЫ</v>
      </c>
      <c r="B858" s="166"/>
      <c r="C858" s="166"/>
      <c r="D858" s="166"/>
      <c r="E858" s="166"/>
      <c r="F858" s="178" t="str">
        <f t="shared" ref="F858:K858" si="727">PeriodTitle</f>
        <v>4/ 2020</v>
      </c>
      <c r="G858" s="178" t="str">
        <f t="shared" si="727"/>
        <v>5/ 2020</v>
      </c>
      <c r="H858" s="178" t="str">
        <f t="shared" si="727"/>
        <v>6/ 2020</v>
      </c>
      <c r="I858" s="178" t="str">
        <f t="shared" si="727"/>
        <v>7/ 2020</v>
      </c>
      <c r="J858" s="178" t="str">
        <f t="shared" si="727"/>
        <v>8/ 2020</v>
      </c>
      <c r="K858" s="178" t="str">
        <f t="shared" si="727"/>
        <v>9/ 2020</v>
      </c>
      <c r="L858" s="166"/>
      <c r="M858" s="195" t="str">
        <f ca="1">Language!$A$371</f>
        <v>ИТОГО</v>
      </c>
    </row>
    <row r="859" spans="1:13" ht="10.8" outlineLevel="1" thickTop="1" x14ac:dyDescent="0.2"/>
    <row r="860" spans="1:13" outlineLevel="1" x14ac:dyDescent="0.2">
      <c r="A860" s="35" t="str">
        <f ca="1">Language!A600</f>
        <v>Прямые производственные расходы</v>
      </c>
    </row>
    <row r="861" spans="1:13" outlineLevel="1" x14ac:dyDescent="0.2"/>
    <row r="862" spans="1:13" outlineLevel="1" x14ac:dyDescent="0.2">
      <c r="A862" t="str">
        <f ca="1">Language!A610</f>
        <v>Расходы на материалы и комплектующие</v>
      </c>
      <c r="C862" s="5" t="str">
        <f ca="1">CUR_Main</f>
        <v>руб.</v>
      </c>
      <c r="F862" s="43">
        <f t="shared" ref="F862:J862" si="728">F722</f>
        <v>0</v>
      </c>
      <c r="G862" s="43">
        <f t="shared" si="728"/>
        <v>0</v>
      </c>
      <c r="H862" s="43">
        <f t="shared" si="728"/>
        <v>0</v>
      </c>
      <c r="I862" s="43">
        <f t="shared" si="728"/>
        <v>0</v>
      </c>
      <c r="J862" s="43">
        <f t="shared" si="728"/>
        <v>0</v>
      </c>
      <c r="K862" s="43">
        <f t="shared" ref="K862" si="729">K722</f>
        <v>0</v>
      </c>
      <c r="M862" s="54">
        <f>SUM(F862:K862)</f>
        <v>0</v>
      </c>
    </row>
    <row r="863" spans="1:13" outlineLevel="1" x14ac:dyDescent="0.2">
      <c r="A863" t="str">
        <f ca="1">Language!A599</f>
        <v>Прочие переменные затраты</v>
      </c>
      <c r="C863" s="5" t="str">
        <f ca="1">CUR_Main</f>
        <v>руб.</v>
      </c>
      <c r="F863" s="43">
        <f t="shared" ref="F863:J863" si="730">F771</f>
        <v>0</v>
      </c>
      <c r="G863" s="43">
        <f t="shared" si="730"/>
        <v>0</v>
      </c>
      <c r="H863" s="43">
        <f t="shared" si="730"/>
        <v>0</v>
      </c>
      <c r="I863" s="43">
        <f t="shared" si="730"/>
        <v>0</v>
      </c>
      <c r="J863" s="43">
        <f t="shared" si="730"/>
        <v>0</v>
      </c>
      <c r="K863" s="43">
        <f t="shared" ref="K863" si="731">K771</f>
        <v>0</v>
      </c>
      <c r="M863" s="54">
        <f>SUM(F863:K863)</f>
        <v>0</v>
      </c>
    </row>
    <row r="864" spans="1:13" outlineLevel="1" x14ac:dyDescent="0.2">
      <c r="A864" t="str">
        <f ca="1">Language!A611</f>
        <v>Зарплата основного производственного персонала</v>
      </c>
      <c r="C864" s="5" t="str">
        <f ca="1">CUR_Main</f>
        <v>руб.</v>
      </c>
      <c r="F864" s="43">
        <f t="shared" ref="F864:J864" si="732">F842</f>
        <v>590000</v>
      </c>
      <c r="G864" s="43">
        <f t="shared" si="732"/>
        <v>730000</v>
      </c>
      <c r="H864" s="43">
        <f t="shared" si="732"/>
        <v>870000</v>
      </c>
      <c r="I864" s="43">
        <f t="shared" si="732"/>
        <v>940000</v>
      </c>
      <c r="J864" s="43">
        <f t="shared" si="732"/>
        <v>940000</v>
      </c>
      <c r="K864" s="43">
        <f t="shared" ref="K864" si="733">K842</f>
        <v>940000</v>
      </c>
      <c r="M864" s="54">
        <f>SUM(F864:K864)</f>
        <v>5010000</v>
      </c>
    </row>
    <row r="865" spans="1:13" outlineLevel="1" x14ac:dyDescent="0.2">
      <c r="A865" t="str">
        <f ca="1">Language!A612</f>
        <v>ЕСН на зарплату основного произв. персонала</v>
      </c>
      <c r="C865" s="5" t="str">
        <f ca="1">CUR_Main</f>
        <v>руб.</v>
      </c>
      <c r="F865" s="43">
        <f t="shared" ref="F865:J865" si="734">F848</f>
        <v>82600.000000000015</v>
      </c>
      <c r="G865" s="43">
        <f t="shared" si="734"/>
        <v>102200.00000000001</v>
      </c>
      <c r="H865" s="43">
        <f t="shared" si="734"/>
        <v>121800.00000000001</v>
      </c>
      <c r="I865" s="43">
        <f t="shared" si="734"/>
        <v>131600</v>
      </c>
      <c r="J865" s="43">
        <f t="shared" si="734"/>
        <v>131600</v>
      </c>
      <c r="K865" s="43">
        <f t="shared" ref="K865" si="735">K848</f>
        <v>131600</v>
      </c>
      <c r="M865" s="54">
        <f>SUM(F865:K865)</f>
        <v>701400</v>
      </c>
    </row>
    <row r="866" spans="1:13" outlineLevel="1" x14ac:dyDescent="0.2">
      <c r="B866" s="36" t="str">
        <f ca="1">Language!A$73</f>
        <v>Валюта</v>
      </c>
      <c r="D866">
        <v>1</v>
      </c>
      <c r="E866">
        <v>4</v>
      </c>
    </row>
    <row r="867" spans="1:13" outlineLevel="1" collapsed="1" x14ac:dyDescent="0.2">
      <c r="A867" s="274" t="str">
        <f ca="1">Language!A$430</f>
        <v>Наименование</v>
      </c>
      <c r="B867" s="255">
        <v>1</v>
      </c>
      <c r="C867" s="17" t="str">
        <f ca="1">CHOOSE(B867,CUR_Main,CUR_Foreign)</f>
        <v>руб.</v>
      </c>
      <c r="D867" s="16" t="str">
        <f>TEXT(B867,"0")&amp;"_01"</f>
        <v>1_01</v>
      </c>
      <c r="F867" s="281">
        <v>0</v>
      </c>
      <c r="G867" s="281">
        <f t="shared" ref="G867:K867" si="736">F867*IF(CalcMethod=2,1+F869,1)</f>
        <v>0</v>
      </c>
      <c r="H867" s="281">
        <f t="shared" si="736"/>
        <v>0</v>
      </c>
      <c r="I867" s="281">
        <f t="shared" si="736"/>
        <v>0</v>
      </c>
      <c r="J867" s="281">
        <f t="shared" si="736"/>
        <v>0</v>
      </c>
      <c r="K867" s="281">
        <f t="shared" si="736"/>
        <v>0</v>
      </c>
      <c r="M867" s="54">
        <f>SUM(F867:K867)</f>
        <v>0</v>
      </c>
    </row>
    <row r="868" spans="1:13" hidden="1" outlineLevel="2" x14ac:dyDescent="0.2">
      <c r="A868" t="str">
        <f ca="1">Language!A$104</f>
        <v>Предполагаемый темп годового роста цен</v>
      </c>
      <c r="C868" s="5" t="s">
        <v>177</v>
      </c>
      <c r="D868" s="16" t="s">
        <v>176</v>
      </c>
      <c r="F868" s="269">
        <f t="shared" ref="F868:J868" si="737">CHOOSE($B867,F$80,F$91)</f>
        <v>7.0000000000000007E-2</v>
      </c>
      <c r="G868" s="269">
        <f t="shared" si="737"/>
        <v>7.0000000000000007E-2</v>
      </c>
      <c r="H868" s="269">
        <f t="shared" si="737"/>
        <v>7.0000000000000007E-2</v>
      </c>
      <c r="I868" s="269">
        <f t="shared" si="737"/>
        <v>7.0000000000000007E-2</v>
      </c>
      <c r="J868" s="269">
        <f t="shared" si="737"/>
        <v>7.0000000000000007E-2</v>
      </c>
      <c r="K868" s="269">
        <f t="shared" ref="K868" si="738">CHOOSE($B867,K$80,K$91)</f>
        <v>7.0000000000000007E-2</v>
      </c>
    </row>
    <row r="869" spans="1:13" hidden="1" outlineLevel="2" x14ac:dyDescent="0.2">
      <c r="A869" t="str">
        <f ca="1">Language!A$106</f>
        <v>То же, в пересчете на период, равный шагу проекта</v>
      </c>
      <c r="C869" s="5" t="s">
        <v>177</v>
      </c>
      <c r="D869" s="16" t="s">
        <v>176</v>
      </c>
      <c r="F869" s="30">
        <f t="shared" ref="F869:J869" si="739">POWER(1+F868,PRJ_Step/360)-1</f>
        <v>5.6541453874052738E-3</v>
      </c>
      <c r="G869" s="30">
        <f t="shared" si="739"/>
        <v>5.6541453874052738E-3</v>
      </c>
      <c r="H869" s="30">
        <f t="shared" si="739"/>
        <v>5.6541453874052738E-3</v>
      </c>
      <c r="I869" s="30">
        <f t="shared" si="739"/>
        <v>5.6541453874052738E-3</v>
      </c>
      <c r="J869" s="30">
        <f t="shared" si="739"/>
        <v>5.6541453874052738E-3</v>
      </c>
      <c r="K869" s="30">
        <f t="shared" ref="K869" si="740">POWER(1+K868,PRJ_Step/360)-1</f>
        <v>5.6541453874052738E-3</v>
      </c>
    </row>
    <row r="870" spans="1:13" hidden="1" outlineLevel="2" x14ac:dyDescent="0.2">
      <c r="A870" t="str">
        <f ca="1">Language!A$619</f>
        <v>в том числе НДС</v>
      </c>
      <c r="B870" s="283">
        <f>VAT</f>
        <v>0</v>
      </c>
      <c r="C870" s="5" t="str">
        <f ca="1">CHOOSE(B867,CUR_Main,CUR_Foreign)</f>
        <v>руб.</v>
      </c>
      <c r="D870" t="str">
        <f>TEXT(B867,"0")&amp;"_02"</f>
        <v>1_02</v>
      </c>
      <c r="F870" s="53">
        <f t="shared" ref="F870:J870" si="741">F867*$B870/(1+$B870)</f>
        <v>0</v>
      </c>
      <c r="G870" s="53">
        <f t="shared" si="741"/>
        <v>0</v>
      </c>
      <c r="H870" s="53">
        <f t="shared" si="741"/>
        <v>0</v>
      </c>
      <c r="I870" s="53">
        <f t="shared" si="741"/>
        <v>0</v>
      </c>
      <c r="J870" s="53">
        <f t="shared" si="741"/>
        <v>0</v>
      </c>
      <c r="K870" s="53">
        <f t="shared" ref="K870" si="742">K867*$B870/(1+$B870)</f>
        <v>0</v>
      </c>
      <c r="M870" s="54">
        <f>SUM(F870:K870)</f>
        <v>0</v>
      </c>
    </row>
    <row r="871" spans="1:13" outlineLevel="1" x14ac:dyDescent="0.2"/>
    <row r="872" spans="1:13" outlineLevel="1" x14ac:dyDescent="0.2">
      <c r="A872" s="63"/>
      <c r="B872" s="63"/>
      <c r="C872" s="63"/>
      <c r="D872" s="63"/>
      <c r="E872" s="63"/>
      <c r="F872" s="63"/>
      <c r="G872" s="63"/>
      <c r="H872" s="63"/>
      <c r="I872" s="63"/>
      <c r="J872" s="63"/>
      <c r="K872" s="63"/>
      <c r="L872" s="63"/>
      <c r="M872" s="64"/>
    </row>
    <row r="873" spans="1:13" outlineLevel="1" x14ac:dyDescent="0.2">
      <c r="A873" s="35" t="str">
        <f ca="1">Language!A601</f>
        <v>Общие производственные расходы</v>
      </c>
    </row>
    <row r="874" spans="1:13" outlineLevel="1" x14ac:dyDescent="0.2"/>
    <row r="875" spans="1:13" outlineLevel="1" x14ac:dyDescent="0.2">
      <c r="A875" t="str">
        <f ca="1">Language!A613</f>
        <v>Зарплата вспомогательного произв. персонала</v>
      </c>
      <c r="C875" s="5" t="str">
        <f ca="1">CUR_Main</f>
        <v>руб.</v>
      </c>
      <c r="F875" s="43">
        <f t="shared" ref="F875:J875" si="743">F843</f>
        <v>0</v>
      </c>
      <c r="G875" s="43">
        <f t="shared" si="743"/>
        <v>0</v>
      </c>
      <c r="H875" s="43">
        <f t="shared" si="743"/>
        <v>0</v>
      </c>
      <c r="I875" s="43">
        <f t="shared" si="743"/>
        <v>0</v>
      </c>
      <c r="J875" s="43">
        <f t="shared" si="743"/>
        <v>0</v>
      </c>
      <c r="K875" s="43">
        <f t="shared" ref="K875" si="744">K843</f>
        <v>0</v>
      </c>
      <c r="M875" s="54">
        <f>SUM(F875:K875)</f>
        <v>0</v>
      </c>
    </row>
    <row r="876" spans="1:13" outlineLevel="1" x14ac:dyDescent="0.2">
      <c r="A876" t="str">
        <f ca="1">Language!A614</f>
        <v>ЕСН на зарплату вспомогательного произв. персонала</v>
      </c>
      <c r="C876" s="5" t="str">
        <f ca="1">CUR_Main</f>
        <v>руб.</v>
      </c>
      <c r="F876" s="43">
        <f t="shared" ref="F876:J876" si="745">F849</f>
        <v>0</v>
      </c>
      <c r="G876" s="43">
        <f t="shared" si="745"/>
        <v>0</v>
      </c>
      <c r="H876" s="43">
        <f t="shared" si="745"/>
        <v>0</v>
      </c>
      <c r="I876" s="43">
        <f t="shared" si="745"/>
        <v>0</v>
      </c>
      <c r="J876" s="43">
        <f t="shared" si="745"/>
        <v>0</v>
      </c>
      <c r="K876" s="43">
        <f t="shared" ref="K876" si="746">K849</f>
        <v>0</v>
      </c>
      <c r="M876" s="54">
        <f>SUM(F876:K876)</f>
        <v>0</v>
      </c>
    </row>
    <row r="877" spans="1:13" outlineLevel="1" x14ac:dyDescent="0.2">
      <c r="A877" t="str">
        <f ca="1">Language!A620</f>
        <v>Амортизация</v>
      </c>
      <c r="C877" s="5" t="str">
        <f ca="1">CUR_Main</f>
        <v>руб.</v>
      </c>
      <c r="F877" s="43">
        <f t="shared" ref="F877:J877" ca="1" si="747">F487+F513+F500+F536+F243+F252+F261+F269+F580</f>
        <v>0</v>
      </c>
      <c r="G877" s="43">
        <f t="shared" ca="1" si="747"/>
        <v>0</v>
      </c>
      <c r="H877" s="43">
        <f t="shared" ca="1" si="747"/>
        <v>0</v>
      </c>
      <c r="I877" s="43">
        <f t="shared" ca="1" si="747"/>
        <v>20000</v>
      </c>
      <c r="J877" s="43">
        <f t="shared" ca="1" si="747"/>
        <v>20000</v>
      </c>
      <c r="K877" s="43">
        <f t="shared" ref="K877" ca="1" si="748">K487+K513+K500+K536+K243+K252+K261+K269+K580</f>
        <v>21166.666666666668</v>
      </c>
      <c r="M877" s="54">
        <f ca="1">SUM(F877:K877)</f>
        <v>61166.666666666672</v>
      </c>
    </row>
    <row r="878" spans="1:13" outlineLevel="1" x14ac:dyDescent="0.2">
      <c r="A878" t="str">
        <f ca="1">Language!A621</f>
        <v>Земельный и другие налоги, относимые на текущие затраты</v>
      </c>
      <c r="C878" s="5" t="str">
        <f ca="1">CUR_Main</f>
        <v>руб.</v>
      </c>
      <c r="F878" s="106">
        <f t="shared" ref="F878:J878" si="749">F143+F147</f>
        <v>0</v>
      </c>
      <c r="G878" s="106">
        <f t="shared" si="749"/>
        <v>0</v>
      </c>
      <c r="H878" s="106">
        <f t="shared" si="749"/>
        <v>0</v>
      </c>
      <c r="I878" s="106">
        <f t="shared" si="749"/>
        <v>0</v>
      </c>
      <c r="J878" s="106">
        <f t="shared" si="749"/>
        <v>0</v>
      </c>
      <c r="K878" s="106">
        <f t="shared" ref="K878" si="750">K143+K147</f>
        <v>0</v>
      </c>
      <c r="M878" s="54">
        <f>SUM(F878:K878)</f>
        <v>0</v>
      </c>
    </row>
    <row r="879" spans="1:13" outlineLevel="1" x14ac:dyDescent="0.2">
      <c r="B879" s="36" t="str">
        <f ca="1">Language!A$73</f>
        <v>Валюта</v>
      </c>
      <c r="D879">
        <v>1</v>
      </c>
      <c r="E879">
        <v>4</v>
      </c>
    </row>
    <row r="880" spans="1:13" outlineLevel="1" collapsed="1" x14ac:dyDescent="0.2">
      <c r="A880" s="274" t="s">
        <v>2685</v>
      </c>
      <c r="B880" s="255">
        <v>1</v>
      </c>
      <c r="C880" s="17" t="str">
        <f ca="1">CHOOSE(B880,CUR_Main,CUR_Foreign)</f>
        <v>руб.</v>
      </c>
      <c r="D880" s="16" t="str">
        <f>TEXT(B880,"0")&amp;"_01"</f>
        <v>1_01</v>
      </c>
      <c r="F880" s="281">
        <v>0</v>
      </c>
      <c r="G880" s="281">
        <f t="shared" ref="G880:K880" si="751">F880*IF(CalcMethod=2,1+F882,1)</f>
        <v>0</v>
      </c>
      <c r="H880" s="281">
        <f t="shared" si="751"/>
        <v>0</v>
      </c>
      <c r="I880" s="281">
        <f t="shared" si="751"/>
        <v>0</v>
      </c>
      <c r="J880" s="281">
        <f t="shared" si="751"/>
        <v>0</v>
      </c>
      <c r="K880" s="281">
        <f t="shared" si="751"/>
        <v>0</v>
      </c>
      <c r="M880" s="54">
        <f>SUM(F880:K880)</f>
        <v>0</v>
      </c>
    </row>
    <row r="881" spans="1:13" hidden="1" outlineLevel="2" x14ac:dyDescent="0.2">
      <c r="A881" t="str">
        <f ca="1">Language!A$104</f>
        <v>Предполагаемый темп годового роста цен</v>
      </c>
      <c r="C881" s="5" t="s">
        <v>177</v>
      </c>
      <c r="D881" s="16" t="s">
        <v>176</v>
      </c>
      <c r="F881" s="269">
        <f t="shared" ref="F881:J881" si="752">CHOOSE($B880,F$80,F$91)</f>
        <v>7.0000000000000007E-2</v>
      </c>
      <c r="G881" s="269">
        <f t="shared" si="752"/>
        <v>7.0000000000000007E-2</v>
      </c>
      <c r="H881" s="269">
        <f t="shared" si="752"/>
        <v>7.0000000000000007E-2</v>
      </c>
      <c r="I881" s="269">
        <f t="shared" si="752"/>
        <v>7.0000000000000007E-2</v>
      </c>
      <c r="J881" s="269">
        <f t="shared" si="752"/>
        <v>7.0000000000000007E-2</v>
      </c>
      <c r="K881" s="269">
        <f t="shared" ref="K881" si="753">CHOOSE($B880,K$80,K$91)</f>
        <v>7.0000000000000007E-2</v>
      </c>
    </row>
    <row r="882" spans="1:13" hidden="1" outlineLevel="2" x14ac:dyDescent="0.2">
      <c r="A882" t="str">
        <f ca="1">Language!A$106</f>
        <v>То же, в пересчете на период, равный шагу проекта</v>
      </c>
      <c r="C882" s="5" t="s">
        <v>177</v>
      </c>
      <c r="D882" s="16" t="s">
        <v>176</v>
      </c>
      <c r="F882" s="30">
        <f t="shared" ref="F882:J882" si="754">POWER(1+F881,PRJ_Step/360)-1</f>
        <v>5.6541453874052738E-3</v>
      </c>
      <c r="G882" s="30">
        <f t="shared" si="754"/>
        <v>5.6541453874052738E-3</v>
      </c>
      <c r="H882" s="30">
        <f t="shared" si="754"/>
        <v>5.6541453874052738E-3</v>
      </c>
      <c r="I882" s="30">
        <f t="shared" si="754"/>
        <v>5.6541453874052738E-3</v>
      </c>
      <c r="J882" s="30">
        <f t="shared" si="754"/>
        <v>5.6541453874052738E-3</v>
      </c>
      <c r="K882" s="30">
        <f t="shared" ref="K882" si="755">POWER(1+K881,PRJ_Step/360)-1</f>
        <v>5.6541453874052738E-3</v>
      </c>
    </row>
    <row r="883" spans="1:13" hidden="1" outlineLevel="2" x14ac:dyDescent="0.2">
      <c r="A883" t="str">
        <f ca="1">Language!A$619</f>
        <v>в том числе НДС</v>
      </c>
      <c r="B883" s="283">
        <f>VAT</f>
        <v>0</v>
      </c>
      <c r="C883" s="5" t="str">
        <f ca="1">CHOOSE(B880,CUR_Main,CUR_Foreign)</f>
        <v>руб.</v>
      </c>
      <c r="D883" t="str">
        <f>TEXT(B880,"0")&amp;"_02"</f>
        <v>1_02</v>
      </c>
      <c r="F883" s="53">
        <f t="shared" ref="F883:J883" si="756">F880*$B883/(1+$B883)</f>
        <v>0</v>
      </c>
      <c r="G883" s="53">
        <f t="shared" si="756"/>
        <v>0</v>
      </c>
      <c r="H883" s="53">
        <f t="shared" si="756"/>
        <v>0</v>
      </c>
      <c r="I883" s="53">
        <f t="shared" si="756"/>
        <v>0</v>
      </c>
      <c r="J883" s="53">
        <f t="shared" si="756"/>
        <v>0</v>
      </c>
      <c r="K883" s="53">
        <f t="shared" ref="K883" si="757">K880*$B883/(1+$B883)</f>
        <v>0</v>
      </c>
      <c r="M883" s="54">
        <f>SUM(F883:K883)</f>
        <v>0</v>
      </c>
    </row>
    <row r="884" spans="1:13" outlineLevel="1" x14ac:dyDescent="0.2"/>
    <row r="885" spans="1:13" outlineLevel="1" x14ac:dyDescent="0.2">
      <c r="A885" s="63"/>
      <c r="B885" s="63"/>
      <c r="C885" s="63"/>
      <c r="D885" s="63"/>
      <c r="E885" s="63"/>
      <c r="F885" s="63"/>
      <c r="G885" s="63"/>
      <c r="H885" s="63"/>
      <c r="I885" s="63"/>
      <c r="J885" s="63"/>
      <c r="K885" s="63"/>
      <c r="L885" s="63"/>
      <c r="M885" s="64"/>
    </row>
    <row r="886" spans="1:13" outlineLevel="1" x14ac:dyDescent="0.2">
      <c r="A886" s="35" t="str">
        <f ca="1">Language!A602</f>
        <v>Административные расходы</v>
      </c>
    </row>
    <row r="887" spans="1:13" outlineLevel="1" x14ac:dyDescent="0.2"/>
    <row r="888" spans="1:13" outlineLevel="1" x14ac:dyDescent="0.2">
      <c r="A888" t="str">
        <f ca="1">Language!A617</f>
        <v>Зарплата административного персонала</v>
      </c>
      <c r="C888" s="5" t="str">
        <f ca="1">CUR_Main</f>
        <v>руб.</v>
      </c>
      <c r="F888" s="43">
        <f t="shared" ref="F888:J888" si="758">F844</f>
        <v>0</v>
      </c>
      <c r="G888" s="43">
        <f t="shared" si="758"/>
        <v>0</v>
      </c>
      <c r="H888" s="43">
        <f t="shared" si="758"/>
        <v>0</v>
      </c>
      <c r="I888" s="43">
        <f t="shared" si="758"/>
        <v>0</v>
      </c>
      <c r="J888" s="43">
        <f t="shared" si="758"/>
        <v>0</v>
      </c>
      <c r="K888" s="43">
        <f t="shared" ref="K888" si="759">K844</f>
        <v>0</v>
      </c>
      <c r="M888" s="54">
        <f>SUM(F888:K888)</f>
        <v>0</v>
      </c>
    </row>
    <row r="889" spans="1:13" outlineLevel="1" x14ac:dyDescent="0.2">
      <c r="A889" t="str">
        <f ca="1">Language!A618</f>
        <v>ЕСН на зарплату административного персонала</v>
      </c>
      <c r="C889" s="5" t="str">
        <f ca="1">CUR_Main</f>
        <v>руб.</v>
      </c>
      <c r="F889" s="43">
        <f t="shared" ref="F889:J889" si="760">F850</f>
        <v>0</v>
      </c>
      <c r="G889" s="43">
        <f t="shared" si="760"/>
        <v>0</v>
      </c>
      <c r="H889" s="43">
        <f t="shared" si="760"/>
        <v>0</v>
      </c>
      <c r="I889" s="43">
        <f t="shared" si="760"/>
        <v>0</v>
      </c>
      <c r="J889" s="43">
        <f t="shared" si="760"/>
        <v>0</v>
      </c>
      <c r="K889" s="43">
        <f t="shared" ref="K889" si="761">K850</f>
        <v>0</v>
      </c>
      <c r="M889" s="54">
        <f>SUM(F889:K889)</f>
        <v>0</v>
      </c>
    </row>
    <row r="890" spans="1:13" outlineLevel="1" x14ac:dyDescent="0.2">
      <c r="B890" s="36" t="str">
        <f ca="1">Language!A$73</f>
        <v>Валюта</v>
      </c>
      <c r="D890">
        <v>1</v>
      </c>
      <c r="E890">
        <v>4</v>
      </c>
    </row>
    <row r="891" spans="1:13" outlineLevel="1" collapsed="1" x14ac:dyDescent="0.2">
      <c r="A891" s="274" t="s">
        <v>2678</v>
      </c>
      <c r="B891" s="255">
        <v>1</v>
      </c>
      <c r="C891" s="17" t="str">
        <f ca="1">CHOOSE(B891,CUR_Main,CUR_Foreign)</f>
        <v>руб.</v>
      </c>
      <c r="D891" s="16" t="str">
        <f>TEXT(B891,"0")&amp;"_01"</f>
        <v>1_01</v>
      </c>
      <c r="F891" s="281">
        <v>0</v>
      </c>
      <c r="G891" s="281">
        <f t="shared" ref="G891:K891" si="762">F891*IF(CalcMethod=2,1+F893,1)</f>
        <v>0</v>
      </c>
      <c r="H891" s="281">
        <f t="shared" si="762"/>
        <v>0</v>
      </c>
      <c r="I891" s="281">
        <f t="shared" si="762"/>
        <v>0</v>
      </c>
      <c r="J891" s="281">
        <f t="shared" si="762"/>
        <v>0</v>
      </c>
      <c r="K891" s="281">
        <f t="shared" si="762"/>
        <v>0</v>
      </c>
      <c r="M891" s="54">
        <f>SUM(F891:K891)</f>
        <v>0</v>
      </c>
    </row>
    <row r="892" spans="1:13" hidden="1" outlineLevel="2" x14ac:dyDescent="0.2">
      <c r="A892" t="str">
        <f ca="1">Language!A$104</f>
        <v>Предполагаемый темп годового роста цен</v>
      </c>
      <c r="C892" s="5" t="s">
        <v>177</v>
      </c>
      <c r="D892" s="16" t="s">
        <v>176</v>
      </c>
      <c r="F892" s="269">
        <f t="shared" ref="F892:J892" si="763">CHOOSE($B891,F$80,F$91)</f>
        <v>7.0000000000000007E-2</v>
      </c>
      <c r="G892" s="269">
        <f t="shared" si="763"/>
        <v>7.0000000000000007E-2</v>
      </c>
      <c r="H892" s="269">
        <f t="shared" si="763"/>
        <v>7.0000000000000007E-2</v>
      </c>
      <c r="I892" s="269">
        <f t="shared" si="763"/>
        <v>7.0000000000000007E-2</v>
      </c>
      <c r="J892" s="269">
        <f t="shared" si="763"/>
        <v>7.0000000000000007E-2</v>
      </c>
      <c r="K892" s="269">
        <f t="shared" ref="K892" si="764">CHOOSE($B891,K$80,K$91)</f>
        <v>7.0000000000000007E-2</v>
      </c>
    </row>
    <row r="893" spans="1:13" hidden="1" outlineLevel="2" x14ac:dyDescent="0.2">
      <c r="A893" t="str">
        <f ca="1">Language!A$106</f>
        <v>То же, в пересчете на период, равный шагу проекта</v>
      </c>
      <c r="C893" s="5" t="s">
        <v>177</v>
      </c>
      <c r="D893" s="16" t="s">
        <v>176</v>
      </c>
      <c r="F893" s="30">
        <f t="shared" ref="F893:J893" si="765">POWER(1+F892,PRJ_Step/360)-1</f>
        <v>5.6541453874052738E-3</v>
      </c>
      <c r="G893" s="30">
        <f t="shared" si="765"/>
        <v>5.6541453874052738E-3</v>
      </c>
      <c r="H893" s="30">
        <f t="shared" si="765"/>
        <v>5.6541453874052738E-3</v>
      </c>
      <c r="I893" s="30">
        <f t="shared" si="765"/>
        <v>5.6541453874052738E-3</v>
      </c>
      <c r="J893" s="30">
        <f t="shared" si="765"/>
        <v>5.6541453874052738E-3</v>
      </c>
      <c r="K893" s="30">
        <f t="shared" ref="K893" si="766">POWER(1+K892,PRJ_Step/360)-1</f>
        <v>5.6541453874052738E-3</v>
      </c>
    </row>
    <row r="894" spans="1:13" hidden="1" outlineLevel="2" x14ac:dyDescent="0.2">
      <c r="A894" t="str">
        <f ca="1">Language!A$619</f>
        <v>в том числе НДС</v>
      </c>
      <c r="B894" s="283">
        <f>VAT</f>
        <v>0</v>
      </c>
      <c r="C894" s="5" t="str">
        <f ca="1">CHOOSE(B891,CUR_Main,CUR_Foreign)</f>
        <v>руб.</v>
      </c>
      <c r="D894" t="str">
        <f>TEXT(B891,"0")&amp;"_02"</f>
        <v>1_02</v>
      </c>
      <c r="F894" s="53">
        <f t="shared" ref="F894:J894" si="767">F891*$B894/(1+$B894)</f>
        <v>0</v>
      </c>
      <c r="G894" s="53">
        <f t="shared" si="767"/>
        <v>0</v>
      </c>
      <c r="H894" s="53">
        <f t="shared" si="767"/>
        <v>0</v>
      </c>
      <c r="I894" s="53">
        <f t="shared" si="767"/>
        <v>0</v>
      </c>
      <c r="J894" s="53">
        <f t="shared" si="767"/>
        <v>0</v>
      </c>
      <c r="K894" s="53">
        <f t="shared" ref="K894" si="768">K891*$B894/(1+$B894)</f>
        <v>0</v>
      </c>
      <c r="M894" s="54">
        <f>SUM(F894:K894)</f>
        <v>0</v>
      </c>
    </row>
    <row r="895" spans="1:13" outlineLevel="1" x14ac:dyDescent="0.2"/>
    <row r="896" spans="1:13" outlineLevel="1" x14ac:dyDescent="0.2">
      <c r="A896" s="63"/>
      <c r="B896" s="63"/>
      <c r="C896" s="63"/>
      <c r="D896" s="63"/>
      <c r="E896" s="63"/>
      <c r="F896" s="63"/>
      <c r="G896" s="63"/>
      <c r="H896" s="63"/>
      <c r="I896" s="63"/>
      <c r="J896" s="63"/>
      <c r="K896" s="63"/>
      <c r="L896" s="63"/>
      <c r="M896" s="64"/>
    </row>
    <row r="897" spans="1:13" outlineLevel="1" x14ac:dyDescent="0.2">
      <c r="A897" s="62" t="str">
        <f ca="1">Language!A603</f>
        <v>Коммерческие расходы</v>
      </c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22"/>
    </row>
    <row r="898" spans="1:13" outlineLevel="1" x14ac:dyDescent="0.2"/>
    <row r="899" spans="1:13" outlineLevel="1" x14ac:dyDescent="0.2">
      <c r="A899" t="str">
        <f ca="1">Language!A615</f>
        <v>Зарплата коммерческого персонала</v>
      </c>
      <c r="C899" s="5" t="str">
        <f ca="1">CUR_Main</f>
        <v>руб.</v>
      </c>
      <c r="F899" s="43">
        <f t="shared" ref="F899:J899" si="769">F845</f>
        <v>35000</v>
      </c>
      <c r="G899" s="43">
        <f t="shared" si="769"/>
        <v>35000</v>
      </c>
      <c r="H899" s="43">
        <f t="shared" si="769"/>
        <v>35000</v>
      </c>
      <c r="I899" s="43">
        <f t="shared" si="769"/>
        <v>35000</v>
      </c>
      <c r="J899" s="43">
        <f t="shared" si="769"/>
        <v>35000</v>
      </c>
      <c r="K899" s="43">
        <f t="shared" ref="K899" si="770">K845</f>
        <v>35000</v>
      </c>
      <c r="M899" s="54">
        <f>SUM(F899:K899)</f>
        <v>210000</v>
      </c>
    </row>
    <row r="900" spans="1:13" outlineLevel="1" x14ac:dyDescent="0.2">
      <c r="A900" t="str">
        <f ca="1">Language!A616</f>
        <v>ЕСН на зарплату коммерческого персонала</v>
      </c>
      <c r="C900" s="5" t="str">
        <f ca="1">CUR_Main</f>
        <v>руб.</v>
      </c>
      <c r="F900" s="43">
        <f t="shared" ref="F900:J900" si="771">F851</f>
        <v>4900.0000000000009</v>
      </c>
      <c r="G900" s="43">
        <f t="shared" si="771"/>
        <v>4900.0000000000009</v>
      </c>
      <c r="H900" s="43">
        <f t="shared" si="771"/>
        <v>4900.0000000000009</v>
      </c>
      <c r="I900" s="43">
        <f t="shared" si="771"/>
        <v>4900.0000000000009</v>
      </c>
      <c r="J900" s="43">
        <f t="shared" si="771"/>
        <v>4900.0000000000009</v>
      </c>
      <c r="K900" s="43">
        <f t="shared" ref="K900" si="772">K851</f>
        <v>4900.0000000000009</v>
      </c>
      <c r="M900" s="54">
        <f>SUM(F900:K900)</f>
        <v>29400.000000000004</v>
      </c>
    </row>
    <row r="901" spans="1:13" outlineLevel="1" x14ac:dyDescent="0.2">
      <c r="B901" s="36" t="str">
        <f ca="1">Language!A$73</f>
        <v>Валюта</v>
      </c>
      <c r="D901">
        <v>2</v>
      </c>
      <c r="E901">
        <v>5</v>
      </c>
    </row>
    <row r="902" spans="1:13" outlineLevel="1" x14ac:dyDescent="0.2">
      <c r="A902" s="274" t="str">
        <f ca="1">Language!A$430</f>
        <v>Наименование</v>
      </c>
      <c r="B902" s="255">
        <v>1</v>
      </c>
      <c r="C902" s="17" t="str">
        <f ca="1">CHOOSE(B902,CUR_Main,CUR_Foreign)</f>
        <v>руб.</v>
      </c>
      <c r="D902" s="16" t="str">
        <f>TEXT(B902,"0")&amp;"_01"</f>
        <v>1_01</v>
      </c>
      <c r="F902" s="281">
        <f>F903*F$636/IF($B902=1,1,F$88)</f>
        <v>0</v>
      </c>
      <c r="G902" s="281">
        <f t="shared" ref="G902:K902" si="773">IF(G903&gt;0%,G903*G$636/IF($B902=1,1,G$88),F902*IF(AND(G903=0,CalcMethod=2),1+F905,1))</f>
        <v>0</v>
      </c>
      <c r="H902" s="281">
        <f t="shared" si="773"/>
        <v>0</v>
      </c>
      <c r="I902" s="281">
        <f t="shared" si="773"/>
        <v>0</v>
      </c>
      <c r="J902" s="281">
        <f t="shared" si="773"/>
        <v>0</v>
      </c>
      <c r="K902" s="281">
        <f t="shared" si="773"/>
        <v>0</v>
      </c>
      <c r="M902" s="54">
        <f>SUM(F902:K902)</f>
        <v>0</v>
      </c>
    </row>
    <row r="903" spans="1:13" outlineLevel="1" collapsed="1" x14ac:dyDescent="0.2">
      <c r="A903" s="48" t="str">
        <f ca="1">Language!A$604</f>
        <v>Коммерческие расходы как % от продаж</v>
      </c>
      <c r="B903" s="283">
        <v>0.02</v>
      </c>
      <c r="C903" s="5" t="str">
        <f ca="1">CUR_Main</f>
        <v>руб.</v>
      </c>
      <c r="D903" s="16" t="s">
        <v>176</v>
      </c>
      <c r="F903" s="408">
        <v>0</v>
      </c>
      <c r="G903" s="408">
        <v>0</v>
      </c>
      <c r="H903" s="408">
        <v>0</v>
      </c>
      <c r="I903" s="408">
        <v>0</v>
      </c>
      <c r="J903" s="408">
        <v>0</v>
      </c>
      <c r="K903" s="408">
        <v>0</v>
      </c>
      <c r="L903" s="108">
        <v>0</v>
      </c>
      <c r="M903" s="54"/>
    </row>
    <row r="904" spans="1:13" hidden="1" outlineLevel="2" x14ac:dyDescent="0.2">
      <c r="A904" t="str">
        <f ca="1">Language!A$104</f>
        <v>Предполагаемый темп годового роста цен</v>
      </c>
      <c r="C904" s="5" t="s">
        <v>177</v>
      </c>
      <c r="D904" s="16" t="s">
        <v>176</v>
      </c>
      <c r="F904" s="269">
        <f t="shared" ref="F904:J904" si="774">CHOOSE($B902,F$80,F$91)</f>
        <v>7.0000000000000007E-2</v>
      </c>
      <c r="G904" s="269">
        <f t="shared" si="774"/>
        <v>7.0000000000000007E-2</v>
      </c>
      <c r="H904" s="269">
        <f t="shared" si="774"/>
        <v>7.0000000000000007E-2</v>
      </c>
      <c r="I904" s="269">
        <f t="shared" si="774"/>
        <v>7.0000000000000007E-2</v>
      </c>
      <c r="J904" s="269">
        <f t="shared" si="774"/>
        <v>7.0000000000000007E-2</v>
      </c>
      <c r="K904" s="269">
        <f t="shared" ref="K904" si="775">CHOOSE($B902,K$80,K$91)</f>
        <v>7.0000000000000007E-2</v>
      </c>
    </row>
    <row r="905" spans="1:13" hidden="1" outlineLevel="2" x14ac:dyDescent="0.2">
      <c r="A905" t="str">
        <f ca="1">Language!A$106</f>
        <v>То же, в пересчете на период, равный шагу проекта</v>
      </c>
      <c r="C905" s="5" t="s">
        <v>177</v>
      </c>
      <c r="D905" s="16" t="s">
        <v>176</v>
      </c>
      <c r="F905" s="30">
        <f t="shared" ref="F905:J905" si="776">POWER(1+F904,PRJ_Step/360)-1</f>
        <v>5.6541453874052738E-3</v>
      </c>
      <c r="G905" s="30">
        <f t="shared" si="776"/>
        <v>5.6541453874052738E-3</v>
      </c>
      <c r="H905" s="30">
        <f t="shared" si="776"/>
        <v>5.6541453874052738E-3</v>
      </c>
      <c r="I905" s="30">
        <f t="shared" si="776"/>
        <v>5.6541453874052738E-3</v>
      </c>
      <c r="J905" s="30">
        <f t="shared" si="776"/>
        <v>5.6541453874052738E-3</v>
      </c>
      <c r="K905" s="30">
        <f t="shared" ref="K905" si="777">POWER(1+K904,PRJ_Step/360)-1</f>
        <v>5.6541453874052738E-3</v>
      </c>
    </row>
    <row r="906" spans="1:13" hidden="1" outlineLevel="2" x14ac:dyDescent="0.2">
      <c r="A906" t="str">
        <f ca="1">Language!A$619</f>
        <v>в том числе НДС</v>
      </c>
      <c r="B906" s="283">
        <f>VAT</f>
        <v>0</v>
      </c>
      <c r="C906" s="5" t="str">
        <f ca="1">CHOOSE(B902,CUR_Main,CUR_Foreign)</f>
        <v>руб.</v>
      </c>
      <c r="D906" t="str">
        <f>TEXT(B902,"0")&amp;"_02"</f>
        <v>1_02</v>
      </c>
      <c r="F906" s="53">
        <f t="shared" ref="F906:J906" si="778">F902*$B906/(1+$B906)</f>
        <v>0</v>
      </c>
      <c r="G906" s="53">
        <f t="shared" si="778"/>
        <v>0</v>
      </c>
      <c r="H906" s="53">
        <f t="shared" si="778"/>
        <v>0</v>
      </c>
      <c r="I906" s="53">
        <f t="shared" si="778"/>
        <v>0</v>
      </c>
      <c r="J906" s="53">
        <f t="shared" si="778"/>
        <v>0</v>
      </c>
      <c r="K906" s="53">
        <f t="shared" ref="K906" si="779">K902*$B906/(1+$B906)</f>
        <v>0</v>
      </c>
      <c r="M906" s="54">
        <f>SUM(F906:K906)</f>
        <v>0</v>
      </c>
    </row>
    <row r="907" spans="1:13" outlineLevel="1" x14ac:dyDescent="0.2">
      <c r="A907" s="274" t="s">
        <v>2700</v>
      </c>
      <c r="B907" s="255">
        <v>1</v>
      </c>
      <c r="C907" s="17" t="str">
        <f ca="1">CHOOSE(B907,CUR_Main,CUR_Foreign)</f>
        <v>руб.</v>
      </c>
      <c r="D907" s="16" t="str">
        <f>TEXT(B907,"0")&amp;"_01"</f>
        <v>1_01</v>
      </c>
      <c r="F907" s="281">
        <v>20000000</v>
      </c>
      <c r="G907" s="281">
        <f t="shared" ref="G907" si="780">IF(G908&gt;0%,G908*G$636/IF($B907=1,1,G$88),F907*IF(AND(G908=0,CalcMethod=2),1+F910,1))</f>
        <v>20000000</v>
      </c>
      <c r="H907" s="281">
        <f t="shared" ref="H907" si="781">IF(H908&gt;0%,H908*H$636/IF($B907=1,1,H$88),G907*IF(AND(H908=0,CalcMethod=2),1+G910,1))</f>
        <v>20000000</v>
      </c>
      <c r="I907" s="281">
        <f t="shared" ref="I907" si="782">IF(I908&gt;0%,I908*I$636/IF($B907=1,1,I$88),H907*IF(AND(I908=0,CalcMethod=2),1+H910,1))</f>
        <v>20000000</v>
      </c>
      <c r="J907" s="281">
        <f t="shared" ref="J907" si="783">IF(J908&gt;0%,J908*J$636/IF($B907=1,1,J$88),I907*IF(AND(J908=0,CalcMethod=2),1+I910,1))</f>
        <v>20000000</v>
      </c>
      <c r="K907" s="281">
        <f t="shared" ref="K907" si="784">IF(K908&gt;0%,K908*K$636/IF($B907=1,1,K$88),J907*IF(AND(K908=0,CalcMethod=2),1+J910,1))</f>
        <v>20000000</v>
      </c>
      <c r="M907" s="54">
        <f>SUM(F907:K907)</f>
        <v>120000000</v>
      </c>
    </row>
    <row r="908" spans="1:13" outlineLevel="1" collapsed="1" x14ac:dyDescent="0.2">
      <c r="A908" s="48" t="str">
        <f ca="1">Language!A$604</f>
        <v>Коммерческие расходы как % от продаж</v>
      </c>
      <c r="B908" s="283">
        <v>0.02</v>
      </c>
      <c r="C908" s="5" t="str">
        <f ca="1">CUR_Main</f>
        <v>руб.</v>
      </c>
      <c r="D908" s="16" t="s">
        <v>176</v>
      </c>
      <c r="F908" s="408">
        <v>0</v>
      </c>
      <c r="G908" s="408">
        <v>0</v>
      </c>
      <c r="H908" s="408">
        <v>0</v>
      </c>
      <c r="I908" s="408">
        <v>0</v>
      </c>
      <c r="J908" s="408">
        <v>0</v>
      </c>
      <c r="K908" s="408">
        <v>0</v>
      </c>
      <c r="L908" s="108">
        <v>0</v>
      </c>
      <c r="M908" s="54"/>
    </row>
    <row r="909" spans="1:13" hidden="1" outlineLevel="2" x14ac:dyDescent="0.2">
      <c r="A909" t="str">
        <f ca="1">Language!A$104</f>
        <v>Предполагаемый темп годового роста цен</v>
      </c>
      <c r="C909" s="5" t="s">
        <v>177</v>
      </c>
      <c r="D909" s="16" t="s">
        <v>176</v>
      </c>
      <c r="F909" s="269">
        <f t="shared" ref="F909:K909" si="785">CHOOSE($B907,F$80,F$91)</f>
        <v>7.0000000000000007E-2</v>
      </c>
      <c r="G909" s="269">
        <f t="shared" si="785"/>
        <v>7.0000000000000007E-2</v>
      </c>
      <c r="H909" s="269">
        <f t="shared" si="785"/>
        <v>7.0000000000000007E-2</v>
      </c>
      <c r="I909" s="269">
        <f t="shared" si="785"/>
        <v>7.0000000000000007E-2</v>
      </c>
      <c r="J909" s="269">
        <f t="shared" si="785"/>
        <v>7.0000000000000007E-2</v>
      </c>
      <c r="K909" s="269">
        <f t="shared" si="785"/>
        <v>7.0000000000000007E-2</v>
      </c>
    </row>
    <row r="910" spans="1:13" hidden="1" outlineLevel="2" x14ac:dyDescent="0.2">
      <c r="A910" t="str">
        <f ca="1">Language!A$106</f>
        <v>То же, в пересчете на период, равный шагу проекта</v>
      </c>
      <c r="C910" s="5" t="s">
        <v>177</v>
      </c>
      <c r="D910" s="16" t="s">
        <v>176</v>
      </c>
      <c r="F910" s="30">
        <f t="shared" ref="F910:K910" si="786">POWER(1+F909,PRJ_Step/360)-1</f>
        <v>5.6541453874052738E-3</v>
      </c>
      <c r="G910" s="30">
        <f t="shared" si="786"/>
        <v>5.6541453874052738E-3</v>
      </c>
      <c r="H910" s="30">
        <f t="shared" si="786"/>
        <v>5.6541453874052738E-3</v>
      </c>
      <c r="I910" s="30">
        <f t="shared" si="786"/>
        <v>5.6541453874052738E-3</v>
      </c>
      <c r="J910" s="30">
        <f t="shared" si="786"/>
        <v>5.6541453874052738E-3</v>
      </c>
      <c r="K910" s="30">
        <f t="shared" si="786"/>
        <v>5.6541453874052738E-3</v>
      </c>
    </row>
    <row r="911" spans="1:13" hidden="1" outlineLevel="2" x14ac:dyDescent="0.2">
      <c r="A911" t="str">
        <f ca="1">Language!A$619</f>
        <v>в том числе НДС</v>
      </c>
      <c r="B911" s="283">
        <f>VAT</f>
        <v>0</v>
      </c>
      <c r="C911" s="5" t="str">
        <f ca="1">CHOOSE(B907,CUR_Main,CUR_Foreign)</f>
        <v>руб.</v>
      </c>
      <c r="D911" t="str">
        <f>TEXT(B907,"0")&amp;"_02"</f>
        <v>1_02</v>
      </c>
      <c r="F911" s="53">
        <f t="shared" ref="F911:K911" si="787">F907*$B911/(1+$B911)</f>
        <v>0</v>
      </c>
      <c r="G911" s="53">
        <f t="shared" si="787"/>
        <v>0</v>
      </c>
      <c r="H911" s="53">
        <f t="shared" si="787"/>
        <v>0</v>
      </c>
      <c r="I911" s="53">
        <f t="shared" si="787"/>
        <v>0</v>
      </c>
      <c r="J911" s="53">
        <f t="shared" si="787"/>
        <v>0</v>
      </c>
      <c r="K911" s="53">
        <f t="shared" si="787"/>
        <v>0</v>
      </c>
      <c r="M911" s="54">
        <f>SUM(F911:K911)</f>
        <v>0</v>
      </c>
    </row>
    <row r="912" spans="1:13" outlineLevel="1" x14ac:dyDescent="0.2"/>
    <row r="913" spans="1:13" outlineLevel="1" x14ac:dyDescent="0.2">
      <c r="A913" s="63"/>
      <c r="B913" s="63"/>
      <c r="C913" s="63"/>
      <c r="D913" s="63"/>
      <c r="E913" s="63"/>
      <c r="F913" s="63"/>
      <c r="G913" s="63"/>
      <c r="H913" s="63"/>
      <c r="I913" s="63"/>
      <c r="J913" s="63"/>
      <c r="K913" s="63"/>
      <c r="L913" s="63"/>
      <c r="M913" s="64"/>
    </row>
    <row r="914" spans="1:13" outlineLevel="1" collapsed="1" x14ac:dyDescent="0.2">
      <c r="A914" s="35" t="str">
        <f ca="1">Language!A622</f>
        <v xml:space="preserve"> = Итого: затраты в отчете о прибылях и убытках</v>
      </c>
      <c r="C914" s="5" t="str">
        <f t="shared" ref="C914:C937" ca="1" si="788">CUR_Main</f>
        <v>руб.</v>
      </c>
      <c r="F914" s="89">
        <f t="shared" ref="F914:J914" ca="1" si="789">F915+F916+F917+F918+F919+F920+F921+F922+F923</f>
        <v>20712500</v>
      </c>
      <c r="G914" s="89">
        <f t="shared" ca="1" si="789"/>
        <v>20872100</v>
      </c>
      <c r="H914" s="89">
        <f t="shared" ca="1" si="789"/>
        <v>21031700</v>
      </c>
      <c r="I914" s="89">
        <f t="shared" ca="1" si="789"/>
        <v>21131500</v>
      </c>
      <c r="J914" s="89">
        <f t="shared" ca="1" si="789"/>
        <v>21131500</v>
      </c>
      <c r="K914" s="89">
        <f t="shared" ref="K914" ca="1" si="790">K915+K916+K917+K918+K919+K920+K921+K922+K923</f>
        <v>21132666.666666668</v>
      </c>
      <c r="L914" s="58"/>
      <c r="M914" s="57">
        <f t="shared" ref="M914:M920" ca="1" si="791">SUM(F914:K914)</f>
        <v>126011966.66666667</v>
      </c>
    </row>
    <row r="915" spans="1:13" hidden="1" outlineLevel="2" x14ac:dyDescent="0.2">
      <c r="A915" t="str">
        <f ca="1">Language!A623</f>
        <v xml:space="preserve">    материалы и комплектующие</v>
      </c>
      <c r="C915" s="5" t="str">
        <f t="shared" ca="1" si="788"/>
        <v>руб.</v>
      </c>
      <c r="F915" s="43">
        <f t="shared" ref="F915:J915" si="792">F733</f>
        <v>0</v>
      </c>
      <c r="G915" s="43">
        <f t="shared" si="792"/>
        <v>0</v>
      </c>
      <c r="H915" s="43">
        <f t="shared" si="792"/>
        <v>0</v>
      </c>
      <c r="I915" s="43">
        <f t="shared" si="792"/>
        <v>0</v>
      </c>
      <c r="J915" s="43">
        <f t="shared" si="792"/>
        <v>0</v>
      </c>
      <c r="K915" s="43">
        <f t="shared" ref="K915" si="793">K733</f>
        <v>0</v>
      </c>
      <c r="L915" s="43"/>
      <c r="M915" s="54">
        <f t="shared" si="791"/>
        <v>0</v>
      </c>
    </row>
    <row r="916" spans="1:13" hidden="1" outlineLevel="2" x14ac:dyDescent="0.2">
      <c r="A916" t="str">
        <f ca="1">Language!A624</f>
        <v xml:space="preserve">    прочие переменные затраты</v>
      </c>
      <c r="C916" s="5" t="str">
        <f t="shared" ca="1" si="788"/>
        <v>руб.</v>
      </c>
      <c r="F916" s="43">
        <f t="shared" ref="F916:J916" si="794">F778</f>
        <v>0</v>
      </c>
      <c r="G916" s="43">
        <f t="shared" si="794"/>
        <v>0</v>
      </c>
      <c r="H916" s="43">
        <f t="shared" si="794"/>
        <v>0</v>
      </c>
      <c r="I916" s="43">
        <f t="shared" si="794"/>
        <v>0</v>
      </c>
      <c r="J916" s="43">
        <f t="shared" si="794"/>
        <v>0</v>
      </c>
      <c r="K916" s="43">
        <f t="shared" ref="K916" si="795">K778</f>
        <v>0</v>
      </c>
      <c r="L916" s="43"/>
      <c r="M916" s="54">
        <f t="shared" si="791"/>
        <v>0</v>
      </c>
    </row>
    <row r="917" spans="1:13" hidden="1" outlineLevel="2" x14ac:dyDescent="0.2">
      <c r="A917" t="str">
        <f ca="1">Language!A625</f>
        <v xml:space="preserve">    оплата труда</v>
      </c>
      <c r="C917" s="5" t="str">
        <f t="shared" ca="1" si="788"/>
        <v>руб.</v>
      </c>
      <c r="F917" s="43">
        <f t="shared" ref="F917:J917" si="796">F853</f>
        <v>712500</v>
      </c>
      <c r="G917" s="43">
        <f t="shared" si="796"/>
        <v>872100</v>
      </c>
      <c r="H917" s="43">
        <f t="shared" si="796"/>
        <v>1031700</v>
      </c>
      <c r="I917" s="43">
        <f t="shared" si="796"/>
        <v>1111500</v>
      </c>
      <c r="J917" s="43">
        <f t="shared" si="796"/>
        <v>1111500</v>
      </c>
      <c r="K917" s="43">
        <f t="shared" ref="K917" si="797">K853</f>
        <v>1111500</v>
      </c>
      <c r="L917" s="43"/>
      <c r="M917" s="54">
        <f t="shared" si="791"/>
        <v>5950800</v>
      </c>
    </row>
    <row r="918" spans="1:13" hidden="1" outlineLevel="2" x14ac:dyDescent="0.2">
      <c r="A918" t="str">
        <f ca="1">Language!A626</f>
        <v xml:space="preserve">    налоги, относимые на текущие затраты</v>
      </c>
      <c r="C918" s="5" t="str">
        <f t="shared" ca="1" si="788"/>
        <v>руб.</v>
      </c>
      <c r="F918" s="109">
        <f t="shared" ref="F918:J918" si="798">F143+F147</f>
        <v>0</v>
      </c>
      <c r="G918" s="109">
        <f t="shared" si="798"/>
        <v>0</v>
      </c>
      <c r="H918" s="109">
        <f t="shared" si="798"/>
        <v>0</v>
      </c>
      <c r="I918" s="109">
        <f t="shared" si="798"/>
        <v>0</v>
      </c>
      <c r="J918" s="109">
        <f t="shared" si="798"/>
        <v>0</v>
      </c>
      <c r="K918" s="109">
        <f t="shared" ref="K918" si="799">K143+K147</f>
        <v>0</v>
      </c>
      <c r="L918" s="43"/>
      <c r="M918" s="54">
        <f t="shared" si="791"/>
        <v>0</v>
      </c>
    </row>
    <row r="919" spans="1:13" hidden="1" outlineLevel="2" x14ac:dyDescent="0.2">
      <c r="A919" t="str">
        <f ca="1">Language!A627</f>
        <v xml:space="preserve">    производственные расходы</v>
      </c>
      <c r="C919" s="5" t="str">
        <f t="shared" ca="1" si="788"/>
        <v>руб.</v>
      </c>
      <c r="F919" s="83">
        <f t="shared" ref="F919:J919" si="800">F930</f>
        <v>0</v>
      </c>
      <c r="G919" s="83">
        <f t="shared" si="800"/>
        <v>0</v>
      </c>
      <c r="H919" s="83">
        <f t="shared" si="800"/>
        <v>0</v>
      </c>
      <c r="I919" s="83">
        <f t="shared" si="800"/>
        <v>0</v>
      </c>
      <c r="J919" s="83">
        <f t="shared" si="800"/>
        <v>0</v>
      </c>
      <c r="K919" s="83">
        <f t="shared" ref="K919" si="801">K930</f>
        <v>0</v>
      </c>
      <c r="L919" s="43"/>
      <c r="M919" s="54">
        <f t="shared" si="791"/>
        <v>0</v>
      </c>
    </row>
    <row r="920" spans="1:13" hidden="1" outlineLevel="2" x14ac:dyDescent="0.2">
      <c r="A920" t="str">
        <f ca="1">Language!A628</f>
        <v xml:space="preserve">    начисленные лизинговые платежи</v>
      </c>
      <c r="C920" s="5" t="str">
        <f t="shared" ca="1" si="788"/>
        <v>руб.</v>
      </c>
      <c r="F920" s="109">
        <f t="shared" ref="F920:J920" ca="1" si="802">F569</f>
        <v>0</v>
      </c>
      <c r="G920" s="109">
        <f t="shared" ca="1" si="802"/>
        <v>0</v>
      </c>
      <c r="H920" s="109">
        <f t="shared" ca="1" si="802"/>
        <v>0</v>
      </c>
      <c r="I920" s="109">
        <f t="shared" ca="1" si="802"/>
        <v>0</v>
      </c>
      <c r="J920" s="109">
        <f t="shared" ca="1" si="802"/>
        <v>0</v>
      </c>
      <c r="K920" s="109">
        <f t="shared" ref="K920" ca="1" si="803">K569</f>
        <v>0</v>
      </c>
      <c r="L920" s="43"/>
      <c r="M920" s="54">
        <f t="shared" ca="1" si="791"/>
        <v>0</v>
      </c>
    </row>
    <row r="921" spans="1:13" hidden="1" outlineLevel="2" x14ac:dyDescent="0.2">
      <c r="A921" t="str">
        <f ca="1">Language!A629</f>
        <v xml:space="preserve">    амортизация</v>
      </c>
      <c r="C921" s="5" t="str">
        <f t="shared" ca="1" si="788"/>
        <v>руб.</v>
      </c>
      <c r="F921" s="109">
        <f t="shared" ref="F921:J921" ca="1" si="804">F877</f>
        <v>0</v>
      </c>
      <c r="G921" s="109">
        <f t="shared" ca="1" si="804"/>
        <v>0</v>
      </c>
      <c r="H921" s="109">
        <f t="shared" ca="1" si="804"/>
        <v>0</v>
      </c>
      <c r="I921" s="109">
        <f t="shared" ca="1" si="804"/>
        <v>20000</v>
      </c>
      <c r="J921" s="109">
        <f t="shared" ca="1" si="804"/>
        <v>20000</v>
      </c>
      <c r="K921" s="109">
        <f t="shared" ref="K921" ca="1" si="805">K877</f>
        <v>21166.666666666668</v>
      </c>
      <c r="L921" s="43"/>
      <c r="M921" s="54">
        <f ca="1">SUM(G921:K921)</f>
        <v>61166.666666666672</v>
      </c>
    </row>
    <row r="922" spans="1:13" hidden="1" outlineLevel="2" x14ac:dyDescent="0.2">
      <c r="A922" t="str">
        <f ca="1">Language!A630</f>
        <v xml:space="preserve">    коммерческие расходы</v>
      </c>
      <c r="C922" s="5" t="str">
        <f t="shared" ca="1" si="788"/>
        <v>руб.</v>
      </c>
      <c r="F922" s="109">
        <f t="shared" ref="F922:J922" si="806">F936</f>
        <v>20000000</v>
      </c>
      <c r="G922" s="109">
        <f t="shared" si="806"/>
        <v>20000000</v>
      </c>
      <c r="H922" s="109">
        <f t="shared" si="806"/>
        <v>20000000</v>
      </c>
      <c r="I922" s="109">
        <f t="shared" si="806"/>
        <v>20000000</v>
      </c>
      <c r="J922" s="109">
        <f t="shared" si="806"/>
        <v>20000000</v>
      </c>
      <c r="K922" s="109">
        <f t="shared" ref="K922" si="807">K936</f>
        <v>20000000</v>
      </c>
      <c r="L922" s="43"/>
      <c r="M922" s="54">
        <f t="shared" ref="M922:M937" si="808">SUM(F922:K922)</f>
        <v>120000000</v>
      </c>
    </row>
    <row r="923" spans="1:13" hidden="1" outlineLevel="2" x14ac:dyDescent="0.2">
      <c r="A923" t="str">
        <f ca="1">Language!A631</f>
        <v xml:space="preserve">    административные расходы</v>
      </c>
      <c r="C923" s="5" t="str">
        <f t="shared" ca="1" si="788"/>
        <v>руб.</v>
      </c>
      <c r="F923" s="109">
        <f t="shared" ref="F923:J923" si="809">F933</f>
        <v>0</v>
      </c>
      <c r="G923" s="109">
        <f t="shared" si="809"/>
        <v>0</v>
      </c>
      <c r="H923" s="109">
        <f t="shared" si="809"/>
        <v>0</v>
      </c>
      <c r="I923" s="109">
        <f t="shared" si="809"/>
        <v>0</v>
      </c>
      <c r="J923" s="109">
        <f t="shared" si="809"/>
        <v>0</v>
      </c>
      <c r="K923" s="109">
        <f t="shared" ref="K923" si="810">K933</f>
        <v>0</v>
      </c>
      <c r="L923" s="43"/>
      <c r="M923" s="54">
        <f t="shared" si="808"/>
        <v>0</v>
      </c>
    </row>
    <row r="924" spans="1:13" outlineLevel="1" collapsed="1" x14ac:dyDescent="0.2">
      <c r="A924" s="35" t="str">
        <f ca="1">Language!A632</f>
        <v xml:space="preserve"> = Итого: оплата текущих расходов</v>
      </c>
      <c r="C924" s="5" t="str">
        <f t="shared" ca="1" si="788"/>
        <v>руб.</v>
      </c>
      <c r="F924" s="56">
        <f t="shared" ref="F924:J924" si="811">SUM(F925:F927)+F929+F932+F935</f>
        <v>20712500</v>
      </c>
      <c r="G924" s="56">
        <f t="shared" si="811"/>
        <v>20872100</v>
      </c>
      <c r="H924" s="56">
        <f t="shared" si="811"/>
        <v>21031700</v>
      </c>
      <c r="I924" s="56">
        <f t="shared" si="811"/>
        <v>21111500</v>
      </c>
      <c r="J924" s="56">
        <f t="shared" si="811"/>
        <v>21111500</v>
      </c>
      <c r="K924" s="56">
        <f t="shared" ref="K924" si="812">SUM(K925:K927)+K929+K932+K935</f>
        <v>21111500</v>
      </c>
      <c r="L924" s="58"/>
      <c r="M924" s="57">
        <f t="shared" si="808"/>
        <v>125950800</v>
      </c>
    </row>
    <row r="925" spans="1:13" hidden="1" outlineLevel="2" x14ac:dyDescent="0.2">
      <c r="A925" t="str">
        <f ca="1">Language!A638</f>
        <v xml:space="preserve">    Материалы и комплектующие</v>
      </c>
      <c r="C925" s="5" t="str">
        <f t="shared" ca="1" si="788"/>
        <v>руб.</v>
      </c>
      <c r="F925" s="43">
        <f t="shared" ref="F925:J925" si="813">F729+F730</f>
        <v>0</v>
      </c>
      <c r="G925" s="43">
        <f t="shared" si="813"/>
        <v>0</v>
      </c>
      <c r="H925" s="43">
        <f t="shared" si="813"/>
        <v>0</v>
      </c>
      <c r="I925" s="43">
        <f t="shared" si="813"/>
        <v>0</v>
      </c>
      <c r="J925" s="43">
        <f t="shared" si="813"/>
        <v>0</v>
      </c>
      <c r="K925" s="43">
        <f t="shared" ref="K925" si="814">K729+K730</f>
        <v>0</v>
      </c>
      <c r="L925" s="43"/>
      <c r="M925" s="54">
        <f t="shared" si="808"/>
        <v>0</v>
      </c>
    </row>
    <row r="926" spans="1:13" hidden="1" outlineLevel="2" x14ac:dyDescent="0.2">
      <c r="A926" t="str">
        <f ca="1">"    "&amp;Language!A599</f>
        <v xml:space="preserve">    Прочие переменные затраты</v>
      </c>
      <c r="C926" s="5" t="str">
        <f t="shared" ca="1" si="788"/>
        <v>руб.</v>
      </c>
      <c r="F926" s="43">
        <f t="shared" ref="F926:J926" si="815">F774+F775</f>
        <v>0</v>
      </c>
      <c r="G926" s="43">
        <f t="shared" si="815"/>
        <v>0</v>
      </c>
      <c r="H926" s="43">
        <f t="shared" si="815"/>
        <v>0</v>
      </c>
      <c r="I926" s="43">
        <f t="shared" si="815"/>
        <v>0</v>
      </c>
      <c r="J926" s="43">
        <f t="shared" si="815"/>
        <v>0</v>
      </c>
      <c r="K926" s="43">
        <f t="shared" ref="K926" si="816">K774+K775</f>
        <v>0</v>
      </c>
      <c r="L926" s="43"/>
      <c r="M926" s="54">
        <f t="shared" si="808"/>
        <v>0</v>
      </c>
    </row>
    <row r="927" spans="1:13" hidden="1" outlineLevel="2" x14ac:dyDescent="0.2">
      <c r="A927" t="str">
        <f ca="1">Language!A639</f>
        <v xml:space="preserve">    Оплата труда (вкл. ЕСН и страхование)</v>
      </c>
      <c r="C927" s="5" t="str">
        <f t="shared" ca="1" si="788"/>
        <v>руб.</v>
      </c>
      <c r="F927" s="43">
        <f t="shared" ref="F927:J927" si="817">F853</f>
        <v>712500</v>
      </c>
      <c r="G927" s="43">
        <f t="shared" si="817"/>
        <v>872100</v>
      </c>
      <c r="H927" s="43">
        <f t="shared" si="817"/>
        <v>1031700</v>
      </c>
      <c r="I927" s="43">
        <f t="shared" si="817"/>
        <v>1111500</v>
      </c>
      <c r="J927" s="43">
        <f t="shared" si="817"/>
        <v>1111500</v>
      </c>
      <c r="K927" s="43">
        <f t="shared" ref="K927" si="818">K853</f>
        <v>1111500</v>
      </c>
      <c r="L927" s="43"/>
      <c r="M927" s="54">
        <f t="shared" si="808"/>
        <v>5950800</v>
      </c>
    </row>
    <row r="928" spans="1:13" hidden="1" outlineLevel="2" x14ac:dyDescent="0.2">
      <c r="A928" t="str">
        <f ca="1">"    "&amp;Language!A621</f>
        <v xml:space="preserve">    Земельный и другие налоги, относимые на текущие затраты</v>
      </c>
      <c r="C928" s="5" t="str">
        <f t="shared" ca="1" si="788"/>
        <v>руб.</v>
      </c>
      <c r="F928" s="43">
        <f t="shared" ref="F928:J928" si="819">F878</f>
        <v>0</v>
      </c>
      <c r="G928" s="43">
        <f t="shared" si="819"/>
        <v>0</v>
      </c>
      <c r="H928" s="43">
        <f t="shared" si="819"/>
        <v>0</v>
      </c>
      <c r="I928" s="43">
        <f t="shared" si="819"/>
        <v>0</v>
      </c>
      <c r="J928" s="43">
        <f t="shared" si="819"/>
        <v>0</v>
      </c>
      <c r="K928" s="43">
        <f t="shared" ref="K928" si="820">K878</f>
        <v>0</v>
      </c>
      <c r="L928" s="43"/>
      <c r="M928" s="54">
        <f t="shared" si="808"/>
        <v>0</v>
      </c>
    </row>
    <row r="929" spans="1:13" hidden="1" outlineLevel="2" x14ac:dyDescent="0.2">
      <c r="A929" t="str">
        <f ca="1">Language!A633</f>
        <v xml:space="preserve">    Производственные расходы</v>
      </c>
      <c r="C929" s="5" t="str">
        <f t="shared" ca="1" si="788"/>
        <v>руб.</v>
      </c>
      <c r="F929" s="53">
        <f t="shared" ref="F929:J929" si="821">SUMIF($D866:$D885,"*1_01*",F866:F885)+SUMIF($D866:$D885,"*2_01*",F866:F885)*F$88</f>
        <v>0</v>
      </c>
      <c r="G929" s="53">
        <f t="shared" si="821"/>
        <v>0</v>
      </c>
      <c r="H929" s="53">
        <f t="shared" si="821"/>
        <v>0</v>
      </c>
      <c r="I929" s="53">
        <f t="shared" si="821"/>
        <v>0</v>
      </c>
      <c r="J929" s="53">
        <f t="shared" si="821"/>
        <v>0</v>
      </c>
      <c r="K929" s="53">
        <f t="shared" ref="K929" si="822">SUMIF($D866:$D885,"*1_01*",K866:K885)+SUMIF($D866:$D885,"*2_01*",K866:K885)*K$88</f>
        <v>0</v>
      </c>
      <c r="L929" s="43"/>
      <c r="M929" s="54">
        <f t="shared" si="808"/>
        <v>0</v>
      </c>
    </row>
    <row r="930" spans="1:13" hidden="1" outlineLevel="2" x14ac:dyDescent="0.2">
      <c r="A930" t="str">
        <f ca="1">Language!A634</f>
        <v xml:space="preserve">        сумма без НДС</v>
      </c>
      <c r="C930" s="5" t="str">
        <f t="shared" ca="1" si="788"/>
        <v>руб.</v>
      </c>
      <c r="F930" s="53">
        <f t="shared" ref="F930:J930" si="823">F929-F931</f>
        <v>0</v>
      </c>
      <c r="G930" s="53">
        <f t="shared" si="823"/>
        <v>0</v>
      </c>
      <c r="H930" s="53">
        <f t="shared" si="823"/>
        <v>0</v>
      </c>
      <c r="I930" s="53">
        <f t="shared" si="823"/>
        <v>0</v>
      </c>
      <c r="J930" s="53">
        <f t="shared" si="823"/>
        <v>0</v>
      </c>
      <c r="K930" s="53">
        <f t="shared" ref="K930" si="824">K929-K931</f>
        <v>0</v>
      </c>
      <c r="L930" s="43"/>
      <c r="M930" s="54">
        <f t="shared" si="808"/>
        <v>0</v>
      </c>
    </row>
    <row r="931" spans="1:13" hidden="1" outlineLevel="2" x14ac:dyDescent="0.2">
      <c r="A931" t="str">
        <f ca="1">Language!A635</f>
        <v xml:space="preserve">        НДС</v>
      </c>
      <c r="C931" s="5" t="str">
        <f t="shared" ca="1" si="788"/>
        <v>руб.</v>
      </c>
      <c r="F931" s="43">
        <f t="shared" ref="F931:J931" si="825">SUMIF($D866:$D885,"*1_02*",F866:F885)+SUMIF($D866:$D885,"*2_02*",F866:F885)*F$88</f>
        <v>0</v>
      </c>
      <c r="G931" s="43">
        <f t="shared" si="825"/>
        <v>0</v>
      </c>
      <c r="H931" s="43">
        <f t="shared" si="825"/>
        <v>0</v>
      </c>
      <c r="I931" s="43">
        <f t="shared" si="825"/>
        <v>0</v>
      </c>
      <c r="J931" s="43">
        <f t="shared" si="825"/>
        <v>0</v>
      </c>
      <c r="K931" s="43">
        <f t="shared" ref="K931" si="826">SUMIF($D866:$D885,"*1_02*",K866:K885)+SUMIF($D866:$D885,"*2_02*",K866:K885)*K$88</f>
        <v>0</v>
      </c>
      <c r="L931" s="43"/>
      <c r="M931" s="54">
        <f t="shared" si="808"/>
        <v>0</v>
      </c>
    </row>
    <row r="932" spans="1:13" hidden="1" outlineLevel="2" x14ac:dyDescent="0.2">
      <c r="A932" t="str">
        <f ca="1">Language!A636</f>
        <v xml:space="preserve">    Административные расходы</v>
      </c>
      <c r="C932" s="5" t="str">
        <f t="shared" ca="1" si="788"/>
        <v>руб.</v>
      </c>
      <c r="F932" s="43">
        <f t="shared" ref="F932:J932" si="827">SUMIF($D890:$D895,"*1_01*",F890:F895)+SUMIF($D890:$D895,"*2_01*",F890:F895)*F$88</f>
        <v>0</v>
      </c>
      <c r="G932" s="43">
        <f t="shared" si="827"/>
        <v>0</v>
      </c>
      <c r="H932" s="43">
        <f t="shared" si="827"/>
        <v>0</v>
      </c>
      <c r="I932" s="43">
        <f t="shared" si="827"/>
        <v>0</v>
      </c>
      <c r="J932" s="43">
        <f t="shared" si="827"/>
        <v>0</v>
      </c>
      <c r="K932" s="43">
        <f t="shared" ref="K932" si="828">SUMIF($D890:$D895,"*1_01*",K890:K895)+SUMIF($D890:$D895,"*2_01*",K890:K895)*K$88</f>
        <v>0</v>
      </c>
      <c r="L932" s="43"/>
      <c r="M932" s="54">
        <f t="shared" si="808"/>
        <v>0</v>
      </c>
    </row>
    <row r="933" spans="1:13" hidden="1" outlineLevel="2" x14ac:dyDescent="0.2">
      <c r="A933" t="str">
        <f ca="1">Language!A634</f>
        <v xml:space="preserve">        сумма без НДС</v>
      </c>
      <c r="C933" s="5" t="str">
        <f t="shared" ca="1" si="788"/>
        <v>руб.</v>
      </c>
      <c r="F933" s="53">
        <f t="shared" ref="F933:J933" si="829">F932-F934</f>
        <v>0</v>
      </c>
      <c r="G933" s="53">
        <f t="shared" si="829"/>
        <v>0</v>
      </c>
      <c r="H933" s="53">
        <f t="shared" si="829"/>
        <v>0</v>
      </c>
      <c r="I933" s="53">
        <f t="shared" si="829"/>
        <v>0</v>
      </c>
      <c r="J933" s="53">
        <f t="shared" si="829"/>
        <v>0</v>
      </c>
      <c r="K933" s="53">
        <f t="shared" ref="K933" si="830">K932-K934</f>
        <v>0</v>
      </c>
      <c r="L933" s="43"/>
      <c r="M933" s="54">
        <f t="shared" si="808"/>
        <v>0</v>
      </c>
    </row>
    <row r="934" spans="1:13" hidden="1" outlineLevel="2" x14ac:dyDescent="0.2">
      <c r="A934" t="str">
        <f ca="1">Language!A635</f>
        <v xml:space="preserve">        НДС</v>
      </c>
      <c r="C934" s="5" t="str">
        <f t="shared" ca="1" si="788"/>
        <v>руб.</v>
      </c>
      <c r="F934" s="43">
        <f t="shared" ref="F934:J934" si="831">SUMIF($D890:$D895,"*1_02*",F890:F895)+SUMIF($D890:$D895,"*2_02*",F890:F895)*F$88</f>
        <v>0</v>
      </c>
      <c r="G934" s="43">
        <f t="shared" si="831"/>
        <v>0</v>
      </c>
      <c r="H934" s="43">
        <f t="shared" si="831"/>
        <v>0</v>
      </c>
      <c r="I934" s="43">
        <f t="shared" si="831"/>
        <v>0</v>
      </c>
      <c r="J934" s="43">
        <f t="shared" si="831"/>
        <v>0</v>
      </c>
      <c r="K934" s="43">
        <f t="shared" ref="K934" si="832">SUMIF($D890:$D895,"*1_02*",K890:K895)+SUMIF($D890:$D895,"*2_02*",K890:K895)*K$88</f>
        <v>0</v>
      </c>
      <c r="L934" s="43"/>
      <c r="M934" s="54">
        <f t="shared" si="808"/>
        <v>0</v>
      </c>
    </row>
    <row r="935" spans="1:13" hidden="1" outlineLevel="2" x14ac:dyDescent="0.2">
      <c r="A935" t="str">
        <f ca="1">Language!A637</f>
        <v xml:space="preserve">    Коммерческие расходы</v>
      </c>
      <c r="C935" s="5" t="str">
        <f t="shared" ca="1" si="788"/>
        <v>руб.</v>
      </c>
      <c r="F935" s="43">
        <f t="shared" ref="F935:J935" si="833">SUMIF($D901:$D912,"*1_01*",F901:F912)+SUMIF($D901:$D912,"*2_01*",F901:F912)*F$88</f>
        <v>20000000</v>
      </c>
      <c r="G935" s="43">
        <f t="shared" si="833"/>
        <v>20000000</v>
      </c>
      <c r="H935" s="43">
        <f t="shared" si="833"/>
        <v>20000000</v>
      </c>
      <c r="I935" s="43">
        <f t="shared" si="833"/>
        <v>20000000</v>
      </c>
      <c r="J935" s="43">
        <f t="shared" si="833"/>
        <v>20000000</v>
      </c>
      <c r="K935" s="43">
        <f t="shared" ref="K935" si="834">SUMIF($D901:$D912,"*1_01*",K901:K912)+SUMIF($D901:$D912,"*2_01*",K901:K912)*K$88</f>
        <v>20000000</v>
      </c>
      <c r="L935" s="43"/>
      <c r="M935" s="54">
        <f t="shared" si="808"/>
        <v>120000000</v>
      </c>
    </row>
    <row r="936" spans="1:13" hidden="1" outlineLevel="2" x14ac:dyDescent="0.2">
      <c r="A936" t="str">
        <f ca="1">Language!A634</f>
        <v xml:space="preserve">        сумма без НДС</v>
      </c>
      <c r="C936" s="5" t="str">
        <f t="shared" ca="1" si="788"/>
        <v>руб.</v>
      </c>
      <c r="F936" s="53">
        <f t="shared" ref="F936:J936" si="835">F935-F937</f>
        <v>20000000</v>
      </c>
      <c r="G936" s="53">
        <f t="shared" si="835"/>
        <v>20000000</v>
      </c>
      <c r="H936" s="53">
        <f t="shared" si="835"/>
        <v>20000000</v>
      </c>
      <c r="I936" s="53">
        <f t="shared" si="835"/>
        <v>20000000</v>
      </c>
      <c r="J936" s="53">
        <f t="shared" si="835"/>
        <v>20000000</v>
      </c>
      <c r="K936" s="53">
        <f t="shared" ref="K936" si="836">K935-K937</f>
        <v>20000000</v>
      </c>
      <c r="L936" s="43"/>
      <c r="M936" s="54">
        <f t="shared" si="808"/>
        <v>120000000</v>
      </c>
    </row>
    <row r="937" spans="1:13" hidden="1" outlineLevel="2" x14ac:dyDescent="0.2">
      <c r="A937" t="str">
        <f ca="1">Language!A635</f>
        <v xml:space="preserve">        НДС</v>
      </c>
      <c r="C937" s="5" t="str">
        <f t="shared" ca="1" si="788"/>
        <v>руб.</v>
      </c>
      <c r="F937" s="43">
        <f t="shared" ref="F937:J937" si="837">SUMIF($D901:$D912,"*1_02*",F901:F912)+SUMIF($D901:$D912,"*2_02*",F901:F912)*F$88</f>
        <v>0</v>
      </c>
      <c r="G937" s="43">
        <f t="shared" si="837"/>
        <v>0</v>
      </c>
      <c r="H937" s="43">
        <f t="shared" si="837"/>
        <v>0</v>
      </c>
      <c r="I937" s="43">
        <f t="shared" si="837"/>
        <v>0</v>
      </c>
      <c r="J937" s="43">
        <f t="shared" si="837"/>
        <v>0</v>
      </c>
      <c r="K937" s="43">
        <f t="shared" ref="K937" si="838">SUMIF($D901:$D912,"*1_02*",K901:K912)+SUMIF($D901:$D912,"*2_02*",K901:K912)*K$88</f>
        <v>0</v>
      </c>
      <c r="L937" s="43"/>
      <c r="M937" s="54">
        <f t="shared" si="808"/>
        <v>0</v>
      </c>
    </row>
    <row r="938" spans="1:13" outlineLevel="1" x14ac:dyDescent="0.2">
      <c r="A938" s="63"/>
      <c r="B938" s="63"/>
      <c r="C938" s="63"/>
      <c r="D938" s="63"/>
      <c r="E938" s="63"/>
      <c r="F938" s="63"/>
      <c r="G938" s="63"/>
      <c r="H938" s="63"/>
      <c r="I938" s="63"/>
      <c r="J938" s="63"/>
      <c r="K938" s="63"/>
      <c r="L938" s="63"/>
      <c r="M938" s="64"/>
    </row>
    <row r="939" spans="1:13" outlineLevel="1" x14ac:dyDescent="0.2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22"/>
    </row>
    <row r="940" spans="1:13" s="4" customFormat="1" ht="15.9" customHeight="1" thickBot="1" x14ac:dyDescent="0.25">
      <c r="A940" s="166" t="str">
        <f ca="1">Language!A471</f>
        <v xml:space="preserve">         ОБОРОТНЫЙ КАПИТАЛ</v>
      </c>
      <c r="B940" s="166"/>
      <c r="C940" s="166"/>
      <c r="D940" s="166"/>
      <c r="E940" s="166"/>
      <c r="F940" s="178" t="str">
        <f t="shared" ref="F940:K940" si="839">PeriodTitle</f>
        <v>4/ 2020</v>
      </c>
      <c r="G940" s="178" t="str">
        <f t="shared" si="839"/>
        <v>5/ 2020</v>
      </c>
      <c r="H940" s="178" t="str">
        <f t="shared" si="839"/>
        <v>6/ 2020</v>
      </c>
      <c r="I940" s="178" t="str">
        <f t="shared" si="839"/>
        <v>7/ 2020</v>
      </c>
      <c r="J940" s="178" t="str">
        <f t="shared" si="839"/>
        <v>8/ 2020</v>
      </c>
      <c r="K940" s="178" t="str">
        <f t="shared" si="839"/>
        <v>9/ 2020</v>
      </c>
      <c r="L940" s="178"/>
      <c r="M940" s="195" t="str">
        <f ca="1">Language!$A$371</f>
        <v>ИТОГО</v>
      </c>
    </row>
    <row r="941" spans="1:13" ht="10.8" outlineLevel="1" thickTop="1" x14ac:dyDescent="0.2"/>
    <row r="942" spans="1:13" outlineLevel="1" x14ac:dyDescent="0.2">
      <c r="A942" s="35" t="str">
        <f ca="1">Language!A472</f>
        <v>ЗАПАСЫ</v>
      </c>
    </row>
    <row r="943" spans="1:13" outlineLevel="1" x14ac:dyDescent="0.2">
      <c r="A943" t="str">
        <f ca="1">Language!A473</f>
        <v>Запасы сырья и материалов</v>
      </c>
      <c r="C943" s="5" t="str">
        <f ca="1">CUR_Main</f>
        <v>руб.</v>
      </c>
      <c r="D943" s="16" t="s">
        <v>384</v>
      </c>
      <c r="E943" s="53">
        <f t="shared" ref="E943:J943" si="840">E945+E946</f>
        <v>0</v>
      </c>
      <c r="F943" s="53">
        <f t="shared" si="840"/>
        <v>0</v>
      </c>
      <c r="G943" s="53">
        <f t="shared" si="840"/>
        <v>0</v>
      </c>
      <c r="H943" s="53">
        <f t="shared" si="840"/>
        <v>0</v>
      </c>
      <c r="I943" s="53">
        <f t="shared" si="840"/>
        <v>0</v>
      </c>
      <c r="J943" s="53">
        <f t="shared" si="840"/>
        <v>0</v>
      </c>
      <c r="K943" s="53">
        <f t="shared" ref="K943" si="841">K945+K946</f>
        <v>0</v>
      </c>
    </row>
    <row r="944" spans="1:13" outlineLevel="1" collapsed="1" x14ac:dyDescent="0.2">
      <c r="A944" t="str">
        <f ca="1">Language!A474</f>
        <v xml:space="preserve">    среднее время хранения</v>
      </c>
      <c r="B944" s="259">
        <v>0</v>
      </c>
      <c r="C944" s="5" t="str">
        <f ca="1">Language!A38</f>
        <v>дн.</v>
      </c>
      <c r="D944" s="16"/>
    </row>
    <row r="945" spans="1:13" hidden="1" outlineLevel="2" x14ac:dyDescent="0.2">
      <c r="A945" t="str">
        <f ca="1">Language!A567</f>
        <v xml:space="preserve">    запасы на основе периодов оборота</v>
      </c>
      <c r="B945" s="50"/>
      <c r="C945" s="5" t="str">
        <f ca="1">CUR_Main</f>
        <v>руб.</v>
      </c>
      <c r="D945" s="16" t="s">
        <v>384</v>
      </c>
      <c r="E945">
        <f>F50*CHOOSE($B$37,1,F$88)</f>
        <v>0</v>
      </c>
      <c r="F945" s="43">
        <f t="shared" ref="F945:J945" si="842">F727</f>
        <v>0</v>
      </c>
      <c r="G945" s="43">
        <f t="shared" si="842"/>
        <v>0</v>
      </c>
      <c r="H945" s="43">
        <f t="shared" si="842"/>
        <v>0</v>
      </c>
      <c r="I945" s="43">
        <f t="shared" si="842"/>
        <v>0</v>
      </c>
      <c r="J945" s="43">
        <f t="shared" si="842"/>
        <v>0</v>
      </c>
      <c r="K945" s="43">
        <f t="shared" ref="K945" si="843">K727</f>
        <v>0</v>
      </c>
    </row>
    <row r="946" spans="1:13" hidden="1" outlineLevel="2" x14ac:dyDescent="0.2">
      <c r="A946" t="str">
        <f ca="1">Language!A568</f>
        <v xml:space="preserve">    запасы на основе графика оплаты</v>
      </c>
      <c r="B946" s="50"/>
      <c r="C946" s="5" t="str">
        <f ca="1">CUR_Main</f>
        <v>руб.</v>
      </c>
      <c r="D946" s="16" t="s">
        <v>384</v>
      </c>
      <c r="F946" s="43">
        <f t="shared" ref="F946:J946" si="844">F728</f>
        <v>0</v>
      </c>
      <c r="G946" s="43">
        <f t="shared" si="844"/>
        <v>0</v>
      </c>
      <c r="H946" s="43">
        <f t="shared" si="844"/>
        <v>0</v>
      </c>
      <c r="I946" s="43">
        <f t="shared" si="844"/>
        <v>0</v>
      </c>
      <c r="J946" s="43">
        <f t="shared" si="844"/>
        <v>0</v>
      </c>
      <c r="K946" s="43">
        <f t="shared" ref="K946" si="845">K728</f>
        <v>0</v>
      </c>
    </row>
    <row r="947" spans="1:13" outlineLevel="1" x14ac:dyDescent="0.2">
      <c r="A947" t="str">
        <f ca="1">Language!A475</f>
        <v>Незавершенное производство</v>
      </c>
      <c r="B947" s="17"/>
      <c r="C947" s="5" t="str">
        <f ca="1">CUR_Main</f>
        <v>руб.</v>
      </c>
      <c r="D947" s="16" t="s">
        <v>384</v>
      </c>
      <c r="E947" s="84">
        <f t="shared" ref="E947:J947" si="846">E949+E950</f>
        <v>0</v>
      </c>
      <c r="F947" s="84">
        <f t="shared" si="846"/>
        <v>0</v>
      </c>
      <c r="G947" s="84">
        <f t="shared" si="846"/>
        <v>0</v>
      </c>
      <c r="H947" s="84">
        <f t="shared" si="846"/>
        <v>0</v>
      </c>
      <c r="I947" s="84">
        <f t="shared" si="846"/>
        <v>0</v>
      </c>
      <c r="J947" s="84">
        <f t="shared" si="846"/>
        <v>0</v>
      </c>
      <c r="K947" s="84">
        <f t="shared" ref="K947" si="847">K949+K950</f>
        <v>0</v>
      </c>
    </row>
    <row r="948" spans="1:13" outlineLevel="1" collapsed="1" x14ac:dyDescent="0.2">
      <c r="A948" t="str">
        <f ca="1">Language!A476</f>
        <v xml:space="preserve">    длительность производственного цикла</v>
      </c>
      <c r="B948" s="259">
        <v>60</v>
      </c>
      <c r="C948" s="5" t="str">
        <f ca="1">Language!A38</f>
        <v>дн.</v>
      </c>
      <c r="D948" s="16"/>
    </row>
    <row r="949" spans="1:13" hidden="1" outlineLevel="2" x14ac:dyDescent="0.2">
      <c r="A949" t="str">
        <f ca="1">Language!A567</f>
        <v xml:space="preserve">    запасы на основе периодов оборота</v>
      </c>
      <c r="B949" s="50"/>
      <c r="C949" s="5" t="str">
        <f ca="1">CUR_Main</f>
        <v>руб.</v>
      </c>
      <c r="D949" s="16" t="s">
        <v>384</v>
      </c>
      <c r="E949">
        <f>F51*CHOOSE($B$37,1,F$88)</f>
        <v>0</v>
      </c>
      <c r="F949" s="43">
        <f t="shared" ref="F949:J949" si="848">F735+F780</f>
        <v>0</v>
      </c>
      <c r="G949" s="43">
        <f t="shared" si="848"/>
        <v>0</v>
      </c>
      <c r="H949" s="43">
        <f t="shared" si="848"/>
        <v>0</v>
      </c>
      <c r="I949" s="43">
        <f t="shared" si="848"/>
        <v>0</v>
      </c>
      <c r="J949" s="43">
        <f t="shared" si="848"/>
        <v>0</v>
      </c>
      <c r="K949" s="43">
        <f t="shared" ref="K949" si="849">K735+K780</f>
        <v>0</v>
      </c>
    </row>
    <row r="950" spans="1:13" hidden="1" outlineLevel="2" x14ac:dyDescent="0.2">
      <c r="A950" t="str">
        <f ca="1">Language!A568</f>
        <v xml:space="preserve">    запасы на основе графика оплаты</v>
      </c>
      <c r="B950" s="50"/>
      <c r="C950" s="5" t="str">
        <f ca="1">CUR_Main</f>
        <v>руб.</v>
      </c>
      <c r="D950" s="16" t="s">
        <v>384</v>
      </c>
      <c r="F950" s="43">
        <f>0</f>
        <v>0</v>
      </c>
      <c r="G950" s="43">
        <f>0</f>
        <v>0</v>
      </c>
      <c r="H950" s="43">
        <f>0</f>
        <v>0</v>
      </c>
      <c r="I950" s="43">
        <f>0</f>
        <v>0</v>
      </c>
      <c r="J950" s="43">
        <f>0</f>
        <v>0</v>
      </c>
      <c r="K950" s="43">
        <f>0</f>
        <v>0</v>
      </c>
    </row>
    <row r="951" spans="1:13" outlineLevel="1" x14ac:dyDescent="0.2">
      <c r="A951" t="str">
        <f ca="1">Language!A477</f>
        <v>Запасы готовой продукции</v>
      </c>
      <c r="B951" s="17"/>
      <c r="C951" s="5" t="str">
        <f ca="1">CUR_Main</f>
        <v>руб.</v>
      </c>
      <c r="D951" s="16" t="s">
        <v>384</v>
      </c>
      <c r="E951" s="84">
        <f t="shared" ref="E951:J951" si="850">E953+E954</f>
        <v>0</v>
      </c>
      <c r="F951" s="84">
        <f t="shared" si="850"/>
        <v>0</v>
      </c>
      <c r="G951" s="84">
        <f t="shared" si="850"/>
        <v>0</v>
      </c>
      <c r="H951" s="84">
        <f t="shared" si="850"/>
        <v>0</v>
      </c>
      <c r="I951" s="84">
        <f t="shared" si="850"/>
        <v>0</v>
      </c>
      <c r="J951" s="84">
        <f t="shared" si="850"/>
        <v>0</v>
      </c>
      <c r="K951" s="84">
        <f t="shared" ref="K951" si="851">K953+K954</f>
        <v>0</v>
      </c>
    </row>
    <row r="952" spans="1:13" outlineLevel="1" collapsed="1" x14ac:dyDescent="0.2">
      <c r="A952" s="19" t="str">
        <f ca="1">Language!A480</f>
        <v xml:space="preserve">    среднее время хранения</v>
      </c>
      <c r="B952" s="289">
        <v>0</v>
      </c>
      <c r="C952" s="26" t="str">
        <f ca="1">Language!A38</f>
        <v>дн.</v>
      </c>
      <c r="D952" s="46"/>
      <c r="E952" s="19"/>
      <c r="F952" s="65"/>
      <c r="G952" s="65"/>
      <c r="H952" s="65"/>
      <c r="I952" s="65"/>
      <c r="J952" s="65"/>
      <c r="K952" s="65"/>
      <c r="L952" s="19"/>
      <c r="M952" s="22"/>
    </row>
    <row r="953" spans="1:13" hidden="1" outlineLevel="2" x14ac:dyDescent="0.2">
      <c r="A953" s="19" t="str">
        <f ca="1">Language!A567</f>
        <v xml:space="preserve">    запасы на основе периодов оборота</v>
      </c>
      <c r="B953" s="148"/>
      <c r="C953" s="5" t="str">
        <f ca="1">CUR_Main</f>
        <v>руб.</v>
      </c>
      <c r="D953" s="16" t="s">
        <v>384</v>
      </c>
      <c r="E953" s="19">
        <f>F52*CHOOSE($B$37,1,F$88)</f>
        <v>0</v>
      </c>
      <c r="F953" s="65">
        <f t="shared" ref="F953:J953" si="852">(F723+F772)*NWC_T_Goods/PRJ_Step</f>
        <v>0</v>
      </c>
      <c r="G953" s="65">
        <f t="shared" si="852"/>
        <v>0</v>
      </c>
      <c r="H953" s="65">
        <f t="shared" si="852"/>
        <v>0</v>
      </c>
      <c r="I953" s="65">
        <f t="shared" si="852"/>
        <v>0</v>
      </c>
      <c r="J953" s="65">
        <f t="shared" si="852"/>
        <v>0</v>
      </c>
      <c r="K953" s="65">
        <f t="shared" ref="K953" si="853">(K723+K772)*NWC_T_Goods/PRJ_Step</f>
        <v>0</v>
      </c>
      <c r="L953" s="19"/>
      <c r="M953" s="22"/>
    </row>
    <row r="954" spans="1:13" hidden="1" outlineLevel="2" x14ac:dyDescent="0.2">
      <c r="A954" s="19" t="str">
        <f ca="1">Language!A568</f>
        <v xml:space="preserve">    запасы на основе графика оплаты</v>
      </c>
      <c r="B954" s="50"/>
      <c r="C954" s="5" t="str">
        <f ca="1">CUR_Main</f>
        <v>руб.</v>
      </c>
      <c r="D954" s="16" t="s">
        <v>384</v>
      </c>
      <c r="E954" s="19"/>
      <c r="F954" s="65">
        <f t="shared" ref="F954:J954" si="854">F779+F734</f>
        <v>0</v>
      </c>
      <c r="G954" s="65">
        <f t="shared" si="854"/>
        <v>0</v>
      </c>
      <c r="H954" s="65">
        <f t="shared" si="854"/>
        <v>0</v>
      </c>
      <c r="I954" s="65">
        <f t="shared" si="854"/>
        <v>0</v>
      </c>
      <c r="J954" s="65">
        <f t="shared" si="854"/>
        <v>0</v>
      </c>
      <c r="K954" s="65">
        <f t="shared" ref="K954" si="855">K779+K734</f>
        <v>0</v>
      </c>
      <c r="L954" s="19"/>
      <c r="M954" s="22"/>
    </row>
    <row r="955" spans="1:13" outlineLevel="1" x14ac:dyDescent="0.2">
      <c r="A955" s="63"/>
      <c r="B955" s="63"/>
      <c r="C955" s="63"/>
      <c r="D955" s="60"/>
      <c r="E955" s="63"/>
      <c r="F955" s="121"/>
      <c r="G955" s="121"/>
      <c r="H955" s="121"/>
      <c r="I955" s="121"/>
      <c r="J955" s="121"/>
      <c r="K955" s="121"/>
      <c r="L955" s="63"/>
      <c r="M955" s="64"/>
    </row>
    <row r="956" spans="1:13" outlineLevel="1" x14ac:dyDescent="0.2">
      <c r="A956" s="62" t="str">
        <f ca="1">Language!A481</f>
        <v>РАСЧЕТЫ С ПОКУПАТЕЛЯМИ</v>
      </c>
      <c r="B956" s="19"/>
      <c r="C956" s="19"/>
      <c r="D956" s="46"/>
      <c r="E956" s="19"/>
      <c r="F956" s="65"/>
      <c r="G956" s="65"/>
      <c r="H956" s="65"/>
      <c r="I956" s="65"/>
      <c r="J956" s="65"/>
      <c r="K956" s="65"/>
      <c r="L956" s="19"/>
      <c r="M956" s="22"/>
    </row>
    <row r="957" spans="1:13" outlineLevel="1" x14ac:dyDescent="0.2">
      <c r="A957" t="str">
        <f ca="1">Language!A482</f>
        <v>Поступления денег от продаж:</v>
      </c>
      <c r="B957" s="36" t="str">
        <f ca="1">Language!A522</f>
        <v>доля</v>
      </c>
      <c r="C957" s="36" t="str">
        <f ca="1">Language!A523</f>
        <v>срок, дн.</v>
      </c>
      <c r="D957" s="16"/>
      <c r="F957" s="43"/>
      <c r="G957" s="43"/>
      <c r="H957" s="43"/>
      <c r="I957" s="43"/>
      <c r="J957" s="43"/>
      <c r="K957" s="43"/>
    </row>
    <row r="958" spans="1:13" outlineLevel="1" x14ac:dyDescent="0.2">
      <c r="A958" t="str">
        <f ca="1">Language!A483</f>
        <v xml:space="preserve">    немедленная оплата</v>
      </c>
      <c r="B958" s="61">
        <v>1</v>
      </c>
      <c r="C958" s="17" t="s">
        <v>382</v>
      </c>
      <c r="D958" s="16"/>
      <c r="F958" s="43"/>
      <c r="G958" s="43"/>
      <c r="H958" s="43"/>
      <c r="I958" s="43"/>
      <c r="J958" s="43"/>
      <c r="K958" s="43"/>
    </row>
    <row r="959" spans="1:13" outlineLevel="1" x14ac:dyDescent="0.2">
      <c r="A959" t="str">
        <f ca="1">Language!A484</f>
        <v xml:space="preserve">    продажи с предоплатой</v>
      </c>
      <c r="B959" s="283">
        <v>1</v>
      </c>
      <c r="C959" s="259">
        <v>0</v>
      </c>
      <c r="D959" s="16"/>
      <c r="F959" s="43"/>
      <c r="G959" s="43"/>
      <c r="H959" s="43"/>
      <c r="I959" s="43"/>
      <c r="J959" s="43"/>
      <c r="K959" s="43"/>
    </row>
    <row r="960" spans="1:13" outlineLevel="1" x14ac:dyDescent="0.2">
      <c r="A960" t="str">
        <f ca="1">Language!A485</f>
        <v xml:space="preserve">    продажи в кредит</v>
      </c>
      <c r="B960" s="283">
        <v>0</v>
      </c>
      <c r="C960" s="259">
        <v>60</v>
      </c>
      <c r="D960" s="16"/>
      <c r="F960" s="43"/>
      <c r="G960" s="43"/>
      <c r="H960" s="43"/>
      <c r="I960" s="43"/>
      <c r="J960" s="43"/>
      <c r="K960" s="43"/>
    </row>
    <row r="961" spans="1:13" outlineLevel="1" collapsed="1" x14ac:dyDescent="0.2">
      <c r="A961" t="str">
        <f ca="1">Language!A486</f>
        <v>Сумма счетов к получению</v>
      </c>
      <c r="C961" s="5" t="str">
        <f t="shared" ref="C961:C966" ca="1" si="856">CUR_Main</f>
        <v>руб.</v>
      </c>
      <c r="D961" s="16" t="s">
        <v>384</v>
      </c>
      <c r="E961" s="43">
        <f t="shared" ref="E961:J961" si="857">E962+E963</f>
        <v>0</v>
      </c>
      <c r="F961" s="43">
        <f t="shared" si="857"/>
        <v>0</v>
      </c>
      <c r="G961" s="43">
        <f t="shared" si="857"/>
        <v>0</v>
      </c>
      <c r="H961" s="43">
        <f t="shared" si="857"/>
        <v>0</v>
      </c>
      <c r="I961" s="43">
        <f t="shared" si="857"/>
        <v>0</v>
      </c>
      <c r="J961" s="43">
        <f t="shared" si="857"/>
        <v>0</v>
      </c>
      <c r="K961" s="43">
        <f t="shared" ref="K961" si="858">K962+K963</f>
        <v>0</v>
      </c>
    </row>
    <row r="962" spans="1:13" hidden="1" outlineLevel="2" x14ac:dyDescent="0.2">
      <c r="A962" t="str">
        <f ca="1">Language!A487</f>
        <v xml:space="preserve">    на основе циклов оборачиваемости</v>
      </c>
      <c r="C962" s="5" t="str">
        <f t="shared" ca="1" si="856"/>
        <v>руб.</v>
      </c>
      <c r="D962" s="16" t="s">
        <v>384</v>
      </c>
      <c r="E962">
        <f>F53*CHOOSE($B$37,1,F$88)</f>
        <v>0</v>
      </c>
      <c r="F962" s="43">
        <f t="shared" ref="F962:J962" si="859">F636*NWC_T_Db_CrdK*NWC_T_Db_CrdT/PRJ_Step</f>
        <v>0</v>
      </c>
      <c r="G962" s="43">
        <f t="shared" si="859"/>
        <v>0</v>
      </c>
      <c r="H962" s="43">
        <f t="shared" si="859"/>
        <v>0</v>
      </c>
      <c r="I962" s="43">
        <f t="shared" si="859"/>
        <v>0</v>
      </c>
      <c r="J962" s="43">
        <f t="shared" si="859"/>
        <v>0</v>
      </c>
      <c r="K962" s="43">
        <f t="shared" ref="K962" si="860">K636*NWC_T_Db_CrdK*NWC_T_Db_CrdT/PRJ_Step</f>
        <v>0</v>
      </c>
    </row>
    <row r="963" spans="1:13" hidden="1" outlineLevel="2" x14ac:dyDescent="0.2">
      <c r="A963" t="str">
        <f ca="1">Language!A488</f>
        <v xml:space="preserve">    в соответствии с графиком оплаты продукции</v>
      </c>
      <c r="C963" s="5" t="str">
        <f t="shared" ca="1" si="856"/>
        <v>руб.</v>
      </c>
      <c r="D963" s="16" t="s">
        <v>384</v>
      </c>
      <c r="F963" s="43">
        <f t="shared" ref="F963:J963" si="861">F642</f>
        <v>0</v>
      </c>
      <c r="G963" s="43">
        <f t="shared" si="861"/>
        <v>0</v>
      </c>
      <c r="H963" s="43">
        <f t="shared" si="861"/>
        <v>0</v>
      </c>
      <c r="I963" s="43">
        <f t="shared" si="861"/>
        <v>0</v>
      </c>
      <c r="J963" s="43">
        <f t="shared" si="861"/>
        <v>0</v>
      </c>
      <c r="K963" s="43">
        <f t="shared" ref="K963" si="862">K642</f>
        <v>0</v>
      </c>
    </row>
    <row r="964" spans="1:13" outlineLevel="1" collapsed="1" x14ac:dyDescent="0.2">
      <c r="A964" t="str">
        <f ca="1">Language!A489</f>
        <v>Сумма полученных авансов</v>
      </c>
      <c r="C964" s="5" t="str">
        <f t="shared" ca="1" si="856"/>
        <v>руб.</v>
      </c>
      <c r="D964" s="46" t="s">
        <v>384</v>
      </c>
      <c r="E964" s="43">
        <f t="shared" ref="E964:J964" si="863">E965+E966</f>
        <v>0</v>
      </c>
      <c r="F964" s="43">
        <f t="shared" si="863"/>
        <v>0</v>
      </c>
      <c r="G964" s="43">
        <f t="shared" si="863"/>
        <v>0</v>
      </c>
      <c r="H964" s="43">
        <f t="shared" si="863"/>
        <v>0</v>
      </c>
      <c r="I964" s="43">
        <f t="shared" si="863"/>
        <v>0</v>
      </c>
      <c r="J964" s="43">
        <f t="shared" si="863"/>
        <v>0</v>
      </c>
      <c r="K964" s="43">
        <f t="shared" ref="K964" si="864">K965+K966</f>
        <v>0</v>
      </c>
    </row>
    <row r="965" spans="1:13" hidden="1" outlineLevel="2" x14ac:dyDescent="0.2">
      <c r="A965" t="str">
        <f ca="1">Language!A490</f>
        <v xml:space="preserve">    на основе циклов оборачиваемости (c НДС на аванс)</v>
      </c>
      <c r="C965" s="5" t="str">
        <f t="shared" ca="1" si="856"/>
        <v>руб.</v>
      </c>
      <c r="D965" s="16" t="s">
        <v>384</v>
      </c>
      <c r="E965">
        <f>F68*CHOOSE($B$37,1,F$88)</f>
        <v>0</v>
      </c>
      <c r="F965" s="43">
        <f t="shared" ref="F965:J965" si="865">F636*NWC_T_Db_AdvK*NWC_T_Db_AdvT/PRJ_Step</f>
        <v>0</v>
      </c>
      <c r="G965" s="43">
        <f t="shared" si="865"/>
        <v>0</v>
      </c>
      <c r="H965" s="43">
        <f t="shared" si="865"/>
        <v>0</v>
      </c>
      <c r="I965" s="43">
        <f t="shared" si="865"/>
        <v>0</v>
      </c>
      <c r="J965" s="43">
        <f t="shared" si="865"/>
        <v>0</v>
      </c>
      <c r="K965" s="43">
        <f t="shared" ref="K965" si="866">K636*NWC_T_Db_AdvK*NWC_T_Db_AdvT/PRJ_Step</f>
        <v>0</v>
      </c>
    </row>
    <row r="966" spans="1:13" hidden="1" outlineLevel="2" x14ac:dyDescent="0.2">
      <c r="A966" s="19" t="str">
        <f ca="1">Language!A491</f>
        <v xml:space="preserve">    в соответствии с графиком оплаты продукции</v>
      </c>
      <c r="B966" s="19"/>
      <c r="C966" s="26" t="str">
        <f t="shared" ca="1" si="856"/>
        <v>руб.</v>
      </c>
      <c r="D966" s="46" t="s">
        <v>384</v>
      </c>
      <c r="E966" s="19"/>
      <c r="F966" s="65">
        <f t="shared" ref="F966:J966" si="867">F643</f>
        <v>0</v>
      </c>
      <c r="G966" s="65">
        <f t="shared" si="867"/>
        <v>0</v>
      </c>
      <c r="H966" s="65">
        <f t="shared" si="867"/>
        <v>0</v>
      </c>
      <c r="I966" s="65">
        <f t="shared" si="867"/>
        <v>0</v>
      </c>
      <c r="J966" s="65">
        <f t="shared" si="867"/>
        <v>0</v>
      </c>
      <c r="K966" s="65">
        <f t="shared" ref="K966" si="868">K643</f>
        <v>0</v>
      </c>
      <c r="L966" s="19"/>
      <c r="M966" s="22"/>
    </row>
    <row r="967" spans="1:13" outlineLevel="1" x14ac:dyDescent="0.2">
      <c r="A967" s="63"/>
      <c r="B967" s="63"/>
      <c r="C967" s="63"/>
      <c r="D967" s="60"/>
      <c r="E967" s="63"/>
      <c r="F967" s="63"/>
      <c r="G967" s="63"/>
      <c r="H967" s="63"/>
      <c r="I967" s="63"/>
      <c r="J967" s="63"/>
      <c r="K967" s="63"/>
      <c r="L967" s="63"/>
      <c r="M967" s="64"/>
    </row>
    <row r="968" spans="1:13" outlineLevel="1" x14ac:dyDescent="0.2">
      <c r="A968" s="35" t="str">
        <f ca="1">Language!A492</f>
        <v>РАСЧЕТЫ С ПОСТАВЩИКАМИ</v>
      </c>
      <c r="D968" s="16"/>
    </row>
    <row r="969" spans="1:13" outlineLevel="1" x14ac:dyDescent="0.2">
      <c r="A969" t="str">
        <f ca="1">Language!A493</f>
        <v>Оплата материалов и комплектующих:</v>
      </c>
      <c r="B969" s="36" t="str">
        <f ca="1">Language!A522</f>
        <v>доля</v>
      </c>
      <c r="C969" s="36" t="str">
        <f ca="1">Language!A523</f>
        <v>срок, дн.</v>
      </c>
      <c r="D969" s="16"/>
    </row>
    <row r="970" spans="1:13" outlineLevel="1" x14ac:dyDescent="0.2">
      <c r="A970" t="str">
        <f ca="1">Language!A494</f>
        <v xml:space="preserve">    немедленная оплата</v>
      </c>
      <c r="B970" s="61">
        <f>1-NWC_T_Cr_AdvK-NWC_T_Cr_CrdK</f>
        <v>0</v>
      </c>
      <c r="C970" s="17" t="s">
        <v>382</v>
      </c>
      <c r="D970" s="16"/>
    </row>
    <row r="971" spans="1:13" outlineLevel="1" x14ac:dyDescent="0.2">
      <c r="A971" t="str">
        <f ca="1">Language!A495</f>
        <v xml:space="preserve">    авансовая оплата</v>
      </c>
      <c r="B971" s="283">
        <v>0</v>
      </c>
      <c r="C971" s="259">
        <v>0</v>
      </c>
      <c r="D971" s="16"/>
    </row>
    <row r="972" spans="1:13" outlineLevel="1" x14ac:dyDescent="0.2">
      <c r="A972" t="str">
        <f ca="1">Language!A496</f>
        <v xml:space="preserve">    оплата в кредит</v>
      </c>
      <c r="B972" s="283">
        <v>1</v>
      </c>
      <c r="C972" s="259">
        <v>0</v>
      </c>
      <c r="D972" s="16"/>
    </row>
    <row r="973" spans="1:13" outlineLevel="1" collapsed="1" x14ac:dyDescent="0.2">
      <c r="A973" t="str">
        <f ca="1">Language!A497</f>
        <v>Сумма счетов к оплате</v>
      </c>
      <c r="C973" s="5" t="str">
        <f t="shared" ref="C973:C978" ca="1" si="869">CUR_Main</f>
        <v>руб.</v>
      </c>
      <c r="D973" s="16" t="s">
        <v>384</v>
      </c>
      <c r="E973" s="43">
        <f t="shared" ref="E973:J973" si="870">E974+E975</f>
        <v>0</v>
      </c>
      <c r="F973" s="43">
        <f t="shared" si="870"/>
        <v>0</v>
      </c>
      <c r="G973" s="43">
        <f t="shared" si="870"/>
        <v>0</v>
      </c>
      <c r="H973" s="43">
        <f t="shared" si="870"/>
        <v>0</v>
      </c>
      <c r="I973" s="43">
        <f t="shared" si="870"/>
        <v>0</v>
      </c>
      <c r="J973" s="43">
        <f t="shared" si="870"/>
        <v>0</v>
      </c>
      <c r="K973" s="43">
        <f t="shared" ref="K973" si="871">K974+K975</f>
        <v>0</v>
      </c>
    </row>
    <row r="974" spans="1:13" hidden="1" outlineLevel="2" x14ac:dyDescent="0.2">
      <c r="A974" t="str">
        <f ca="1">Language!A498</f>
        <v xml:space="preserve">    на основе циклов оборачиваемости</v>
      </c>
      <c r="C974" s="5" t="str">
        <f t="shared" ca="1" si="869"/>
        <v>руб.</v>
      </c>
      <c r="D974" s="16" t="s">
        <v>384</v>
      </c>
      <c r="E974">
        <f>F65*CHOOSE($B$37,1,F$88)</f>
        <v>0</v>
      </c>
      <c r="F974" s="43">
        <f t="shared" ref="F974:J974" si="872">(F722+F771+F929+F932+F935)*NWC_T_Cr_CrdK*NWC_T_Cr_CrdT/PRJ_Step</f>
        <v>0</v>
      </c>
      <c r="G974" s="43">
        <f t="shared" si="872"/>
        <v>0</v>
      </c>
      <c r="H974" s="43">
        <f t="shared" si="872"/>
        <v>0</v>
      </c>
      <c r="I974" s="43">
        <f t="shared" si="872"/>
        <v>0</v>
      </c>
      <c r="J974" s="43">
        <f t="shared" si="872"/>
        <v>0</v>
      </c>
      <c r="K974" s="43">
        <f t="shared" ref="K974" si="873">(K722+K771+K929+K932+K935)*NWC_T_Cr_CrdK*NWC_T_Cr_CrdT/PRJ_Step</f>
        <v>0</v>
      </c>
    </row>
    <row r="975" spans="1:13" hidden="1" outlineLevel="2" x14ac:dyDescent="0.2">
      <c r="A975" t="str">
        <f ca="1">Language!A499</f>
        <v xml:space="preserve">    в соответствии с графиком оплаты затрат</v>
      </c>
      <c r="C975" s="5" t="str">
        <f t="shared" ca="1" si="869"/>
        <v>руб.</v>
      </c>
      <c r="D975" s="16" t="s">
        <v>384</v>
      </c>
      <c r="F975" s="106">
        <f t="shared" ref="F975:J975" si="874">F731+F776</f>
        <v>0</v>
      </c>
      <c r="G975" s="106">
        <f t="shared" si="874"/>
        <v>0</v>
      </c>
      <c r="H975" s="106">
        <f t="shared" si="874"/>
        <v>0</v>
      </c>
      <c r="I975" s="106">
        <f t="shared" si="874"/>
        <v>0</v>
      </c>
      <c r="J975" s="106">
        <f t="shared" si="874"/>
        <v>0</v>
      </c>
      <c r="K975" s="106">
        <f t="shared" ref="K975" si="875">K731+K776</f>
        <v>0</v>
      </c>
    </row>
    <row r="976" spans="1:13" outlineLevel="1" collapsed="1" x14ac:dyDescent="0.2">
      <c r="A976" t="str">
        <f ca="1">Language!A500</f>
        <v>Сумма уплаченных авансов</v>
      </c>
      <c r="C976" s="5" t="str">
        <f t="shared" ca="1" si="869"/>
        <v>руб.</v>
      </c>
      <c r="D976" s="16" t="s">
        <v>384</v>
      </c>
      <c r="E976" s="106">
        <f t="shared" ref="E976:J976" si="876">E977+E978</f>
        <v>0</v>
      </c>
      <c r="F976" s="106">
        <f t="shared" si="876"/>
        <v>0</v>
      </c>
      <c r="G976" s="106">
        <f t="shared" si="876"/>
        <v>0</v>
      </c>
      <c r="H976" s="106">
        <f t="shared" si="876"/>
        <v>0</v>
      </c>
      <c r="I976" s="106">
        <f t="shared" si="876"/>
        <v>0</v>
      </c>
      <c r="J976" s="106">
        <f t="shared" si="876"/>
        <v>0</v>
      </c>
      <c r="K976" s="106">
        <f t="shared" ref="K976" si="877">K977+K978</f>
        <v>0</v>
      </c>
    </row>
    <row r="977" spans="1:13" hidden="1" outlineLevel="2" x14ac:dyDescent="0.2">
      <c r="A977" t="str">
        <f ca="1">Language!A501</f>
        <v xml:space="preserve">    на основе циклов оборачиваемости</v>
      </c>
      <c r="C977" s="5" t="str">
        <f t="shared" ca="1" si="869"/>
        <v>руб.</v>
      </c>
      <c r="D977" s="16" t="s">
        <v>384</v>
      </c>
      <c r="E977">
        <f>F54*CHOOSE($B$37,1,F$88)</f>
        <v>0</v>
      </c>
      <c r="F977" s="43">
        <f t="shared" ref="F977:J977" si="878">(F722+F771+F929+F932+F935)*NWC_T_Cr_AdvK*NWC_T_Cr_AdvT/PRJ_Step</f>
        <v>0</v>
      </c>
      <c r="G977" s="43">
        <f t="shared" si="878"/>
        <v>0</v>
      </c>
      <c r="H977" s="43">
        <f t="shared" si="878"/>
        <v>0</v>
      </c>
      <c r="I977" s="43">
        <f t="shared" si="878"/>
        <v>0</v>
      </c>
      <c r="J977" s="43">
        <f t="shared" si="878"/>
        <v>0</v>
      </c>
      <c r="K977" s="43">
        <f t="shared" ref="K977" si="879">(K722+K771+K929+K932+K935)*NWC_T_Cr_AdvK*NWC_T_Cr_AdvT/PRJ_Step</f>
        <v>0</v>
      </c>
    </row>
    <row r="978" spans="1:13" hidden="1" outlineLevel="2" x14ac:dyDescent="0.2">
      <c r="A978" s="27" t="str">
        <f ca="1">Language!A499</f>
        <v xml:space="preserve">    в соответствии с графиком оплаты затрат</v>
      </c>
      <c r="B978" s="27"/>
      <c r="C978" s="29" t="str">
        <f t="shared" ca="1" si="869"/>
        <v>руб.</v>
      </c>
      <c r="D978" s="16" t="s">
        <v>384</v>
      </c>
      <c r="E978" s="27"/>
      <c r="F978" s="142">
        <f t="shared" ref="F978:J978" si="880">F732+F777</f>
        <v>0</v>
      </c>
      <c r="G978" s="142">
        <f t="shared" si="880"/>
        <v>0</v>
      </c>
      <c r="H978" s="142">
        <f t="shared" si="880"/>
        <v>0</v>
      </c>
      <c r="I978" s="142">
        <f t="shared" si="880"/>
        <v>0</v>
      </c>
      <c r="J978" s="142">
        <f t="shared" si="880"/>
        <v>0</v>
      </c>
      <c r="K978" s="142">
        <f t="shared" ref="K978" si="881">K732+K777</f>
        <v>0</v>
      </c>
      <c r="L978" s="27"/>
      <c r="M978" s="20"/>
    </row>
    <row r="979" spans="1:13" outlineLevel="1" x14ac:dyDescent="0.2">
      <c r="D979" s="60"/>
    </row>
    <row r="980" spans="1:13" outlineLevel="1" x14ac:dyDescent="0.2">
      <c r="A980" s="35" t="str">
        <f ca="1">Language!A503</f>
        <v>РАСЧЕТЫ С БЮДЖЕТОМ</v>
      </c>
      <c r="C980" s="5" t="str">
        <f t="shared" ref="C980:C985" ca="1" si="882">CUR_Main</f>
        <v>руб.</v>
      </c>
      <c r="D980" s="16"/>
      <c r="E980">
        <f>F66*CHOOSE($B$37,1,F$88)</f>
        <v>0</v>
      </c>
      <c r="F980" s="43">
        <f t="shared" ref="F980:J980" ca="1" si="883">SUM(F981:F985)</f>
        <v>6742500</v>
      </c>
      <c r="G980" s="43">
        <f t="shared" ca="1" si="883"/>
        <v>15441300</v>
      </c>
      <c r="H980" s="43">
        <f t="shared" ca="1" si="883"/>
        <v>21980100</v>
      </c>
      <c r="I980" s="43">
        <f t="shared" ca="1" si="883"/>
        <v>22009500</v>
      </c>
      <c r="J980" s="43">
        <f t="shared" ca="1" si="883"/>
        <v>22009500</v>
      </c>
      <c r="K980" s="43">
        <f t="shared" ref="K980" ca="1" si="884">SUM(K981:K985)</f>
        <v>22009500</v>
      </c>
    </row>
    <row r="981" spans="1:13" outlineLevel="1" x14ac:dyDescent="0.2">
      <c r="A981" t="str">
        <f ca="1">Language!A504</f>
        <v>По НДС</v>
      </c>
      <c r="C981" s="5" t="str">
        <f t="shared" ca="1" si="882"/>
        <v>руб.</v>
      </c>
      <c r="D981" s="16" t="s">
        <v>384</v>
      </c>
      <c r="F981" s="53">
        <f t="shared" ref="F981:J981" ca="1" si="885">F126*VAT_Period/PRJ_Step</f>
        <v>0</v>
      </c>
      <c r="G981" s="53">
        <f t="shared" ca="1" si="885"/>
        <v>0</v>
      </c>
      <c r="H981" s="53">
        <f t="shared" ca="1" si="885"/>
        <v>0</v>
      </c>
      <c r="I981" s="53">
        <f t="shared" ca="1" si="885"/>
        <v>0</v>
      </c>
      <c r="J981" s="53">
        <f t="shared" ca="1" si="885"/>
        <v>0</v>
      </c>
      <c r="K981" s="53">
        <f t="shared" ref="K981" ca="1" si="886">K126*VAT_Period/PRJ_Step</f>
        <v>0</v>
      </c>
    </row>
    <row r="982" spans="1:13" outlineLevel="1" x14ac:dyDescent="0.2">
      <c r="A982" t="str">
        <f ca="1">Language!A505</f>
        <v>По акцизам и экспортным пошлинам</v>
      </c>
      <c r="C982" s="5" t="str">
        <f t="shared" ca="1" si="882"/>
        <v>руб.</v>
      </c>
      <c r="D982" s="16" t="s">
        <v>384</v>
      </c>
      <c r="F982" s="53">
        <f t="shared" ref="F982:J982" si="887">F107*$B107/PRJ_Step</f>
        <v>0</v>
      </c>
      <c r="G982" s="53">
        <f t="shared" si="887"/>
        <v>0</v>
      </c>
      <c r="H982" s="53">
        <f t="shared" si="887"/>
        <v>0</v>
      </c>
      <c r="I982" s="53">
        <f t="shared" si="887"/>
        <v>0</v>
      </c>
      <c r="J982" s="53">
        <f t="shared" si="887"/>
        <v>0</v>
      </c>
      <c r="K982" s="53">
        <f t="shared" ref="K982" si="888">K107*$B107/PRJ_Step</f>
        <v>0</v>
      </c>
    </row>
    <row r="983" spans="1:13" outlineLevel="1" x14ac:dyDescent="0.2">
      <c r="A983" t="str">
        <f ca="1">Language!A506</f>
        <v>По импортным пошлинам</v>
      </c>
      <c r="C983" s="5" t="str">
        <f t="shared" ca="1" si="882"/>
        <v>руб.</v>
      </c>
      <c r="D983" s="16" t="s">
        <v>384</v>
      </c>
      <c r="F983" s="53">
        <f t="shared" ref="F983:J983" si="889">F108*$B108/PRJ_Step</f>
        <v>0</v>
      </c>
      <c r="G983" s="53">
        <f t="shared" si="889"/>
        <v>0</v>
      </c>
      <c r="H983" s="53">
        <f t="shared" si="889"/>
        <v>0</v>
      </c>
      <c r="I983" s="53">
        <f t="shared" si="889"/>
        <v>0</v>
      </c>
      <c r="J983" s="53">
        <f t="shared" si="889"/>
        <v>0</v>
      </c>
      <c r="K983" s="53">
        <f t="shared" ref="K983" si="890">K108*$B108/PRJ_Step</f>
        <v>0</v>
      </c>
    </row>
    <row r="984" spans="1:13" outlineLevel="1" x14ac:dyDescent="0.2">
      <c r="A984" t="str">
        <f ca="1">Language!A507</f>
        <v>По налогу на прибыль</v>
      </c>
      <c r="C984" s="5" t="str">
        <f t="shared" ca="1" si="882"/>
        <v>руб.</v>
      </c>
      <c r="D984" s="16" t="s">
        <v>384</v>
      </c>
      <c r="F984" s="53">
        <f t="shared" ref="F984:J984" ca="1" si="891">F173*$B172/PRJ_Step+F201*$B196/PRJ_Step+F215*$B214/PRJ_Step</f>
        <v>6480000</v>
      </c>
      <c r="G984" s="53">
        <f t="shared" ca="1" si="891"/>
        <v>15120000</v>
      </c>
      <c r="H984" s="53">
        <f t="shared" ca="1" si="891"/>
        <v>21600000</v>
      </c>
      <c r="I984" s="53">
        <f t="shared" ca="1" si="891"/>
        <v>21600000</v>
      </c>
      <c r="J984" s="53">
        <f t="shared" ca="1" si="891"/>
        <v>21600000</v>
      </c>
      <c r="K984" s="53">
        <f t="shared" ref="K984" ca="1" si="892">K173*$B172/PRJ_Step+K201*$B196/PRJ_Step+K215*$B214/PRJ_Step</f>
        <v>21600000</v>
      </c>
    </row>
    <row r="985" spans="1:13" outlineLevel="1" x14ac:dyDescent="0.2">
      <c r="A985" s="27" t="str">
        <f ca="1">Language!A508</f>
        <v>По прочим налогам и платежам</v>
      </c>
      <c r="B985" s="27"/>
      <c r="C985" s="29" t="str">
        <f t="shared" ca="1" si="882"/>
        <v>руб.</v>
      </c>
      <c r="D985" s="16" t="s">
        <v>384</v>
      </c>
      <c r="E985" s="27"/>
      <c r="F985" s="53">
        <f t="shared" ref="F985:J985" ca="1" si="893">(F136*IF(($B136+$B141)&gt;0,($B136*$B139+$B141*$B142)/($B136+$B141),0)+F143*$B146+F148*$B150+F157*$B161+F204*$B206+F223*$B225)/PRJ_Step+SUMIF($D134:$D170,"*1_02*",F134:F170)</f>
        <v>262500.00000000006</v>
      </c>
      <c r="G985" s="53">
        <f t="shared" ca="1" si="893"/>
        <v>321300.00000000006</v>
      </c>
      <c r="H985" s="53">
        <f t="shared" ca="1" si="893"/>
        <v>380100.00000000006</v>
      </c>
      <c r="I985" s="53">
        <f t="shared" ca="1" si="893"/>
        <v>409500</v>
      </c>
      <c r="J985" s="53">
        <f t="shared" ca="1" si="893"/>
        <v>409500</v>
      </c>
      <c r="K985" s="53">
        <f t="shared" ref="K985" ca="1" si="894">(K136*IF(($B136+$B141)&gt;0,($B136*$B139+$B141*$B142)/($B136+$B141),0)+K143*$B146+K148*$B150+K157*$B161+K204*$B206+K223*$B225)/PRJ_Step+SUMIF($D134:$D170,"*1_02*",K134:K170)</f>
        <v>409500</v>
      </c>
      <c r="L985" s="27"/>
      <c r="M985" s="20"/>
    </row>
    <row r="986" spans="1:13" outlineLevel="1" x14ac:dyDescent="0.2">
      <c r="D986" s="60"/>
      <c r="F986" s="63"/>
      <c r="G986" s="63"/>
      <c r="H986" s="63"/>
      <c r="I986" s="63"/>
      <c r="J986" s="63"/>
      <c r="K986" s="63"/>
    </row>
    <row r="987" spans="1:13" outlineLevel="1" x14ac:dyDescent="0.2">
      <c r="A987" s="35" t="str">
        <f ca="1">Language!A509</f>
        <v>РАСЧЕТЫ С ПЕРСОНАЛОМ</v>
      </c>
      <c r="D987" s="16"/>
      <c r="F987" s="19"/>
      <c r="G987" s="19"/>
      <c r="H987" s="19"/>
      <c r="I987" s="19"/>
      <c r="J987" s="19"/>
      <c r="K987" s="19"/>
    </row>
    <row r="988" spans="1:13" outlineLevel="1" x14ac:dyDescent="0.2">
      <c r="A988" t="str">
        <f ca="1">Language!A510</f>
        <v>Текущая задолженность по заработной плате</v>
      </c>
      <c r="C988" s="5" t="str">
        <f ca="1">CUR_Main</f>
        <v>руб.</v>
      </c>
      <c r="D988" s="16" t="s">
        <v>384</v>
      </c>
      <c r="E988" s="43">
        <f>F67*CHOOSE($B$37,1,F$88)</f>
        <v>0</v>
      </c>
      <c r="F988" s="43">
        <f t="shared" ref="F988:J988" si="895">F841*$B989/PRJ_Step</f>
        <v>625000</v>
      </c>
      <c r="G988" s="43">
        <f t="shared" si="895"/>
        <v>765000</v>
      </c>
      <c r="H988" s="43">
        <f t="shared" si="895"/>
        <v>905000</v>
      </c>
      <c r="I988" s="43">
        <f t="shared" si="895"/>
        <v>975000</v>
      </c>
      <c r="J988" s="43">
        <f t="shared" si="895"/>
        <v>975000</v>
      </c>
      <c r="K988" s="43">
        <f t="shared" ref="K988" si="896">K841*$B989/PRJ_Step</f>
        <v>975000</v>
      </c>
    </row>
    <row r="989" spans="1:13" outlineLevel="1" x14ac:dyDescent="0.2">
      <c r="A989" s="27" t="str">
        <f ca="1">Language!A511</f>
        <v xml:space="preserve">    частота выплаты заработной платы</v>
      </c>
      <c r="B989" s="290">
        <v>30</v>
      </c>
      <c r="C989" s="29" t="str">
        <f ca="1">Language!A38</f>
        <v>дн.</v>
      </c>
      <c r="D989" s="16"/>
      <c r="E989" s="27"/>
      <c r="F989" s="27"/>
      <c r="G989" s="27"/>
      <c r="H989" s="27"/>
      <c r="I989" s="27"/>
      <c r="J989" s="27"/>
      <c r="K989" s="27"/>
      <c r="L989" s="27"/>
      <c r="M989" s="20"/>
    </row>
    <row r="990" spans="1:13" outlineLevel="1" x14ac:dyDescent="0.2">
      <c r="D990" s="60"/>
    </row>
    <row r="991" spans="1:13" outlineLevel="1" x14ac:dyDescent="0.2">
      <c r="A991" s="35" t="str">
        <f ca="1">Language!A512</f>
        <v>РЕЗЕРВ ДЕНЕЖНЫХ СРЕДСТВ</v>
      </c>
      <c r="D991" s="16"/>
    </row>
    <row r="992" spans="1:13" outlineLevel="1" x14ac:dyDescent="0.2">
      <c r="A992" t="str">
        <f ca="1">Language!A513</f>
        <v>Резерв средств на обеспечение текущих расчетов</v>
      </c>
      <c r="C992" s="5" t="str">
        <f ca="1">CUR_Main</f>
        <v>руб.</v>
      </c>
      <c r="D992" s="16" t="s">
        <v>384</v>
      </c>
      <c r="F992" s="53">
        <f t="shared" ref="F992:J992" si="897">IF($B993=1,F924*$B994/PRJ_Step,0)</f>
        <v>4832916.666666667</v>
      </c>
      <c r="G992" s="53">
        <f t="shared" si="897"/>
        <v>4870156.666666667</v>
      </c>
      <c r="H992" s="53">
        <f t="shared" si="897"/>
        <v>4907396.666666667</v>
      </c>
      <c r="I992" s="53">
        <f t="shared" si="897"/>
        <v>4926016.666666667</v>
      </c>
      <c r="J992" s="53">
        <f t="shared" si="897"/>
        <v>4926016.666666667</v>
      </c>
      <c r="K992" s="53">
        <f t="shared" ref="K992" si="898">IF($B993=1,K924*$B994/PRJ_Step,0)</f>
        <v>4926016.666666667</v>
      </c>
    </row>
    <row r="993" spans="1:13" outlineLevel="1" x14ac:dyDescent="0.2">
      <c r="A993" t="str">
        <f ca="1">Language!A514</f>
        <v xml:space="preserve">    создавать?</v>
      </c>
      <c r="B993" s="255">
        <v>1</v>
      </c>
      <c r="C993" s="11" t="str">
        <f ca="1">CHOOSE(B993,Language!A524,Language!A525)</f>
        <v>Создавать резерв</v>
      </c>
      <c r="D993" s="16"/>
    </row>
    <row r="994" spans="1:13" outlineLevel="1" collapsed="1" x14ac:dyDescent="0.2">
      <c r="A994" s="19" t="str">
        <f ca="1">Language!A515</f>
        <v xml:space="preserve">    покрытие потребности</v>
      </c>
      <c r="B994" s="289">
        <v>7</v>
      </c>
      <c r="C994" s="26" t="str">
        <f ca="1">Language!A38</f>
        <v>дн.</v>
      </c>
      <c r="D994" s="46"/>
      <c r="E994" s="19"/>
      <c r="F994" s="19"/>
      <c r="G994" s="19"/>
      <c r="H994" s="19"/>
      <c r="I994" s="19"/>
      <c r="J994" s="19"/>
      <c r="K994" s="19"/>
      <c r="L994" s="19"/>
      <c r="M994" s="22"/>
    </row>
    <row r="995" spans="1:13" hidden="1" outlineLevel="2" x14ac:dyDescent="0.2">
      <c r="A995" s="24" t="str">
        <f ca="1">Language!A187</f>
        <v xml:space="preserve">         то же, в итоговой валюте</v>
      </c>
      <c r="B995" s="19"/>
      <c r="C995" s="5" t="str">
        <f ca="1">CUR_Report</f>
        <v>руб.</v>
      </c>
      <c r="D995" s="16" t="s">
        <v>384</v>
      </c>
      <c r="E995" s="19"/>
      <c r="F995" s="53">
        <f t="shared" ref="F995:J995" si="899">F992/IF(CUR_I_Report=2,F$88,1)</f>
        <v>4832916.666666667</v>
      </c>
      <c r="G995" s="53">
        <f t="shared" si="899"/>
        <v>4870156.666666667</v>
      </c>
      <c r="H995" s="53">
        <f t="shared" si="899"/>
        <v>4907396.666666667</v>
      </c>
      <c r="I995" s="53">
        <f t="shared" si="899"/>
        <v>4926016.666666667</v>
      </c>
      <c r="J995" s="53">
        <f t="shared" si="899"/>
        <v>4926016.666666667</v>
      </c>
      <c r="K995" s="53">
        <f t="shared" ref="K995" si="900">K992/IF(CUR_I_Report=2,K$88,1)</f>
        <v>4926016.666666667</v>
      </c>
      <c r="L995" s="19"/>
      <c r="M995" s="66"/>
    </row>
    <row r="996" spans="1:13" outlineLevel="1" x14ac:dyDescent="0.2">
      <c r="A996" s="63"/>
      <c r="B996" s="63"/>
      <c r="C996" s="63"/>
      <c r="D996" s="60"/>
      <c r="E996" s="63"/>
      <c r="F996" s="63"/>
      <c r="G996" s="63"/>
      <c r="H996" s="63"/>
      <c r="I996" s="63"/>
      <c r="J996" s="63"/>
      <c r="K996" s="63"/>
      <c r="L996" s="63"/>
      <c r="M996" s="64"/>
    </row>
    <row r="997" spans="1:13" outlineLevel="1" x14ac:dyDescent="0.2">
      <c r="A997" s="19" t="str">
        <f ca="1">Language!A516</f>
        <v>Итого текущих активов</v>
      </c>
      <c r="B997" s="19"/>
      <c r="C997" s="26" t="str">
        <f t="shared" ref="C997:C1002" ca="1" si="901">CUR_Main</f>
        <v>руб.</v>
      </c>
      <c r="D997" s="46" t="s">
        <v>384</v>
      </c>
      <c r="E997" s="111">
        <f t="shared" ref="E997:J997" si="902">E943+E947+E951+E961+E992+E976</f>
        <v>0</v>
      </c>
      <c r="F997" s="111">
        <f t="shared" si="902"/>
        <v>4832916.666666667</v>
      </c>
      <c r="G997" s="111">
        <f t="shared" si="902"/>
        <v>4870156.666666667</v>
      </c>
      <c r="H997" s="111">
        <f t="shared" si="902"/>
        <v>4907396.666666667</v>
      </c>
      <c r="I997" s="111">
        <f t="shared" si="902"/>
        <v>4926016.666666667</v>
      </c>
      <c r="J997" s="111">
        <f t="shared" si="902"/>
        <v>4926016.666666667</v>
      </c>
      <c r="K997" s="111">
        <f t="shared" ref="K997" si="903">K943+K947+K951+K961+K992+K976</f>
        <v>4926016.666666667</v>
      </c>
      <c r="L997" s="19"/>
      <c r="M997" s="22"/>
    </row>
    <row r="998" spans="1:13" outlineLevel="1" x14ac:dyDescent="0.2">
      <c r="A998" s="19" t="str">
        <f ca="1">Language!A517</f>
        <v>Итого текущих обязательств</v>
      </c>
      <c r="B998" s="19"/>
      <c r="C998" s="26" t="str">
        <f t="shared" ca="1" si="901"/>
        <v>руб.</v>
      </c>
      <c r="D998" s="46" t="s">
        <v>384</v>
      </c>
      <c r="E998" s="111">
        <f t="shared" ref="E998:J998" si="904">E973+E980+E988+E964</f>
        <v>0</v>
      </c>
      <c r="F998" s="111">
        <f t="shared" ca="1" si="904"/>
        <v>7367500</v>
      </c>
      <c r="G998" s="111">
        <f t="shared" ca="1" si="904"/>
        <v>16206300</v>
      </c>
      <c r="H998" s="111">
        <f t="shared" ca="1" si="904"/>
        <v>22885100</v>
      </c>
      <c r="I998" s="111">
        <f t="shared" ca="1" si="904"/>
        <v>22984500</v>
      </c>
      <c r="J998" s="111">
        <f t="shared" ca="1" si="904"/>
        <v>22984500</v>
      </c>
      <c r="K998" s="111">
        <f t="shared" ref="K998" ca="1" si="905">K973+K980+K988+K964</f>
        <v>22984500</v>
      </c>
      <c r="L998" s="19"/>
      <c r="M998" s="22"/>
    </row>
    <row r="999" spans="1:13" outlineLevel="1" x14ac:dyDescent="0.2">
      <c r="A999" t="str">
        <f ca="1">Language!A518</f>
        <v>Оборотный капитал компании</v>
      </c>
      <c r="C999" s="5" t="str">
        <f t="shared" ca="1" si="901"/>
        <v>руб.</v>
      </c>
      <c r="D999" s="16" t="s">
        <v>384</v>
      </c>
      <c r="E999" s="53">
        <f t="shared" ref="E999:J999" si="906">E997-E998</f>
        <v>0</v>
      </c>
      <c r="F999" s="53">
        <f t="shared" ca="1" si="906"/>
        <v>-2534583.333333333</v>
      </c>
      <c r="G999" s="53">
        <f t="shared" ca="1" si="906"/>
        <v>-11336143.333333332</v>
      </c>
      <c r="H999" s="53">
        <f t="shared" ca="1" si="906"/>
        <v>-17977703.333333332</v>
      </c>
      <c r="I999" s="53">
        <f t="shared" ca="1" si="906"/>
        <v>-18058483.333333332</v>
      </c>
      <c r="J999" s="53">
        <f t="shared" ca="1" si="906"/>
        <v>-18058483.333333332</v>
      </c>
      <c r="K999" s="53">
        <f t="shared" ref="K999" ca="1" si="907">K997-K998</f>
        <v>-18058483.333333332</v>
      </c>
    </row>
    <row r="1000" spans="1:13" outlineLevel="1" x14ac:dyDescent="0.2">
      <c r="A1000" s="35" t="str">
        <f ca="1">Language!A519</f>
        <v>Изменение чистого оборотного капитала</v>
      </c>
      <c r="C1000" s="5" t="str">
        <f t="shared" ca="1" si="901"/>
        <v>руб.</v>
      </c>
      <c r="D1000" s="59"/>
      <c r="F1000" s="56">
        <f t="shared" ref="F1000:K1000" ca="1" si="908">F999-E999</f>
        <v>-2534583.333333333</v>
      </c>
      <c r="G1000" s="56">
        <f t="shared" ca="1" si="908"/>
        <v>-8801560</v>
      </c>
      <c r="H1000" s="56">
        <f t="shared" ca="1" si="908"/>
        <v>-6641560</v>
      </c>
      <c r="I1000" s="56">
        <f t="shared" ca="1" si="908"/>
        <v>-80780</v>
      </c>
      <c r="J1000" s="56">
        <f t="shared" ca="1" si="908"/>
        <v>0</v>
      </c>
      <c r="K1000" s="56">
        <f t="shared" ca="1" si="908"/>
        <v>0</v>
      </c>
    </row>
    <row r="1001" spans="1:13" outlineLevel="1" x14ac:dyDescent="0.2">
      <c r="A1001" s="23" t="str">
        <f ca="1">Language!A520</f>
        <v>Прирост, учтенный в операционных денежных потоках</v>
      </c>
      <c r="C1001" s="5" t="str">
        <f t="shared" ca="1" si="901"/>
        <v>руб.</v>
      </c>
      <c r="D1001" s="16"/>
      <c r="F1001" s="84">
        <f t="shared" ref="F1001:K1001" si="909">(F963+F946+F954+F950+F978-F966-F975)-(E963+E946+E954+E950+E978-E966-E975)</f>
        <v>0</v>
      </c>
      <c r="G1001" s="84">
        <f t="shared" si="909"/>
        <v>0</v>
      </c>
      <c r="H1001" s="84">
        <f t="shared" si="909"/>
        <v>0</v>
      </c>
      <c r="I1001" s="84">
        <f t="shared" si="909"/>
        <v>0</v>
      </c>
      <c r="J1001" s="84">
        <f t="shared" si="909"/>
        <v>0</v>
      </c>
      <c r="K1001" s="84">
        <f t="shared" si="909"/>
        <v>0</v>
      </c>
    </row>
    <row r="1002" spans="1:13" outlineLevel="1" x14ac:dyDescent="0.2">
      <c r="A1002" s="23" t="str">
        <f ca="1">Language!A521</f>
        <v>Инвестиции в чистый оборотный капитал</v>
      </c>
      <c r="C1002" s="5" t="str">
        <f t="shared" ca="1" si="901"/>
        <v>руб.</v>
      </c>
      <c r="D1002" s="16"/>
      <c r="F1002" s="84">
        <f t="shared" ref="F1002:J1002" ca="1" si="910">F1000-F1001</f>
        <v>-2534583.333333333</v>
      </c>
      <c r="G1002" s="84">
        <f t="shared" ca="1" si="910"/>
        <v>-8801560</v>
      </c>
      <c r="H1002" s="84">
        <f t="shared" ca="1" si="910"/>
        <v>-6641560</v>
      </c>
      <c r="I1002" s="84">
        <f t="shared" ca="1" si="910"/>
        <v>-80780</v>
      </c>
      <c r="J1002" s="84">
        <f t="shared" ca="1" si="910"/>
        <v>0</v>
      </c>
      <c r="K1002" s="84">
        <f t="shared" ref="K1002" ca="1" si="911">K1000-K1001</f>
        <v>0</v>
      </c>
    </row>
    <row r="1003" spans="1:13" outlineLevel="1" x14ac:dyDescent="0.2">
      <c r="A1003" s="63"/>
      <c r="B1003" s="63"/>
      <c r="C1003" s="63"/>
      <c r="D1003" s="63"/>
      <c r="E1003" s="63"/>
      <c r="F1003" s="63"/>
      <c r="G1003" s="63"/>
      <c r="H1003" s="63"/>
      <c r="I1003" s="63"/>
      <c r="J1003" s="63"/>
      <c r="K1003" s="63"/>
      <c r="L1003" s="63"/>
      <c r="M1003" s="64"/>
    </row>
    <row r="1004" spans="1:13" outlineLevel="1" x14ac:dyDescent="0.2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22"/>
    </row>
    <row r="1005" spans="1:13" s="4" customFormat="1" ht="15.9" customHeight="1" thickBot="1" x14ac:dyDescent="0.25">
      <c r="A1005" s="166" t="str">
        <f ca="1">Language!A640</f>
        <v xml:space="preserve">         СОБСТВЕННЫЙ КАПИТАЛ</v>
      </c>
      <c r="B1005" s="166"/>
      <c r="C1005" s="166"/>
      <c r="D1005" s="166"/>
      <c r="E1005" s="166"/>
      <c r="F1005" s="178" t="str">
        <f t="shared" ref="F1005:K1005" si="912">PeriodTitle</f>
        <v>4/ 2020</v>
      </c>
      <c r="G1005" s="178" t="str">
        <f t="shared" si="912"/>
        <v>5/ 2020</v>
      </c>
      <c r="H1005" s="178" t="str">
        <f t="shared" si="912"/>
        <v>6/ 2020</v>
      </c>
      <c r="I1005" s="178" t="str">
        <f t="shared" si="912"/>
        <v>7/ 2020</v>
      </c>
      <c r="J1005" s="178" t="str">
        <f t="shared" si="912"/>
        <v>8/ 2020</v>
      </c>
      <c r="K1005" s="178" t="str">
        <f t="shared" si="912"/>
        <v>9/ 2020</v>
      </c>
      <c r="L1005" s="166"/>
      <c r="M1005" s="195" t="str">
        <f ca="1">Language!A371</f>
        <v>ИТОГО</v>
      </c>
    </row>
    <row r="1006" spans="1:13" ht="10.8" outlineLevel="1" thickTop="1" x14ac:dyDescent="0.2"/>
    <row r="1007" spans="1:13" outlineLevel="1" collapsed="1" x14ac:dyDescent="0.2">
      <c r="A1007" t="str">
        <f ca="1">Language!A641</f>
        <v>Средства собственников</v>
      </c>
      <c r="C1007" s="5" t="str">
        <f ca="1">CUR_Main</f>
        <v>руб.</v>
      </c>
      <c r="F1007" s="270">
        <f t="shared" ref="F1007:J1007" si="913">SUMIF($D1009:$D1013,"*1_01*",F1009:F1013)+SUMIF($D1009:$D1013,"*2_01*",F1009:F1013)*F$88</f>
        <v>0</v>
      </c>
      <c r="G1007" s="270">
        <f t="shared" si="913"/>
        <v>0</v>
      </c>
      <c r="H1007" s="270">
        <f t="shared" si="913"/>
        <v>0</v>
      </c>
      <c r="I1007" s="270">
        <f t="shared" si="913"/>
        <v>0</v>
      </c>
      <c r="J1007" s="270">
        <f t="shared" si="913"/>
        <v>0</v>
      </c>
      <c r="K1007" s="270">
        <f t="shared" ref="K1007" si="914">SUMIF($D1009:$D1013,"*1_01*",K1009:K1013)+SUMIF($D1009:$D1013,"*2_01*",K1009:K1013)*K$88</f>
        <v>0</v>
      </c>
      <c r="M1007" s="54">
        <f>SUM(F1007:K1007)</f>
        <v>0</v>
      </c>
    </row>
    <row r="1008" spans="1:13" s="48" customFormat="1" hidden="1" outlineLevel="2" x14ac:dyDescent="0.2">
      <c r="B1008" s="36" t="str">
        <f ca="1">Language!A$73</f>
        <v>Валюта</v>
      </c>
      <c r="C1008" s="73"/>
      <c r="F1008" s="84"/>
      <c r="G1008" s="84"/>
      <c r="H1008" s="84"/>
      <c r="I1008" s="84"/>
      <c r="J1008" s="84"/>
      <c r="K1008" s="84"/>
      <c r="M1008" s="94"/>
    </row>
    <row r="1009" spans="1:13" hidden="1" outlineLevel="2" x14ac:dyDescent="0.2">
      <c r="A1009" s="274" t="str">
        <f ca="1">Language!A642</f>
        <v>Собственник 1</v>
      </c>
      <c r="B1009" s="255">
        <v>1</v>
      </c>
      <c r="C1009" s="17" t="str">
        <f ca="1">CHOOSE(B1009,CUR_Main,CUR_Foreign)</f>
        <v>руб.</v>
      </c>
      <c r="D1009" s="16" t="str">
        <f>TEXT(B1009,"0")&amp;"_01"</f>
        <v>1_01</v>
      </c>
      <c r="F1009" s="272">
        <v>0</v>
      </c>
      <c r="G1009" s="272">
        <v>0</v>
      </c>
      <c r="H1009" s="272">
        <v>0</v>
      </c>
      <c r="I1009" s="272">
        <v>0</v>
      </c>
      <c r="J1009" s="272">
        <v>0</v>
      </c>
      <c r="K1009" s="272">
        <v>0</v>
      </c>
      <c r="M1009" s="54">
        <f>SUM(F1009:K1009)</f>
        <v>0</v>
      </c>
    </row>
    <row r="1010" spans="1:13" hidden="1" outlineLevel="2" x14ac:dyDescent="0.2">
      <c r="A1010" s="274" t="str">
        <f ca="1">Language!A643</f>
        <v>Собственник 2</v>
      </c>
      <c r="B1010" s="255">
        <v>1</v>
      </c>
      <c r="C1010" s="17" t="str">
        <f ca="1">CHOOSE(B1010,CUR_Main,CUR_Foreign)</f>
        <v>руб.</v>
      </c>
      <c r="D1010" s="16" t="str">
        <f>TEXT(B1010,"0")&amp;"_01"</f>
        <v>1_01</v>
      </c>
      <c r="F1010" s="272">
        <v>0</v>
      </c>
      <c r="G1010" s="272">
        <v>0</v>
      </c>
      <c r="H1010" s="272">
        <v>0</v>
      </c>
      <c r="I1010" s="272">
        <v>0</v>
      </c>
      <c r="J1010" s="272">
        <v>0</v>
      </c>
      <c r="K1010" s="272">
        <v>0</v>
      </c>
      <c r="M1010" s="54">
        <f>SUM(F1010:K1010)</f>
        <v>0</v>
      </c>
    </row>
    <row r="1011" spans="1:13" hidden="1" outlineLevel="2" x14ac:dyDescent="0.2">
      <c r="A1011" s="274" t="str">
        <f ca="1">Language!A644</f>
        <v>Собственник 3</v>
      </c>
      <c r="B1011" s="255">
        <v>1</v>
      </c>
      <c r="C1011" s="17" t="str">
        <f ca="1">CHOOSE(B1011,CUR_Main,CUR_Foreign)</f>
        <v>руб.</v>
      </c>
      <c r="D1011" s="16" t="str">
        <f>TEXT(B1011,"0")&amp;"_01"</f>
        <v>1_01</v>
      </c>
      <c r="F1011" s="272">
        <v>0</v>
      </c>
      <c r="G1011" s="272">
        <v>0</v>
      </c>
      <c r="H1011" s="272">
        <v>0</v>
      </c>
      <c r="I1011" s="272">
        <v>0</v>
      </c>
      <c r="J1011" s="272">
        <v>0</v>
      </c>
      <c r="K1011" s="272">
        <v>0</v>
      </c>
      <c r="M1011" s="54">
        <f>SUM(F1011:K1011)</f>
        <v>0</v>
      </c>
    </row>
    <row r="1012" spans="1:13" hidden="1" outlineLevel="2" x14ac:dyDescent="0.2">
      <c r="A1012" s="274" t="str">
        <f ca="1">Language!A645</f>
        <v>Собственник 4</v>
      </c>
      <c r="B1012" s="255">
        <v>1</v>
      </c>
      <c r="C1012" s="17" t="str">
        <f ca="1">CHOOSE(B1012,CUR_Main,CUR_Foreign)</f>
        <v>руб.</v>
      </c>
      <c r="D1012" s="16" t="str">
        <f>TEXT(B1012,"0")&amp;"_01"</f>
        <v>1_01</v>
      </c>
      <c r="F1012" s="272">
        <v>0</v>
      </c>
      <c r="G1012" s="272">
        <v>0</v>
      </c>
      <c r="H1012" s="272">
        <v>0</v>
      </c>
      <c r="I1012" s="272">
        <v>0</v>
      </c>
      <c r="J1012" s="272">
        <v>0</v>
      </c>
      <c r="K1012" s="272">
        <v>0</v>
      </c>
      <c r="M1012" s="54">
        <f>SUM(F1012:K1012)</f>
        <v>0</v>
      </c>
    </row>
    <row r="1013" spans="1:13" hidden="1" outlineLevel="2" x14ac:dyDescent="0.2">
      <c r="A1013" s="274" t="str">
        <f ca="1">Language!A646</f>
        <v>Собственник 5</v>
      </c>
      <c r="B1013" s="255">
        <v>1</v>
      </c>
      <c r="C1013" s="17" t="str">
        <f ca="1">CHOOSE(B1013,CUR_Main,CUR_Foreign)</f>
        <v>руб.</v>
      </c>
      <c r="D1013" s="16" t="str">
        <f>TEXT(B1013,"0")&amp;"_01"</f>
        <v>1_01</v>
      </c>
      <c r="F1013" s="272">
        <v>0</v>
      </c>
      <c r="G1013" s="272">
        <v>0</v>
      </c>
      <c r="H1013" s="272">
        <v>0</v>
      </c>
      <c r="I1013" s="272">
        <v>0</v>
      </c>
      <c r="J1013" s="272">
        <v>0</v>
      </c>
      <c r="K1013" s="272">
        <v>0</v>
      </c>
      <c r="M1013" s="54">
        <f>SUM(F1013:K1013)</f>
        <v>0</v>
      </c>
    </row>
    <row r="1014" spans="1:13" outlineLevel="1" x14ac:dyDescent="0.2">
      <c r="B1014" s="36" t="str">
        <f ca="1">Language!A$73</f>
        <v>Валюта</v>
      </c>
    </row>
    <row r="1015" spans="1:13" outlineLevel="1" collapsed="1" x14ac:dyDescent="0.2">
      <c r="A1015" t="str">
        <f ca="1">Language!A647</f>
        <v>Средства от текущей деятельности</v>
      </c>
      <c r="B1015" s="255">
        <v>1</v>
      </c>
      <c r="C1015" s="17" t="str">
        <f ca="1">CHOOSE(B1015,CUR_Main,CUR_Foreign)</f>
        <v>руб.</v>
      </c>
      <c r="D1015" s="16"/>
      <c r="F1015" s="272">
        <v>0</v>
      </c>
      <c r="G1015" s="272">
        <v>0</v>
      </c>
      <c r="H1015" s="272">
        <v>0</v>
      </c>
      <c r="I1015" s="272">
        <v>0</v>
      </c>
      <c r="J1015" s="272">
        <v>0</v>
      </c>
      <c r="K1015" s="272">
        <v>0</v>
      </c>
      <c r="M1015" s="54">
        <f>SUM(F1015:K1015)</f>
        <v>0</v>
      </c>
    </row>
    <row r="1016" spans="1:13" s="48" customFormat="1" hidden="1" outlineLevel="2" x14ac:dyDescent="0.2">
      <c r="A1016" t="str">
        <f ca="1">Language!A648</f>
        <v xml:space="preserve">    то же, в основной валюте</v>
      </c>
      <c r="B1016" s="73"/>
      <c r="C1016" s="5" t="str">
        <f ca="1">CUR_Main</f>
        <v>руб.</v>
      </c>
      <c r="D1016" s="101"/>
      <c r="F1016" s="106">
        <f t="shared" ref="F1016:J1016" si="915">F1015*IF($B1015=1,1,F$88)</f>
        <v>0</v>
      </c>
      <c r="G1016" s="106">
        <f t="shared" si="915"/>
        <v>0</v>
      </c>
      <c r="H1016" s="106">
        <f t="shared" si="915"/>
        <v>0</v>
      </c>
      <c r="I1016" s="106">
        <f t="shared" si="915"/>
        <v>0</v>
      </c>
      <c r="J1016" s="106">
        <f t="shared" si="915"/>
        <v>0</v>
      </c>
      <c r="K1016" s="106">
        <f t="shared" ref="K1016" si="916">K1015*IF($B1015=1,1,K$88)</f>
        <v>0</v>
      </c>
      <c r="M1016" s="54">
        <f>SUM(F1016:K1016)</f>
        <v>0</v>
      </c>
    </row>
    <row r="1017" spans="1:13" outlineLevel="1" x14ac:dyDescent="0.2">
      <c r="B1017" s="36" t="str">
        <f ca="1">Language!A$73</f>
        <v>Валюта</v>
      </c>
    </row>
    <row r="1018" spans="1:13" outlineLevel="1" collapsed="1" x14ac:dyDescent="0.2">
      <c r="A1018" s="52" t="str">
        <f ca="1">Language!A649</f>
        <v>Целевое финансирование</v>
      </c>
      <c r="B1018" s="255">
        <v>1</v>
      </c>
      <c r="C1018" s="17" t="str">
        <f ca="1">CHOOSE(B1018,CUR_Main,CUR_Foreign)</f>
        <v>руб.</v>
      </c>
      <c r="D1018" s="16"/>
      <c r="F1018" s="272">
        <v>0</v>
      </c>
      <c r="G1018" s="272">
        <v>0</v>
      </c>
      <c r="H1018" s="272">
        <v>0</v>
      </c>
      <c r="I1018" s="272">
        <v>0</v>
      </c>
      <c r="J1018" s="272">
        <v>0</v>
      </c>
      <c r="K1018" s="272">
        <v>0</v>
      </c>
      <c r="M1018" s="54">
        <f>SUM(F1018:K1018)</f>
        <v>0</v>
      </c>
    </row>
    <row r="1019" spans="1:13" s="48" customFormat="1" hidden="1" outlineLevel="2" x14ac:dyDescent="0.2">
      <c r="A1019" s="52" t="str">
        <f ca="1">Language!A648</f>
        <v xml:space="preserve">    то же, в основной валюте</v>
      </c>
      <c r="B1019" s="73"/>
      <c r="C1019" s="5" t="str">
        <f ca="1">CUR_Main</f>
        <v>руб.</v>
      </c>
      <c r="D1019" s="101"/>
      <c r="F1019" s="106">
        <f t="shared" ref="F1019:J1019" si="917">F1018*IF($B1018=1,1,F$88)</f>
        <v>0</v>
      </c>
      <c r="G1019" s="106">
        <f t="shared" si="917"/>
        <v>0</v>
      </c>
      <c r="H1019" s="106">
        <f t="shared" si="917"/>
        <v>0</v>
      </c>
      <c r="I1019" s="106">
        <f t="shared" si="917"/>
        <v>0</v>
      </c>
      <c r="J1019" s="106">
        <f t="shared" si="917"/>
        <v>0</v>
      </c>
      <c r="K1019" s="106">
        <f t="shared" ref="K1019" si="918">K1018*IF($B1018=1,1,K$88)</f>
        <v>0</v>
      </c>
      <c r="M1019" s="54">
        <f>SUM(F1019:K1019)</f>
        <v>0</v>
      </c>
    </row>
    <row r="1020" spans="1:13" outlineLevel="1" x14ac:dyDescent="0.2"/>
    <row r="1021" spans="1:13" outlineLevel="1" x14ac:dyDescent="0.2">
      <c r="A1021" t="str">
        <f ca="1">Language!A650</f>
        <v>Средства от инвесторов строительства</v>
      </c>
      <c r="C1021" s="5" t="str">
        <f ca="1">CUR_Main</f>
        <v>руб.</v>
      </c>
      <c r="D1021" t="s">
        <v>188</v>
      </c>
      <c r="F1021" s="106">
        <f>0</f>
        <v>0</v>
      </c>
      <c r="G1021" s="106">
        <f>0</f>
        <v>0</v>
      </c>
      <c r="H1021" s="106">
        <f>0</f>
        <v>0</v>
      </c>
      <c r="I1021" s="106">
        <f>0</f>
        <v>0</v>
      </c>
      <c r="J1021" s="106">
        <f>0</f>
        <v>0</v>
      </c>
      <c r="K1021" s="106">
        <f>0</f>
        <v>0</v>
      </c>
      <c r="M1021" s="54">
        <f>SUM(F1021:K1021)</f>
        <v>0</v>
      </c>
    </row>
    <row r="1022" spans="1:13" outlineLevel="1" x14ac:dyDescent="0.2"/>
    <row r="1023" spans="1:13" s="11" customFormat="1" outlineLevel="1" x14ac:dyDescent="0.2">
      <c r="A1023" s="11" t="str">
        <f ca="1">Language!A651</f>
        <v>Справка: Остаток средств на счете (текущий проект)</v>
      </c>
      <c r="C1023" s="36" t="str">
        <f ca="1">CUR_Main</f>
        <v>руб.</v>
      </c>
      <c r="D1023" s="90" t="s">
        <v>384</v>
      </c>
      <c r="F1023" s="94">
        <f t="shared" ref="F1023:K1023" ca="1" si="919">F1286*IF(CUR_I_Report=2,F$88,1)</f>
        <v>15122083.333333332</v>
      </c>
      <c r="G1023" s="94">
        <f t="shared" ca="1" si="919"/>
        <v>81971543.333333328</v>
      </c>
      <c r="H1023" s="94">
        <f t="shared" ca="1" si="919"/>
        <v>180331403.33333331</v>
      </c>
      <c r="I1023" s="94">
        <f t="shared" ca="1" si="919"/>
        <v>271350683.33333331</v>
      </c>
      <c r="J1023" s="94">
        <f t="shared" ca="1" si="919"/>
        <v>362989183.33333331</v>
      </c>
      <c r="K1023" s="94">
        <f t="shared" ca="1" si="919"/>
        <v>454627683.33333331</v>
      </c>
    </row>
    <row r="1024" spans="1:13" s="11" customFormat="1" outlineLevel="1" collapsed="1" x14ac:dyDescent="0.2">
      <c r="A1024" s="11" t="str">
        <f ca="1">Language!A653</f>
        <v>Справка: Остаток средств на счете (портфель проектов)</v>
      </c>
      <c r="C1024" s="5" t="str">
        <f ca="1">CUR_Main</f>
        <v>руб.</v>
      </c>
      <c r="D1024" s="16" t="s">
        <v>384</v>
      </c>
      <c r="F1024" s="94">
        <f ca="1">OFFSET(Портфель!$F331,0,MATCH(F$32,Портфель!$F$36:$K$36,0)-1)*IF(CUR_I_Report=2,F$88,1)</f>
        <v>15122083.333333332</v>
      </c>
      <c r="G1024" s="94">
        <f ca="1">OFFSET(Портфель!$F331,0,MATCH(G$32,Портфель!$F$36:$K$36,0)-1)*IF(CUR_I_Report=2,G$88,1)</f>
        <v>81971543.333333328</v>
      </c>
      <c r="H1024" s="94">
        <f ca="1">OFFSET(Портфель!$F331,0,MATCH(H$32,Портфель!$F$36:$K$36,0)-1)*IF(CUR_I_Report=2,H$88,1)</f>
        <v>180331403.33333331</v>
      </c>
      <c r="I1024" s="94">
        <f ca="1">OFFSET(Портфель!$F331,0,MATCH(I$32,Портфель!$F$36:$K$36,0)-1)*IF(CUR_I_Report=2,I$88,1)</f>
        <v>271350683.33333331</v>
      </c>
      <c r="J1024" s="94">
        <f ca="1">OFFSET(Портфель!$F331,0,MATCH(J$32,Портфель!$F$36:$K$36,0)-1)*IF(CUR_I_Report=2,J$88,1)</f>
        <v>362989183.33333331</v>
      </c>
      <c r="K1024" s="94">
        <f ca="1">OFFSET(Портфель!$F331,0,MATCH(K$32,Портфель!$F$36:$K$36,0)-1)*IF(CUR_I_Report=2,K$88,1)</f>
        <v>454627683.33333331</v>
      </c>
    </row>
    <row r="1025" spans="1:13" s="11" customFormat="1" hidden="1" outlineLevel="2" x14ac:dyDescent="0.2">
      <c r="A1025" s="11" t="str">
        <f ca="1">Language!A652</f>
        <v>Справка: Остаток средств на счете (без учета операционной деятельности)</v>
      </c>
      <c r="C1025" s="36" t="str">
        <f ca="1">CUR_Main</f>
        <v>руб.</v>
      </c>
      <c r="D1025" s="90" t="s">
        <v>384</v>
      </c>
      <c r="F1025" s="94">
        <f t="shared" ref="F1025:K1025" ca="1" si="920">(F1286-F1261)*IF(CUR_I_Report=2,F$88,1)</f>
        <v>1994583.3333333321</v>
      </c>
      <c r="G1025" s="94">
        <f t="shared" ca="1" si="920"/>
        <v>23883643.333333328</v>
      </c>
      <c r="H1025" s="94">
        <f t="shared" ca="1" si="920"/>
        <v>88563103.333333313</v>
      </c>
      <c r="I1025" s="94">
        <f t="shared" ca="1" si="920"/>
        <v>179662183.33333331</v>
      </c>
      <c r="J1025" s="94">
        <f t="shared" ca="1" si="920"/>
        <v>271300683.33333331</v>
      </c>
      <c r="K1025" s="94">
        <f t="shared" ca="1" si="920"/>
        <v>362939183.33333331</v>
      </c>
    </row>
    <row r="1026" spans="1:13" outlineLevel="1" x14ac:dyDescent="0.2">
      <c r="A1026" s="63"/>
      <c r="B1026" s="63"/>
      <c r="C1026" s="63"/>
      <c r="D1026" s="63"/>
      <c r="E1026" s="63"/>
      <c r="F1026" s="63"/>
      <c r="G1026" s="63"/>
      <c r="H1026" s="63"/>
      <c r="I1026" s="63"/>
      <c r="J1026" s="63"/>
      <c r="K1026" s="63"/>
      <c r="L1026" s="63"/>
      <c r="M1026" s="64"/>
    </row>
    <row r="1027" spans="1:13" outlineLevel="1" x14ac:dyDescent="0.2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22"/>
    </row>
    <row r="1028" spans="1:13" s="4" customFormat="1" ht="15.9" customHeight="1" thickBot="1" x14ac:dyDescent="0.25">
      <c r="A1028" s="166" t="str">
        <f ca="1">Language!A654</f>
        <v xml:space="preserve">         КРЕДИТЫ</v>
      </c>
      <c r="B1028" s="166"/>
      <c r="C1028" s="166"/>
      <c r="D1028" s="166"/>
      <c r="E1028" s="166"/>
      <c r="F1028" s="178" t="str">
        <f t="shared" ref="F1028:K1028" si="921">PeriodTitle</f>
        <v>4/ 2020</v>
      </c>
      <c r="G1028" s="178" t="str">
        <f t="shared" si="921"/>
        <v>5/ 2020</v>
      </c>
      <c r="H1028" s="178" t="str">
        <f t="shared" si="921"/>
        <v>6/ 2020</v>
      </c>
      <c r="I1028" s="178" t="str">
        <f t="shared" si="921"/>
        <v>7/ 2020</v>
      </c>
      <c r="J1028" s="178" t="str">
        <f t="shared" si="921"/>
        <v>8/ 2020</v>
      </c>
      <c r="K1028" s="178" t="str">
        <f t="shared" si="921"/>
        <v>9/ 2020</v>
      </c>
      <c r="L1028" s="166"/>
      <c r="M1028" s="195" t="str">
        <f ca="1">Language!A371</f>
        <v>ИТОГО</v>
      </c>
    </row>
    <row r="1029" spans="1:13" ht="10.8" outlineLevel="1" thickTop="1" x14ac:dyDescent="0.2"/>
    <row r="1030" spans="1:13" outlineLevel="1" x14ac:dyDescent="0.2">
      <c r="A1030" s="35" t="str">
        <f ca="1">Language!A683</f>
        <v>Существующие кредиты</v>
      </c>
    </row>
    <row r="1031" spans="1:13" outlineLevel="1" x14ac:dyDescent="0.2">
      <c r="A1031" t="str">
        <f ca="1">Language!A$657</f>
        <v>Годовая процентная ставка</v>
      </c>
      <c r="B1031" s="273">
        <v>0.15</v>
      </c>
      <c r="D1031" s="16" t="s">
        <v>2512</v>
      </c>
      <c r="F1031" s="108">
        <f>B1031</f>
        <v>0.15</v>
      </c>
      <c r="G1031" s="108">
        <f t="shared" ref="G1031:K1031" si="922">F1031</f>
        <v>0.15</v>
      </c>
      <c r="H1031" s="108">
        <f t="shared" si="922"/>
        <v>0.15</v>
      </c>
      <c r="I1031" s="108">
        <f t="shared" si="922"/>
        <v>0.15</v>
      </c>
      <c r="J1031" s="108">
        <f t="shared" si="922"/>
        <v>0.15</v>
      </c>
      <c r="K1031" s="108">
        <f t="shared" si="922"/>
        <v>0.15</v>
      </c>
    </row>
    <row r="1032" spans="1:13" outlineLevel="1" x14ac:dyDescent="0.2">
      <c r="A1032" t="str">
        <f ca="1">Language!A$660</f>
        <v>Погашение основного долга</v>
      </c>
      <c r="C1032" s="5" t="str">
        <f ca="1">CUR_Main</f>
        <v>руб.</v>
      </c>
      <c r="D1032" s="16" t="s">
        <v>2367</v>
      </c>
      <c r="F1032" s="272">
        <v>0</v>
      </c>
      <c r="G1032" s="272">
        <v>0</v>
      </c>
      <c r="H1032" s="272">
        <v>0</v>
      </c>
      <c r="I1032" s="272">
        <v>0</v>
      </c>
      <c r="J1032" s="272">
        <v>0</v>
      </c>
      <c r="K1032" s="272">
        <v>0</v>
      </c>
      <c r="M1032" s="54">
        <f>SUM(F1032:K1032)</f>
        <v>0</v>
      </c>
    </row>
    <row r="1033" spans="1:13" outlineLevel="1" x14ac:dyDescent="0.2">
      <c r="A1033" t="str">
        <f ca="1">Language!A$662</f>
        <v>Выплаченные проценты</v>
      </c>
      <c r="C1033" s="5" t="str">
        <f ca="1">CUR_Main</f>
        <v>руб.</v>
      </c>
      <c r="D1033" s="16" t="s">
        <v>2369</v>
      </c>
      <c r="F1033" s="53">
        <f t="shared" ref="F1033:J1033" si="923">F1036</f>
        <v>0</v>
      </c>
      <c r="G1033" s="53">
        <f t="shared" si="923"/>
        <v>0</v>
      </c>
      <c r="H1033" s="53">
        <f t="shared" si="923"/>
        <v>0</v>
      </c>
      <c r="I1033" s="53">
        <f t="shared" si="923"/>
        <v>0</v>
      </c>
      <c r="J1033" s="53">
        <f t="shared" si="923"/>
        <v>0</v>
      </c>
      <c r="K1033" s="53">
        <f t="shared" ref="K1033" si="924">K1036</f>
        <v>0</v>
      </c>
      <c r="M1033" s="54">
        <f>SUM(F1033:K1033)</f>
        <v>0</v>
      </c>
    </row>
    <row r="1034" spans="1:13" outlineLevel="1" collapsed="1" x14ac:dyDescent="0.2">
      <c r="A1034" t="str">
        <f ca="1">Language!A$664</f>
        <v>Задолженность на конец текущего периода</v>
      </c>
      <c r="C1034" s="5" t="str">
        <f ca="1">CUR_Main</f>
        <v>руб.</v>
      </c>
      <c r="D1034" s="16" t="s">
        <v>2371</v>
      </c>
      <c r="F1034" s="53">
        <f>E1034-F1032+IF(D64="1_19",F64,F64*F88)</f>
        <v>0</v>
      </c>
      <c r="G1034" s="53">
        <f t="shared" ref="G1034:L1034" si="925">F1034-G1032</f>
        <v>0</v>
      </c>
      <c r="H1034" s="53">
        <f t="shared" si="925"/>
        <v>0</v>
      </c>
      <c r="I1034" s="53">
        <f t="shared" si="925"/>
        <v>0</v>
      </c>
      <c r="J1034" s="53">
        <f t="shared" si="925"/>
        <v>0</v>
      </c>
      <c r="K1034" s="53">
        <f t="shared" si="925"/>
        <v>0</v>
      </c>
      <c r="L1034" s="243">
        <f t="shared" si="925"/>
        <v>0</v>
      </c>
    </row>
    <row r="1035" spans="1:13" hidden="1" outlineLevel="2" x14ac:dyDescent="0.2">
      <c r="A1035" t="str">
        <f ca="1">Language!A$667</f>
        <v xml:space="preserve">    проценты, выплачиваемые из прибыли</v>
      </c>
      <c r="C1035" s="5" t="str">
        <f ca="1">CUR_Main</f>
        <v>руб.</v>
      </c>
      <c r="D1035" s="16" t="s">
        <v>2370</v>
      </c>
      <c r="F1035" s="84">
        <f t="shared" ref="F1035:J1035" si="926">F1034*MAX((F1031-F$98)*PRJ_Step/360,0)</f>
        <v>0</v>
      </c>
      <c r="G1035" s="84">
        <f t="shared" si="926"/>
        <v>0</v>
      </c>
      <c r="H1035" s="84">
        <f t="shared" si="926"/>
        <v>0</v>
      </c>
      <c r="I1035" s="84">
        <f t="shared" si="926"/>
        <v>0</v>
      </c>
      <c r="J1035" s="84">
        <f t="shared" si="926"/>
        <v>0</v>
      </c>
      <c r="K1035" s="84">
        <f t="shared" ref="K1035" si="927">K1034*MAX((K1031-K$98)*PRJ_Step/360,0)</f>
        <v>0</v>
      </c>
      <c r="L1035" s="244"/>
      <c r="M1035" s="54">
        <f>SUM(F1035:K1035)</f>
        <v>0</v>
      </c>
    </row>
    <row r="1036" spans="1:13" hidden="1" outlineLevel="2" x14ac:dyDescent="0.2">
      <c r="A1036" t="str">
        <f ca="1">Language!A$661</f>
        <v>Начисленные проценты</v>
      </c>
      <c r="C1036" s="5" t="str">
        <f ca="1">CUR_Main</f>
        <v>руб.</v>
      </c>
      <c r="D1036" s="16" t="s">
        <v>2368</v>
      </c>
      <c r="F1036" s="43">
        <f t="shared" ref="F1036:J1036" si="928">F1034*F1031*PRJ_Step/360</f>
        <v>0</v>
      </c>
      <c r="G1036" s="43">
        <f t="shared" si="928"/>
        <v>0</v>
      </c>
      <c r="H1036" s="43">
        <f t="shared" si="928"/>
        <v>0</v>
      </c>
      <c r="I1036" s="43">
        <f t="shared" si="928"/>
        <v>0</v>
      </c>
      <c r="J1036" s="43">
        <f t="shared" si="928"/>
        <v>0</v>
      </c>
      <c r="K1036" s="43">
        <f t="shared" ref="K1036" si="929">K1034*K1031*PRJ_Step/360</f>
        <v>0</v>
      </c>
      <c r="M1036" s="54">
        <f>SUM(F1036:K1036)</f>
        <v>0</v>
      </c>
    </row>
    <row r="1037" spans="1:13" outlineLevel="1" x14ac:dyDescent="0.2">
      <c r="A1037" s="63"/>
      <c r="B1037" s="63"/>
      <c r="C1037" s="63"/>
      <c r="D1037" s="63"/>
      <c r="E1037" s="63"/>
      <c r="F1037" s="63"/>
      <c r="G1037" s="63"/>
      <c r="H1037" s="63"/>
      <c r="I1037" s="63"/>
      <c r="J1037" s="63"/>
      <c r="K1037" s="63"/>
      <c r="L1037" s="304"/>
      <c r="M1037" s="64"/>
    </row>
    <row r="1038" spans="1:13" outlineLevel="1" x14ac:dyDescent="0.2">
      <c r="A1038" s="62" t="str">
        <f ca="1">Language!A684</f>
        <v>Новые кредиты</v>
      </c>
      <c r="B1038" s="19"/>
      <c r="C1038" s="19"/>
      <c r="D1038" s="19">
        <v>1</v>
      </c>
      <c r="E1038" s="19">
        <v>14</v>
      </c>
      <c r="F1038" s="19"/>
      <c r="G1038" s="19"/>
      <c r="H1038" s="19"/>
      <c r="I1038" s="19"/>
      <c r="J1038" s="19"/>
      <c r="K1038" s="19"/>
      <c r="L1038" s="305"/>
      <c r="M1038" s="22"/>
    </row>
    <row r="1039" spans="1:13" outlineLevel="1" x14ac:dyDescent="0.2">
      <c r="A1039" s="263" t="s">
        <v>2679</v>
      </c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305"/>
      <c r="M1039" s="22"/>
    </row>
    <row r="1040" spans="1:13" outlineLevel="1" x14ac:dyDescent="0.2">
      <c r="A1040" s="19" t="str">
        <f ca="1">Language!A$655</f>
        <v>Тип кредита</v>
      </c>
      <c r="B1040" s="261">
        <v>2</v>
      </c>
      <c r="C1040" s="306" t="str">
        <f ca="1">OFFSET(Language!A$677,B1040-1,0)</f>
        <v>Инвестиционный кредит</v>
      </c>
      <c r="D1040" s="19"/>
      <c r="E1040" s="19"/>
      <c r="F1040" s="19"/>
      <c r="G1040" s="19"/>
      <c r="H1040" s="19"/>
      <c r="I1040" s="19"/>
      <c r="J1040" s="19"/>
      <c r="K1040" s="19"/>
      <c r="L1040" s="305"/>
      <c r="M1040" s="22"/>
    </row>
    <row r="1041" spans="1:13" outlineLevel="1" x14ac:dyDescent="0.2">
      <c r="A1041" s="19" t="str">
        <f ca="1">Language!A$656</f>
        <v>Валюта кредита</v>
      </c>
      <c r="B1041" s="261">
        <v>1</v>
      </c>
      <c r="C1041" s="307" t="str">
        <f ca="1">CHOOSE(B1041,CUR_Main,CUR_Foreign)</f>
        <v>руб.</v>
      </c>
      <c r="D1041" s="19"/>
      <c r="E1041" s="19"/>
      <c r="F1041" s="19"/>
      <c r="G1041" s="19"/>
      <c r="H1041" s="19"/>
      <c r="I1041" s="19"/>
      <c r="J1041" s="19"/>
      <c r="K1041" s="19"/>
      <c r="L1041" s="305"/>
      <c r="M1041" s="22"/>
    </row>
    <row r="1042" spans="1:13" outlineLevel="1" x14ac:dyDescent="0.2">
      <c r="A1042" t="str">
        <f ca="1">Language!A$657</f>
        <v>Годовая процентная ставка</v>
      </c>
      <c r="B1042" s="273">
        <v>0.21</v>
      </c>
      <c r="D1042" s="16" t="s">
        <v>2512</v>
      </c>
      <c r="F1042" s="108">
        <f>B1042</f>
        <v>0.21</v>
      </c>
      <c r="G1042" s="108">
        <f t="shared" ref="G1042:K1042" si="930">F1042</f>
        <v>0.21</v>
      </c>
      <c r="H1042" s="108">
        <f t="shared" si="930"/>
        <v>0.21</v>
      </c>
      <c r="I1042" s="108">
        <f t="shared" si="930"/>
        <v>0.21</v>
      </c>
      <c r="J1042" s="108">
        <f t="shared" si="930"/>
        <v>0.21</v>
      </c>
      <c r="K1042" s="108">
        <f t="shared" si="930"/>
        <v>0.21</v>
      </c>
      <c r="L1042" s="244"/>
    </row>
    <row r="1043" spans="1:13" outlineLevel="1" x14ac:dyDescent="0.2">
      <c r="A1043" t="str">
        <f ca="1">Language!A$658</f>
        <v>Отсрочка выплаты процентов</v>
      </c>
      <c r="B1043" s="255">
        <v>2</v>
      </c>
      <c r="C1043" s="17" t="str">
        <f ca="1">PRJ_Step_SName</f>
        <v>мес.</v>
      </c>
      <c r="E1043">
        <v>113</v>
      </c>
      <c r="L1043" s="244"/>
    </row>
    <row r="1044" spans="1:13" outlineLevel="1" x14ac:dyDescent="0.2">
      <c r="D1044" s="16" t="s">
        <v>2517</v>
      </c>
      <c r="L1044" s="244"/>
    </row>
    <row r="1045" spans="1:13" outlineLevel="1" x14ac:dyDescent="0.2">
      <c r="A1045" t="str">
        <f ca="1">Language!A$659</f>
        <v>Поступление денег от кредита</v>
      </c>
      <c r="C1045" s="17" t="str">
        <f ca="1">CHOOSE(B1041,CUR_Main,CUR_Foreign)</f>
        <v>руб.</v>
      </c>
      <c r="D1045" s="16" t="str">
        <f>TEXT(B1040,"0") &amp; "/" &amp; TEXT(B1041,"0") &amp; "_00"</f>
        <v>2/1_00</v>
      </c>
      <c r="F1045" s="272">
        <v>0</v>
      </c>
      <c r="G1045" s="272">
        <v>0</v>
      </c>
      <c r="H1045" s="272">
        <v>0</v>
      </c>
      <c r="I1045" s="272">
        <v>0</v>
      </c>
      <c r="J1045" s="272">
        <v>0</v>
      </c>
      <c r="K1045" s="272">
        <v>0</v>
      </c>
      <c r="L1045" s="244"/>
      <c r="M1045" s="54">
        <f>SUM(F1045:K1045)</f>
        <v>0</v>
      </c>
    </row>
    <row r="1046" spans="1:13" outlineLevel="1" x14ac:dyDescent="0.2">
      <c r="A1046" t="str">
        <f ca="1">Language!A$660</f>
        <v>Погашение основного долга</v>
      </c>
      <c r="C1046" s="5" t="str">
        <f ca="1">CHOOSE(B1041,CUR_Main,CUR_Foreign)</f>
        <v>руб.</v>
      </c>
      <c r="D1046" s="16" t="str">
        <f>TEXT(B1040,"0") &amp; "/" &amp; TEXT(B1041,"0")&amp;"_01"</f>
        <v>2/1_01</v>
      </c>
      <c r="F1046" s="272">
        <v>0</v>
      </c>
      <c r="G1046" s="272">
        <v>0</v>
      </c>
      <c r="H1046" s="272">
        <v>0</v>
      </c>
      <c r="I1046" s="272">
        <v>0</v>
      </c>
      <c r="J1046" s="272">
        <v>0</v>
      </c>
      <c r="K1046" s="272">
        <v>0</v>
      </c>
      <c r="L1046" s="244"/>
      <c r="M1046" s="54">
        <f>SUM(F1046:K1046)</f>
        <v>0</v>
      </c>
    </row>
    <row r="1047" spans="1:13" outlineLevel="1" x14ac:dyDescent="0.2">
      <c r="A1047" t="str">
        <f ca="1">Language!A$662</f>
        <v>Выплаченные проценты</v>
      </c>
      <c r="C1047" s="5" t="str">
        <f ca="1">CHOOSE(B1041,CUR_Main,CUR_Foreign)</f>
        <v>руб.</v>
      </c>
      <c r="D1047" s="16" t="str">
        <f>TEXT(B1040,"0") &amp; "/" &amp; TEXT(B1041,"0")&amp;"_03"</f>
        <v>2/1_03</v>
      </c>
      <c r="F1047" s="53">
        <f t="shared" ref="F1047:J1047" si="931">IF(F$29&gt;=(F1050+$B1043),F1049*F1042*PRJ_Step/360,0)</f>
        <v>0</v>
      </c>
      <c r="G1047" s="53">
        <f t="shared" si="931"/>
        <v>0</v>
      </c>
      <c r="H1047" s="53">
        <f t="shared" si="931"/>
        <v>0</v>
      </c>
      <c r="I1047" s="53">
        <f t="shared" si="931"/>
        <v>0</v>
      </c>
      <c r="J1047" s="53">
        <f t="shared" si="931"/>
        <v>0</v>
      </c>
      <c r="K1047" s="53">
        <f t="shared" ref="K1047" si="932">IF(K$29&gt;=(K1050+$B1043),K1049*K1042*PRJ_Step/360,0)</f>
        <v>0</v>
      </c>
      <c r="L1047" s="244"/>
      <c r="M1047" s="54">
        <f>SUM(F1047:K1047)</f>
        <v>0</v>
      </c>
    </row>
    <row r="1048" spans="1:13" outlineLevel="1" collapsed="1" x14ac:dyDescent="0.2">
      <c r="A1048" t="str">
        <f ca="1">Language!A$664</f>
        <v>Задолженность на конец текущего периода</v>
      </c>
      <c r="C1048" s="5" t="str">
        <f ca="1">CHOOSE(B1041,CUR_Main,CUR_Foreign)</f>
        <v>руб.</v>
      </c>
      <c r="D1048" t="str">
        <f>TEXT(B1040,"0") &amp; "/" &amp; TEXT(B1041,"0")&amp;"_04"&amp;";int_end"</f>
        <v>2/1_04;int_end</v>
      </c>
      <c r="F1048" s="43">
        <f t="shared" ref="F1048:K1048" si="933">E1048+F1045-F1046+IF(F$29&lt;(F1050+$B1043),F1049*F1042*PRJ_Step/360,0)</f>
        <v>0</v>
      </c>
      <c r="G1048" s="43">
        <f t="shared" si="933"/>
        <v>0</v>
      </c>
      <c r="H1048" s="43">
        <f t="shared" si="933"/>
        <v>0</v>
      </c>
      <c r="I1048" s="43">
        <f t="shared" si="933"/>
        <v>0</v>
      </c>
      <c r="J1048" s="43">
        <f t="shared" si="933"/>
        <v>0</v>
      </c>
      <c r="K1048" s="43">
        <f t="shared" si="933"/>
        <v>0</v>
      </c>
    </row>
    <row r="1049" spans="1:13" hidden="1" outlineLevel="2" x14ac:dyDescent="0.2">
      <c r="A1049" t="str">
        <f ca="1">Language!A$663</f>
        <v>Задолженность на начало текущего периода</v>
      </c>
      <c r="C1049" s="5" t="str">
        <f ca="1">CHOOSE(B1041,CUR_Main,CUR_Foreign)</f>
        <v>руб.</v>
      </c>
      <c r="D1049" s="16" t="s">
        <v>384</v>
      </c>
      <c r="F1049" s="53">
        <f t="shared" ref="F1049:L1049" si="934">E1049+F1045-F1046+IF(F$29&lt;=(F1050+$B1043),E1049*F1042*PRJ_Step/360,0)</f>
        <v>0</v>
      </c>
      <c r="G1049" s="53">
        <f t="shared" si="934"/>
        <v>0</v>
      </c>
      <c r="H1049" s="53">
        <f t="shared" si="934"/>
        <v>0</v>
      </c>
      <c r="I1049" s="53">
        <f t="shared" si="934"/>
        <v>0</v>
      </c>
      <c r="J1049" s="53">
        <f t="shared" si="934"/>
        <v>0</v>
      </c>
      <c r="K1049" s="53">
        <f t="shared" si="934"/>
        <v>0</v>
      </c>
      <c r="L1049" s="243">
        <f t="shared" si="934"/>
        <v>0</v>
      </c>
    </row>
    <row r="1050" spans="1:13" hidden="1" outlineLevel="2" x14ac:dyDescent="0.2">
      <c r="A1050" t="str">
        <f ca="1">Language!A$666</f>
        <v xml:space="preserve">    интервал, в котором впервые взят кредит</v>
      </c>
      <c r="C1050" s="5"/>
      <c r="D1050" s="16" t="str">
        <f>TEXT(B1040,"0") &amp; "/" &amp; TEXT(B1041,"0")&amp;"_06"&amp;";int_end"</f>
        <v>2/1_06;int_end</v>
      </c>
      <c r="F1050" s="53">
        <f>IF(AND(E1050=0,F1045&lt;&gt;0,SUM($E1045:E1045)=0),F$29,E1050)</f>
        <v>0</v>
      </c>
      <c r="G1050" s="53">
        <f>IF(AND(F1050=0,G1045&lt;&gt;0,SUM($E1045:F1045)=0),G$29,F1050)</f>
        <v>0</v>
      </c>
      <c r="H1050" s="53">
        <f>IF(AND(G1050=0,H1045&lt;&gt;0,SUM($E1045:G1045)=0),H$29,G1050)</f>
        <v>0</v>
      </c>
      <c r="I1050" s="53">
        <f>IF(AND(H1050=0,I1045&lt;&gt;0,SUM($E1045:H1045)=0),I$29,H1050)</f>
        <v>0</v>
      </c>
      <c r="J1050" s="53">
        <f>IF(AND(I1050=0,J1045&lt;&gt;0,SUM($E1045:I1045)=0),J$29,I1050)</f>
        <v>0</v>
      </c>
      <c r="K1050" s="53">
        <f>IF(AND(J1050=0,K1045&lt;&gt;0,SUM($E1045:J1045)=0),K$29,J1050)</f>
        <v>0</v>
      </c>
      <c r="L1050" s="244"/>
    </row>
    <row r="1051" spans="1:13" hidden="1" outlineLevel="2" x14ac:dyDescent="0.2">
      <c r="A1051" t="str">
        <f ca="1">Language!A$667</f>
        <v xml:space="preserve">    проценты, выплачиваемые из прибыли</v>
      </c>
      <c r="C1051" s="5" t="str">
        <f ca="1">CHOOSE(B1041,CUR_Main,CUR_Foreign)</f>
        <v>руб.</v>
      </c>
      <c r="D1051" s="16" t="str">
        <f>TEXT(B1040,"0") &amp; "/" &amp; TEXT(B1041,"0")&amp;"_07"</f>
        <v>2/1_07</v>
      </c>
      <c r="F1051" s="84">
        <f t="shared" ref="F1051:J1051" ca="1" si="935">IF(AND(F$29&gt;=(F1050+$B1043),F$29&gt;$B$449),F1049*MAX((F1042-IF($B1041=1,F$98,F$99))*PRJ_Step/360,0),0)</f>
        <v>0</v>
      </c>
      <c r="G1051" s="84">
        <f t="shared" ca="1" si="935"/>
        <v>0</v>
      </c>
      <c r="H1051" s="84">
        <f t="shared" ca="1" si="935"/>
        <v>0</v>
      </c>
      <c r="I1051" s="84">
        <f t="shared" ca="1" si="935"/>
        <v>0</v>
      </c>
      <c r="J1051" s="84">
        <f t="shared" ca="1" si="935"/>
        <v>0</v>
      </c>
      <c r="K1051" s="84">
        <f t="shared" ref="K1051" ca="1" si="936">IF(AND(K$29&gt;=(K1050+$B1043),K$29&gt;$B$449),K1049*MAX((K1042-IF($B1041=1,K$98,K$99))*PRJ_Step/360,0),0)</f>
        <v>0</v>
      </c>
      <c r="L1051" s="244"/>
      <c r="M1051" s="54">
        <f ca="1">SUM(F1051:K1051)</f>
        <v>0</v>
      </c>
    </row>
    <row r="1052" spans="1:13" hidden="1" outlineLevel="2" x14ac:dyDescent="0.2">
      <c r="A1052" t="str">
        <f ca="1">Language!A$661</f>
        <v>Начисленные проценты</v>
      </c>
      <c r="C1052" s="5" t="str">
        <f ca="1">CHOOSE(B1041,CUR_Main,CUR_Foreign)</f>
        <v>руб.</v>
      </c>
      <c r="D1052" t="str">
        <f>TEXT(B1040,"0") &amp; "/" &amp; TEXT(B1041,"0")&amp;"_02"</f>
        <v>2/1_02</v>
      </c>
      <c r="F1052" s="43">
        <f t="shared" ref="F1052:J1052" si="937">F1049*F1042*PRJ_Step/360</f>
        <v>0</v>
      </c>
      <c r="G1052" s="43">
        <f t="shared" si="937"/>
        <v>0</v>
      </c>
      <c r="H1052" s="43">
        <f t="shared" si="937"/>
        <v>0</v>
      </c>
      <c r="I1052" s="43">
        <f t="shared" si="937"/>
        <v>0</v>
      </c>
      <c r="J1052" s="43">
        <f t="shared" si="937"/>
        <v>0</v>
      </c>
      <c r="K1052" s="43">
        <f t="shared" ref="K1052" si="938">K1049*K1042*PRJ_Step/360</f>
        <v>0</v>
      </c>
      <c r="L1052" s="244"/>
      <c r="M1052" s="54">
        <f>SUM(F1052:K1052)</f>
        <v>0</v>
      </c>
    </row>
    <row r="1053" spans="1:13" outlineLevel="1" x14ac:dyDescent="0.2">
      <c r="E1053" s="43"/>
      <c r="L1053" s="244"/>
      <c r="M1053" s="54"/>
    </row>
    <row r="1054" spans="1:13" outlineLevel="1" x14ac:dyDescent="0.2">
      <c r="A1054" s="35" t="str">
        <f ca="1">Language!A669</f>
        <v xml:space="preserve"> = Итого: Поступления от кредитов</v>
      </c>
      <c r="C1054" s="5" t="str">
        <f t="shared" ref="C1054:C1062" ca="1" si="939">CUR_Main</f>
        <v>руб.</v>
      </c>
      <c r="E1054" s="43">
        <f>IF(D64="1_19",F64,F64*F88)</f>
        <v>0</v>
      </c>
      <c r="F1054" s="56">
        <f t="shared" ref="F1054:K1054" si="940">SUMIF($D1030:$D1053,"*1_00*",F1030:F1053)+SUMIF($D1030:$D1053,"*2_00*",F1030:F1053)*F$88</f>
        <v>0</v>
      </c>
      <c r="G1054" s="56">
        <f t="shared" si="940"/>
        <v>0</v>
      </c>
      <c r="H1054" s="56">
        <f t="shared" si="940"/>
        <v>0</v>
      </c>
      <c r="I1054" s="56">
        <f t="shared" si="940"/>
        <v>0</v>
      </c>
      <c r="J1054" s="56">
        <f t="shared" si="940"/>
        <v>0</v>
      </c>
      <c r="K1054" s="56">
        <f t="shared" si="940"/>
        <v>0</v>
      </c>
      <c r="L1054" s="244"/>
      <c r="M1054" s="57">
        <f t="shared" ref="M1054:M1059" si="941">SUM(F1054:K1054)</f>
        <v>0</v>
      </c>
    </row>
    <row r="1055" spans="1:13" outlineLevel="1" x14ac:dyDescent="0.2">
      <c r="A1055" s="35" t="str">
        <f ca="1">Language!A670</f>
        <v xml:space="preserve"> = Итого: Погашение кредитов</v>
      </c>
      <c r="C1055" s="5" t="str">
        <f t="shared" ca="1" si="939"/>
        <v>руб.</v>
      </c>
      <c r="F1055" s="58">
        <f t="shared" ref="F1055:K1055" si="942">SUMIF($D1030:$D1053,"*1_01*",F1030:F1053)+SUMIF($D1030:$D1053,"*2_01*",F1030:F1053)*F$88</f>
        <v>0</v>
      </c>
      <c r="G1055" s="58">
        <f t="shared" si="942"/>
        <v>0</v>
      </c>
      <c r="H1055" s="58">
        <f t="shared" si="942"/>
        <v>0</v>
      </c>
      <c r="I1055" s="58">
        <f t="shared" si="942"/>
        <v>0</v>
      </c>
      <c r="J1055" s="58">
        <f t="shared" si="942"/>
        <v>0</v>
      </c>
      <c r="K1055" s="58">
        <f t="shared" si="942"/>
        <v>0</v>
      </c>
      <c r="L1055" s="244"/>
      <c r="M1055" s="57">
        <f t="shared" si="941"/>
        <v>0</v>
      </c>
    </row>
    <row r="1056" spans="1:13" outlineLevel="1" collapsed="1" x14ac:dyDescent="0.2">
      <c r="A1056" s="35" t="str">
        <f ca="1">Language!A672</f>
        <v xml:space="preserve"> = Итого: Выплата процентов</v>
      </c>
      <c r="C1056" s="5" t="str">
        <f t="shared" ca="1" si="939"/>
        <v>руб.</v>
      </c>
      <c r="F1056" s="58">
        <f t="shared" ref="F1056:K1056" si="943">SUMIF($D1030:$D1053,"*1_03*",F1030:F1053)+SUMIF($D1030:$D1053,"*2_03*",F1030:F1053)*F$88</f>
        <v>0</v>
      </c>
      <c r="G1056" s="58">
        <f t="shared" si="943"/>
        <v>0</v>
      </c>
      <c r="H1056" s="58">
        <f t="shared" si="943"/>
        <v>0</v>
      </c>
      <c r="I1056" s="58">
        <f t="shared" si="943"/>
        <v>0</v>
      </c>
      <c r="J1056" s="58">
        <f t="shared" si="943"/>
        <v>0</v>
      </c>
      <c r="K1056" s="58">
        <f t="shared" si="943"/>
        <v>0</v>
      </c>
      <c r="L1056" s="244"/>
      <c r="M1056" s="57">
        <f t="shared" si="941"/>
        <v>0</v>
      </c>
    </row>
    <row r="1057" spans="1:13" hidden="1" outlineLevel="2" x14ac:dyDescent="0.2">
      <c r="A1057" t="str">
        <f ca="1">Language!A667</f>
        <v xml:space="preserve">    проценты, выплачиваемые из прибыли</v>
      </c>
      <c r="C1057" s="5" t="str">
        <f t="shared" ca="1" si="939"/>
        <v>руб.</v>
      </c>
      <c r="F1057" s="109">
        <f t="shared" ref="F1057:K1057" ca="1" si="944">SUMIF($D1030:$D1053,"*1_07*",F1030:F1053)+SUMIF($D1030:$D1053,"*2_07*",F1030:F1053)*F$88</f>
        <v>0</v>
      </c>
      <c r="G1057" s="109">
        <f t="shared" ca="1" si="944"/>
        <v>0</v>
      </c>
      <c r="H1057" s="109">
        <f t="shared" ca="1" si="944"/>
        <v>0</v>
      </c>
      <c r="I1057" s="109">
        <f t="shared" ca="1" si="944"/>
        <v>0</v>
      </c>
      <c r="J1057" s="109">
        <f t="shared" ca="1" si="944"/>
        <v>0</v>
      </c>
      <c r="K1057" s="109">
        <f t="shared" ca="1" si="944"/>
        <v>0</v>
      </c>
      <c r="L1057" s="244"/>
      <c r="M1057" s="54">
        <f t="shared" ca="1" si="941"/>
        <v>0</v>
      </c>
    </row>
    <row r="1058" spans="1:13" hidden="1" outlineLevel="2" x14ac:dyDescent="0.2">
      <c r="A1058" s="35" t="str">
        <f ca="1">Language!A671</f>
        <v xml:space="preserve"> = Итого: Начисление процентов</v>
      </c>
      <c r="C1058" s="5" t="str">
        <f ca="1">CUR_Main</f>
        <v>руб.</v>
      </c>
      <c r="F1058" s="58">
        <f t="shared" ref="F1058:K1058" si="945">SUMIF($D1030:$D1053,"*1_02*",F1030:F1053)+SUMIF($D1030:$D1053,"*2_02*",F1030:F1053)*F$88</f>
        <v>0</v>
      </c>
      <c r="G1058" s="58">
        <f t="shared" si="945"/>
        <v>0</v>
      </c>
      <c r="H1058" s="58">
        <f t="shared" si="945"/>
        <v>0</v>
      </c>
      <c r="I1058" s="58">
        <f t="shared" si="945"/>
        <v>0</v>
      </c>
      <c r="J1058" s="58">
        <f t="shared" si="945"/>
        <v>0</v>
      </c>
      <c r="K1058" s="58">
        <f t="shared" si="945"/>
        <v>0</v>
      </c>
      <c r="L1058" s="244"/>
      <c r="M1058" s="57">
        <f t="shared" si="941"/>
        <v>0</v>
      </c>
    </row>
    <row r="1059" spans="1:13" hidden="1" outlineLevel="2" x14ac:dyDescent="0.2">
      <c r="A1059" s="23" t="str">
        <f ca="1">Language!A685</f>
        <v xml:space="preserve">    проценты по новым инвестиционным кредитам</v>
      </c>
      <c r="C1059" s="5" t="str">
        <f ca="1">CUR_Main</f>
        <v>руб.</v>
      </c>
      <c r="F1059" s="109">
        <f t="shared" ref="F1059:K1059" si="946">SUMIF($D1038:$D1053,"*2/1_02*",F1038:F1053)+SUMIF($D1038:$D1053,"*2/2_02*",F1038:F1053)*F$88+SUMIF($D1038:$D1053,"*3/1_02*",F1038:F1053)+SUMIF($D1038:$D1053,"*3/2_02*",F1038:F1053)*F$88+SUMIF($D1038:$D1053,"*4/1_02*",F1038:F1053)+SUMIF($D1038:$D1053,"*4/2_02*",F1038:F1053)*F$88</f>
        <v>0</v>
      </c>
      <c r="G1059" s="109">
        <f t="shared" si="946"/>
        <v>0</v>
      </c>
      <c r="H1059" s="109">
        <f t="shared" si="946"/>
        <v>0</v>
      </c>
      <c r="I1059" s="109">
        <f t="shared" si="946"/>
        <v>0</v>
      </c>
      <c r="J1059" s="109">
        <f t="shared" si="946"/>
        <v>0</v>
      </c>
      <c r="K1059" s="109">
        <f t="shared" si="946"/>
        <v>0</v>
      </c>
      <c r="L1059" s="244"/>
      <c r="M1059" s="54">
        <f t="shared" si="941"/>
        <v>0</v>
      </c>
    </row>
    <row r="1060" spans="1:13" outlineLevel="1" collapsed="1" x14ac:dyDescent="0.2">
      <c r="A1060" s="35" t="str">
        <f ca="1">Language!A674</f>
        <v xml:space="preserve"> = Итого: Задолженность по кредитам</v>
      </c>
      <c r="C1060" s="5" t="str">
        <f t="shared" ca="1" si="939"/>
        <v>руб.</v>
      </c>
      <c r="D1060" s="16" t="s">
        <v>384</v>
      </c>
      <c r="E1060" s="43">
        <f>E1054</f>
        <v>0</v>
      </c>
      <c r="F1060" s="58">
        <f t="shared" ref="F1060:K1060" si="947">SUMIF($D1030:$D1053,"*1_04*",F1030:F1053)+SUMIF($D1030:$D1053,"*2_04*",F1030:F1053)*F$88</f>
        <v>0</v>
      </c>
      <c r="G1060" s="58">
        <f t="shared" si="947"/>
        <v>0</v>
      </c>
      <c r="H1060" s="58">
        <f t="shared" si="947"/>
        <v>0</v>
      </c>
      <c r="I1060" s="58">
        <f t="shared" si="947"/>
        <v>0</v>
      </c>
      <c r="J1060" s="58">
        <f t="shared" si="947"/>
        <v>0</v>
      </c>
      <c r="K1060" s="58">
        <f t="shared" si="947"/>
        <v>0</v>
      </c>
      <c r="L1060" s="245">
        <f>SUMIF($D1030:$D1053,"*1_04*",L1030:L1053)+SUMIF($D1030:$D1053,"*2_04*",L1030:L1053)*K$88</f>
        <v>0</v>
      </c>
      <c r="M1060" s="57"/>
    </row>
    <row r="1061" spans="1:13" hidden="1" outlineLevel="2" x14ac:dyDescent="0.2">
      <c r="A1061" t="str">
        <f ca="1">Language!A675</f>
        <v xml:space="preserve">    задолженность по кредитам на оборотный капитал</v>
      </c>
      <c r="C1061" s="5" t="str">
        <f t="shared" ca="1" si="939"/>
        <v>руб.</v>
      </c>
      <c r="D1061" s="16" t="s">
        <v>384</v>
      </c>
      <c r="F1061" s="53">
        <f t="shared" ref="F1061:K1061" si="948">SUMIF($D1030:$D1053,"*1/1_04*",F1030:F1053)+SUMIF($D1030:$D1053,"*1/2_04*",F1030:F1053)*F$88</f>
        <v>0</v>
      </c>
      <c r="G1061" s="53">
        <f t="shared" si="948"/>
        <v>0</v>
      </c>
      <c r="H1061" s="53">
        <f t="shared" si="948"/>
        <v>0</v>
      </c>
      <c r="I1061" s="53">
        <f t="shared" si="948"/>
        <v>0</v>
      </c>
      <c r="J1061" s="53">
        <f t="shared" si="948"/>
        <v>0</v>
      </c>
      <c r="K1061" s="53">
        <f t="shared" si="948"/>
        <v>0</v>
      </c>
      <c r="L1061" s="243">
        <f>SUMIF($D1030:$D1053,"*1/1_04*",L1030:L1053)+SUMIF($D1030:$D1053,"*1/2_04*",L1030:L1053)*K$88</f>
        <v>0</v>
      </c>
    </row>
    <row r="1062" spans="1:13" hidden="1" outlineLevel="2" x14ac:dyDescent="0.2">
      <c r="A1062" t="str">
        <f ca="1">Language!A676</f>
        <v xml:space="preserve">    задолженность по инвестиционным кредитам</v>
      </c>
      <c r="C1062" s="5" t="str">
        <f t="shared" ca="1" si="939"/>
        <v>руб.</v>
      </c>
      <c r="D1062" s="16" t="s">
        <v>384</v>
      </c>
      <c r="F1062" s="43">
        <f t="shared" ref="F1062:L1062" si="949">F1060-F1061</f>
        <v>0</v>
      </c>
      <c r="G1062" s="43">
        <f t="shared" si="949"/>
        <v>0</v>
      </c>
      <c r="H1062" s="43">
        <f t="shared" si="949"/>
        <v>0</v>
      </c>
      <c r="I1062" s="43">
        <f t="shared" si="949"/>
        <v>0</v>
      </c>
      <c r="J1062" s="43">
        <f t="shared" si="949"/>
        <v>0</v>
      </c>
      <c r="K1062" s="43">
        <f t="shared" ref="K1062" si="950">K1060-K1061</f>
        <v>0</v>
      </c>
      <c r="L1062" s="246">
        <f t="shared" si="949"/>
        <v>0</v>
      </c>
    </row>
    <row r="1063" spans="1:13" outlineLevel="1" x14ac:dyDescent="0.2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22"/>
    </row>
    <row r="1064" spans="1:13" s="11" customFormat="1" outlineLevel="1" x14ac:dyDescent="0.2">
      <c r="A1064" s="11" t="str">
        <f ca="1">Language!A681</f>
        <v>Общий коэффициент покрытия долга</v>
      </c>
      <c r="C1064" s="36" t="str">
        <f ca="1">Language!A682</f>
        <v>разы</v>
      </c>
      <c r="D1064" s="16" t="s">
        <v>176</v>
      </c>
      <c r="F1064" s="214" t="str">
        <f t="shared" ref="F1064:J1064" si="951">F1508</f>
        <v>-</v>
      </c>
      <c r="G1064" s="214" t="str">
        <f t="shared" si="951"/>
        <v>-</v>
      </c>
      <c r="H1064" s="214" t="str">
        <f t="shared" si="951"/>
        <v>-</v>
      </c>
      <c r="I1064" s="214" t="str">
        <f t="shared" si="951"/>
        <v>-</v>
      </c>
      <c r="J1064" s="214" t="str">
        <f t="shared" si="951"/>
        <v>-</v>
      </c>
      <c r="K1064" s="214" t="str">
        <f t="shared" ref="K1064" si="952">K1508</f>
        <v>-</v>
      </c>
    </row>
    <row r="1065" spans="1:13" s="11" customFormat="1" outlineLevel="1" x14ac:dyDescent="0.2">
      <c r="A1065" s="11" t="str">
        <f ca="1">Language!A651</f>
        <v>Справка: Остаток средств на счете (текущий проект)</v>
      </c>
      <c r="C1065" s="5" t="str">
        <f ca="1">CUR_Main</f>
        <v>руб.</v>
      </c>
      <c r="D1065" s="16" t="s">
        <v>384</v>
      </c>
      <c r="F1065" s="94">
        <f t="shared" ref="F1065:J1065" ca="1" si="953">F1286*IF(CUR_I_Report=2,F$88,1)</f>
        <v>15122083.333333332</v>
      </c>
      <c r="G1065" s="94">
        <f t="shared" ca="1" si="953"/>
        <v>81971543.333333328</v>
      </c>
      <c r="H1065" s="94">
        <f t="shared" ca="1" si="953"/>
        <v>180331403.33333331</v>
      </c>
      <c r="I1065" s="94">
        <f t="shared" ca="1" si="953"/>
        <v>271350683.33333331</v>
      </c>
      <c r="J1065" s="94">
        <f t="shared" ca="1" si="953"/>
        <v>362989183.33333331</v>
      </c>
      <c r="K1065" s="94">
        <f t="shared" ref="K1065" ca="1" si="954">K1286*IF(CUR_I_Report=2,K$88,1)</f>
        <v>454627683.33333331</v>
      </c>
    </row>
    <row r="1066" spans="1:13" s="11" customFormat="1" outlineLevel="1" collapsed="1" x14ac:dyDescent="0.2">
      <c r="A1066" s="11" t="str">
        <f ca="1">Language!A653</f>
        <v>Справка: Остаток средств на счете (портфель проектов)</v>
      </c>
      <c r="C1066" s="5" t="str">
        <f ca="1">CUR_Main</f>
        <v>руб.</v>
      </c>
      <c r="D1066" s="16" t="s">
        <v>384</v>
      </c>
      <c r="F1066" s="94">
        <f ca="1">OFFSET(Портфель!$F331,0,MATCH(F$32,Портфель!$F$36:$K$36,0)-1)*IF(CUR_I_Report=2,F$88,1)</f>
        <v>15122083.333333332</v>
      </c>
      <c r="G1066" s="94">
        <f ca="1">OFFSET(Портфель!$F331,0,MATCH(G$32,Портфель!$F$36:$K$36,0)-1)*IF(CUR_I_Report=2,G$88,1)</f>
        <v>81971543.333333328</v>
      </c>
      <c r="H1066" s="94">
        <f ca="1">OFFSET(Портфель!$F331,0,MATCH(H$32,Портфель!$F$36:$K$36,0)-1)*IF(CUR_I_Report=2,H$88,1)</f>
        <v>180331403.33333331</v>
      </c>
      <c r="I1066" s="94">
        <f ca="1">OFFSET(Портфель!$F331,0,MATCH(I$32,Портфель!$F$36:$K$36,0)-1)*IF(CUR_I_Report=2,I$88,1)</f>
        <v>271350683.33333331</v>
      </c>
      <c r="J1066" s="94">
        <f ca="1">OFFSET(Портфель!$F331,0,MATCH(J$32,Портфель!$F$36:$K$36,0)-1)*IF(CUR_I_Report=2,J$88,1)</f>
        <v>362989183.33333331</v>
      </c>
      <c r="K1066" s="94">
        <f ca="1">OFFSET(Портфель!$F331,0,MATCH(K$32,Портфель!$F$36:$K$36,0)-1)*IF(CUR_I_Report=2,K$88,1)</f>
        <v>454627683.33333331</v>
      </c>
    </row>
    <row r="1067" spans="1:13" s="11" customFormat="1" hidden="1" outlineLevel="2" x14ac:dyDescent="0.2">
      <c r="A1067" s="11" t="str">
        <f ca="1">Language!A652</f>
        <v>Справка: Остаток средств на счете (без учета операционной деятельности)</v>
      </c>
      <c r="C1067" s="5" t="str">
        <f ca="1">CUR_Main</f>
        <v>руб.</v>
      </c>
      <c r="D1067" s="16" t="s">
        <v>384</v>
      </c>
      <c r="F1067" s="94">
        <f t="shared" ref="F1067:J1067" ca="1" si="955">(F1286-F1261)*IF(CUR_I_Report=2,F$88,1)</f>
        <v>1994583.3333333321</v>
      </c>
      <c r="G1067" s="94">
        <f t="shared" ca="1" si="955"/>
        <v>23883643.333333328</v>
      </c>
      <c r="H1067" s="94">
        <f t="shared" ca="1" si="955"/>
        <v>88563103.333333313</v>
      </c>
      <c r="I1067" s="94">
        <f t="shared" ca="1" si="955"/>
        <v>179662183.33333331</v>
      </c>
      <c r="J1067" s="94">
        <f t="shared" ca="1" si="955"/>
        <v>271300683.33333331</v>
      </c>
      <c r="K1067" s="94">
        <f t="shared" ref="K1067" ca="1" si="956">(K1286-K1261)*IF(CUR_I_Report=2,K$88,1)</f>
        <v>362939183.33333331</v>
      </c>
    </row>
    <row r="1068" spans="1:13" outlineLevel="1" x14ac:dyDescent="0.2">
      <c r="A1068" s="63"/>
      <c r="B1068" s="63"/>
      <c r="C1068" s="63"/>
      <c r="D1068" s="63"/>
      <c r="E1068" s="63"/>
      <c r="F1068" s="63"/>
      <c r="G1068" s="63"/>
      <c r="H1068" s="63"/>
      <c r="I1068" s="63"/>
      <c r="J1068" s="63"/>
      <c r="K1068" s="63"/>
      <c r="L1068" s="63"/>
      <c r="M1068" s="64"/>
    </row>
    <row r="1069" spans="1:13" s="11" customFormat="1" outlineLevel="1" collapsed="1" x14ac:dyDescent="0.2">
      <c r="A1069" s="22" t="str">
        <f ca="1">Language!A$1007 &amp; ", " &amp; Проект!CUR_Report</f>
        <v>График: Остаток задолженности по кредитам, руб.</v>
      </c>
      <c r="B1069" s="149"/>
      <c r="C1069" s="22"/>
      <c r="D1069" s="22"/>
      <c r="E1069" s="22"/>
      <c r="F1069" s="118"/>
      <c r="G1069" s="118"/>
      <c r="H1069" s="118"/>
      <c r="I1069" s="118"/>
      <c r="J1069" s="118"/>
      <c r="K1069" s="118"/>
      <c r="L1069" s="22"/>
      <c r="M1069" s="22"/>
    </row>
    <row r="1070" spans="1:13" s="11" customFormat="1" hidden="1" outlineLevel="2" x14ac:dyDescent="0.2">
      <c r="A1070" s="22"/>
      <c r="B1070" s="149"/>
      <c r="C1070" s="22"/>
      <c r="D1070" s="22"/>
      <c r="E1070" s="22"/>
      <c r="F1070" s="118"/>
      <c r="G1070" s="118"/>
      <c r="H1070" s="118"/>
      <c r="I1070" s="118"/>
      <c r="J1070" s="118"/>
      <c r="K1070" s="118"/>
      <c r="L1070" s="22"/>
      <c r="M1070" s="22"/>
    </row>
    <row r="1071" spans="1:13" s="11" customFormat="1" hidden="1" outlineLevel="2" x14ac:dyDescent="0.2">
      <c r="A1071" s="22"/>
      <c r="B1071" s="149"/>
      <c r="C1071" s="22"/>
      <c r="D1071" s="22"/>
      <c r="E1071" s="22"/>
      <c r="F1071" s="118"/>
      <c r="G1071" s="118"/>
      <c r="H1071" s="118"/>
      <c r="I1071" s="118"/>
      <c r="J1071" s="118"/>
      <c r="K1071" s="118"/>
      <c r="L1071" s="22"/>
      <c r="M1071" s="22"/>
    </row>
    <row r="1072" spans="1:13" s="11" customFormat="1" hidden="1" outlineLevel="2" x14ac:dyDescent="0.2">
      <c r="A1072" s="22"/>
      <c r="B1072" s="149"/>
      <c r="C1072" s="22"/>
      <c r="D1072" s="22"/>
      <c r="E1072" s="22"/>
      <c r="F1072" s="118"/>
      <c r="G1072" s="118"/>
      <c r="H1072" s="118"/>
      <c r="I1072" s="118"/>
      <c r="J1072" s="118"/>
      <c r="K1072" s="118"/>
      <c r="L1072" s="22"/>
      <c r="M1072" s="22"/>
    </row>
    <row r="1073" spans="1:13" s="11" customFormat="1" hidden="1" outlineLevel="2" x14ac:dyDescent="0.2">
      <c r="A1073" s="22"/>
      <c r="B1073" s="149"/>
      <c r="C1073" s="22"/>
      <c r="D1073" s="22"/>
      <c r="E1073" s="22"/>
      <c r="F1073" s="118"/>
      <c r="G1073" s="118"/>
      <c r="H1073" s="118"/>
      <c r="I1073" s="118"/>
      <c r="J1073" s="118"/>
      <c r="K1073" s="118"/>
      <c r="L1073" s="22"/>
      <c r="M1073" s="22"/>
    </row>
    <row r="1074" spans="1:13" s="11" customFormat="1" hidden="1" outlineLevel="2" x14ac:dyDescent="0.2">
      <c r="A1074" s="22"/>
      <c r="B1074" s="149"/>
      <c r="C1074" s="22"/>
      <c r="D1074" s="22"/>
      <c r="E1074" s="22"/>
      <c r="F1074" s="118"/>
      <c r="G1074" s="118"/>
      <c r="H1074" s="118"/>
      <c r="I1074" s="118"/>
      <c r="J1074" s="118"/>
      <c r="K1074" s="118"/>
      <c r="L1074" s="22"/>
      <c r="M1074" s="22"/>
    </row>
    <row r="1075" spans="1:13" s="11" customFormat="1" hidden="1" outlineLevel="2" x14ac:dyDescent="0.2">
      <c r="A1075" s="22"/>
      <c r="B1075" s="149"/>
      <c r="C1075" s="22"/>
      <c r="D1075" s="22"/>
      <c r="E1075" s="22"/>
      <c r="F1075" s="118"/>
      <c r="G1075" s="118"/>
      <c r="H1075" s="118"/>
      <c r="I1075" s="118"/>
      <c r="J1075" s="118"/>
      <c r="K1075" s="118"/>
      <c r="L1075" s="22"/>
      <c r="M1075" s="22"/>
    </row>
    <row r="1076" spans="1:13" s="11" customFormat="1" hidden="1" outlineLevel="2" x14ac:dyDescent="0.2">
      <c r="A1076" s="22"/>
      <c r="B1076" s="149"/>
      <c r="C1076" s="22"/>
      <c r="D1076" s="22"/>
      <c r="E1076" s="22"/>
      <c r="F1076" s="118"/>
      <c r="G1076" s="118"/>
      <c r="H1076" s="118"/>
      <c r="I1076" s="118"/>
      <c r="J1076" s="118"/>
      <c r="K1076" s="118"/>
      <c r="L1076" s="22"/>
      <c r="M1076" s="22"/>
    </row>
    <row r="1077" spans="1:13" s="11" customFormat="1" hidden="1" outlineLevel="2" x14ac:dyDescent="0.2">
      <c r="A1077" s="22"/>
      <c r="B1077" s="149"/>
      <c r="C1077" s="22"/>
      <c r="D1077" s="22"/>
      <c r="E1077" s="22"/>
      <c r="F1077" s="118"/>
      <c r="G1077" s="118"/>
      <c r="H1077" s="118"/>
      <c r="I1077" s="118"/>
      <c r="J1077" s="118"/>
      <c r="K1077" s="118"/>
      <c r="L1077" s="22"/>
      <c r="M1077" s="22"/>
    </row>
    <row r="1078" spans="1:13" s="11" customFormat="1" hidden="1" outlineLevel="2" x14ac:dyDescent="0.2">
      <c r="A1078" s="22"/>
      <c r="B1078" s="149"/>
      <c r="C1078" s="22"/>
      <c r="D1078" s="22"/>
      <c r="E1078" s="22"/>
      <c r="F1078" s="118"/>
      <c r="G1078" s="118"/>
      <c r="H1078" s="118"/>
      <c r="I1078" s="118"/>
      <c r="J1078" s="118"/>
      <c r="K1078" s="118"/>
      <c r="L1078" s="22"/>
      <c r="M1078" s="22"/>
    </row>
    <row r="1079" spans="1:13" s="11" customFormat="1" hidden="1" outlineLevel="2" x14ac:dyDescent="0.2">
      <c r="A1079" s="22"/>
      <c r="B1079" s="149"/>
      <c r="C1079" s="22"/>
      <c r="D1079" s="22"/>
      <c r="E1079" s="22"/>
      <c r="F1079" s="118"/>
      <c r="G1079" s="118"/>
      <c r="H1079" s="118"/>
      <c r="I1079" s="118"/>
      <c r="J1079" s="118"/>
      <c r="K1079" s="118"/>
      <c r="L1079" s="22"/>
      <c r="M1079" s="22"/>
    </row>
    <row r="1080" spans="1:13" s="11" customFormat="1" hidden="1" outlineLevel="2" x14ac:dyDescent="0.2">
      <c r="A1080" s="22"/>
      <c r="B1080" s="149"/>
      <c r="C1080" s="22"/>
      <c r="D1080" s="22"/>
      <c r="E1080" s="22"/>
      <c r="F1080" s="118"/>
      <c r="G1080" s="118"/>
      <c r="H1080" s="118"/>
      <c r="I1080" s="118"/>
      <c r="J1080" s="118"/>
      <c r="K1080" s="118"/>
      <c r="L1080" s="22"/>
      <c r="M1080" s="22"/>
    </row>
    <row r="1081" spans="1:13" s="11" customFormat="1" hidden="1" outlineLevel="2" x14ac:dyDescent="0.2">
      <c r="A1081" s="22"/>
      <c r="B1081" s="149"/>
      <c r="C1081" s="22"/>
      <c r="D1081" s="22"/>
      <c r="E1081" s="22"/>
      <c r="F1081" s="118"/>
      <c r="G1081" s="118"/>
      <c r="H1081" s="118"/>
      <c r="I1081" s="118"/>
      <c r="J1081" s="118"/>
      <c r="K1081" s="118"/>
      <c r="L1081" s="22"/>
      <c r="M1081" s="22"/>
    </row>
    <row r="1082" spans="1:13" s="11" customFormat="1" hidden="1" outlineLevel="2" x14ac:dyDescent="0.2">
      <c r="A1082" s="22"/>
      <c r="B1082" s="149"/>
      <c r="C1082" s="22"/>
      <c r="D1082" s="22"/>
      <c r="E1082" s="22"/>
      <c r="F1082" s="118"/>
      <c r="G1082" s="118"/>
      <c r="H1082" s="118"/>
      <c r="I1082" s="118"/>
      <c r="J1082" s="118"/>
      <c r="K1082" s="118"/>
      <c r="L1082" s="22"/>
      <c r="M1082" s="22"/>
    </row>
    <row r="1083" spans="1:13" s="11" customFormat="1" hidden="1" outlineLevel="2" x14ac:dyDescent="0.2">
      <c r="A1083" s="22"/>
      <c r="B1083" s="149"/>
      <c r="C1083" s="22"/>
      <c r="D1083" s="22"/>
      <c r="E1083" s="22"/>
      <c r="F1083" s="118"/>
      <c r="G1083" s="118"/>
      <c r="H1083" s="118"/>
      <c r="I1083" s="118"/>
      <c r="J1083" s="118"/>
      <c r="K1083" s="118"/>
      <c r="L1083" s="22"/>
      <c r="M1083" s="22"/>
    </row>
    <row r="1084" spans="1:13" s="11" customFormat="1" hidden="1" outlineLevel="2" x14ac:dyDescent="0.2">
      <c r="A1084" s="22"/>
      <c r="B1084" s="149"/>
      <c r="C1084" s="22"/>
      <c r="D1084" s="22"/>
      <c r="E1084" s="22"/>
      <c r="F1084" s="118"/>
      <c r="G1084" s="118"/>
      <c r="H1084" s="118"/>
      <c r="I1084" s="118"/>
      <c r="J1084" s="118"/>
      <c r="K1084" s="118"/>
      <c r="L1084" s="22"/>
      <c r="M1084" s="22"/>
    </row>
    <row r="1085" spans="1:13" s="11" customFormat="1" hidden="1" outlineLevel="2" x14ac:dyDescent="0.2">
      <c r="A1085" s="22"/>
      <c r="B1085" s="149"/>
      <c r="C1085" s="22"/>
      <c r="D1085" s="22"/>
      <c r="E1085" s="22"/>
      <c r="F1085" s="118"/>
      <c r="G1085" s="118"/>
      <c r="H1085" s="118"/>
      <c r="I1085" s="118"/>
      <c r="J1085" s="118"/>
      <c r="K1085" s="118"/>
      <c r="L1085" s="22"/>
      <c r="M1085" s="22"/>
    </row>
    <row r="1086" spans="1:13" s="11" customFormat="1" hidden="1" outlineLevel="2" x14ac:dyDescent="0.2">
      <c r="A1086" s="22"/>
      <c r="B1086" s="149"/>
      <c r="C1086" s="22"/>
      <c r="D1086" s="22"/>
      <c r="E1086" s="22"/>
      <c r="F1086" s="118"/>
      <c r="G1086" s="118"/>
      <c r="H1086" s="118"/>
      <c r="I1086" s="118"/>
      <c r="J1086" s="118"/>
      <c r="K1086" s="118"/>
      <c r="L1086" s="22"/>
      <c r="M1086" s="22"/>
    </row>
    <row r="1087" spans="1:13" s="11" customFormat="1" hidden="1" outlineLevel="2" x14ac:dyDescent="0.2">
      <c r="A1087" s="22"/>
      <c r="B1087" s="149"/>
      <c r="C1087" s="22"/>
      <c r="D1087" s="22"/>
      <c r="E1087" s="22"/>
      <c r="F1087" s="118"/>
      <c r="G1087" s="118"/>
      <c r="H1087" s="118"/>
      <c r="I1087" s="118"/>
      <c r="J1087" s="118"/>
      <c r="K1087" s="118"/>
      <c r="L1087" s="22"/>
      <c r="M1087" s="22"/>
    </row>
    <row r="1088" spans="1:13" s="11" customFormat="1" hidden="1" outlineLevel="2" x14ac:dyDescent="0.2">
      <c r="A1088" s="22"/>
      <c r="B1088" s="149"/>
      <c r="C1088" s="22"/>
      <c r="D1088" s="22"/>
      <c r="E1088" s="22"/>
      <c r="F1088" s="118"/>
      <c r="G1088" s="118"/>
      <c r="H1088" s="118"/>
      <c r="I1088" s="118"/>
      <c r="J1088" s="118"/>
      <c r="K1088" s="118"/>
      <c r="L1088" s="22"/>
      <c r="M1088" s="22"/>
    </row>
    <row r="1089" spans="1:13" s="11" customFormat="1" hidden="1" outlineLevel="2" x14ac:dyDescent="0.2">
      <c r="A1089" s="22"/>
      <c r="B1089" s="149"/>
      <c r="C1089" s="22"/>
      <c r="D1089" s="22"/>
      <c r="E1089" s="22"/>
      <c r="F1089" s="118"/>
      <c r="G1089" s="118"/>
      <c r="H1089" s="118"/>
      <c r="I1089" s="118"/>
      <c r="J1089" s="118"/>
      <c r="K1089" s="118"/>
      <c r="L1089" s="22"/>
      <c r="M1089" s="22"/>
    </row>
    <row r="1090" spans="1:13" s="11" customFormat="1" hidden="1" outlineLevel="2" x14ac:dyDescent="0.2">
      <c r="A1090" s="22"/>
      <c r="B1090" s="149"/>
      <c r="C1090" s="22"/>
      <c r="D1090" s="22"/>
      <c r="E1090" s="22"/>
      <c r="F1090" s="118"/>
      <c r="G1090" s="118"/>
      <c r="H1090" s="118"/>
      <c r="I1090" s="118"/>
      <c r="J1090" s="118"/>
      <c r="K1090" s="118"/>
      <c r="L1090" s="22"/>
      <c r="M1090" s="22"/>
    </row>
    <row r="1091" spans="1:13" s="11" customFormat="1" hidden="1" outlineLevel="2" x14ac:dyDescent="0.2">
      <c r="A1091" s="22"/>
      <c r="B1091" s="149"/>
      <c r="C1091" s="22"/>
      <c r="D1091" s="22"/>
      <c r="E1091" s="22"/>
      <c r="F1091" s="118"/>
      <c r="G1091" s="118"/>
      <c r="H1091" s="118"/>
      <c r="I1091" s="118"/>
      <c r="J1091" s="118"/>
      <c r="K1091" s="118"/>
      <c r="L1091" s="22"/>
      <c r="M1091" s="22"/>
    </row>
    <row r="1092" spans="1:13" s="11" customFormat="1" hidden="1" outlineLevel="2" x14ac:dyDescent="0.2">
      <c r="A1092" s="22"/>
      <c r="B1092" s="149"/>
      <c r="C1092" s="22"/>
      <c r="D1092" s="22"/>
      <c r="E1092" s="22"/>
      <c r="F1092" s="118"/>
      <c r="G1092" s="118"/>
      <c r="H1092" s="118"/>
      <c r="I1092" s="118"/>
      <c r="J1092" s="118"/>
      <c r="K1092" s="118"/>
      <c r="L1092" s="22"/>
      <c r="M1092" s="22"/>
    </row>
    <row r="1093" spans="1:13" s="11" customFormat="1" outlineLevel="1" x14ac:dyDescent="0.2">
      <c r="A1093" s="22"/>
      <c r="B1093" s="149"/>
      <c r="C1093" s="22"/>
      <c r="D1093" s="22"/>
      <c r="E1093" s="22"/>
      <c r="F1093" s="118"/>
      <c r="G1093" s="118"/>
      <c r="H1093" s="118"/>
      <c r="I1093" s="118"/>
      <c r="J1093" s="118"/>
      <c r="K1093" s="118"/>
      <c r="L1093" s="22"/>
      <c r="M1093" s="22"/>
    </row>
    <row r="1094" spans="1:13" outlineLevel="1" x14ac:dyDescent="0.2"/>
    <row r="1095" spans="1:13" s="4" customFormat="1" ht="15.9" customHeight="1" thickBot="1" x14ac:dyDescent="0.25">
      <c r="A1095" s="166" t="str">
        <f ca="1">Language!A$686</f>
        <v xml:space="preserve">         СВОДНЫЙ ОТЧЕТ ОБ ИНВЕСТИЦИЯХ В ПРОЕКТ</v>
      </c>
      <c r="B1095" s="166"/>
      <c r="C1095" s="166"/>
      <c r="D1095" s="166"/>
      <c r="E1095" s="166"/>
      <c r="F1095" s="178" t="str">
        <f t="shared" ref="F1095:K1095" si="957">PeriodTitle</f>
        <v>4/ 2020</v>
      </c>
      <c r="G1095" s="178" t="str">
        <f t="shared" si="957"/>
        <v>5/ 2020</v>
      </c>
      <c r="H1095" s="178" t="str">
        <f t="shared" si="957"/>
        <v>6/ 2020</v>
      </c>
      <c r="I1095" s="178" t="str">
        <f t="shared" si="957"/>
        <v>7/ 2020</v>
      </c>
      <c r="J1095" s="178" t="str">
        <f t="shared" si="957"/>
        <v>8/ 2020</v>
      </c>
      <c r="K1095" s="178" t="str">
        <f t="shared" si="957"/>
        <v>9/ 2020</v>
      </c>
      <c r="L1095" s="166"/>
      <c r="M1095" s="195" t="str">
        <f ca="1">Language!A$371</f>
        <v>ИТОГО</v>
      </c>
    </row>
    <row r="1096" spans="1:13" ht="10.8" outlineLevel="1" thickTop="1" x14ac:dyDescent="0.2"/>
    <row r="1097" spans="1:13" outlineLevel="1" x14ac:dyDescent="0.2">
      <c r="A1097" s="35" t="str">
        <f ca="1">Language!A$687</f>
        <v>Потребность в инвестициях</v>
      </c>
      <c r="C1097" s="5" t="str">
        <f ca="1">CUR_Report</f>
        <v>руб.</v>
      </c>
      <c r="F1097" s="58">
        <f t="shared" ref="F1097:J1097" ca="1" si="958">SUM(F1099:F1105)</f>
        <v>-1994583.333333333</v>
      </c>
      <c r="G1097" s="58">
        <f t="shared" ca="1" si="958"/>
        <v>-8761560</v>
      </c>
      <c r="H1097" s="58">
        <f t="shared" ca="1" si="958"/>
        <v>-6591560</v>
      </c>
      <c r="I1097" s="58">
        <f t="shared" ca="1" si="958"/>
        <v>669220</v>
      </c>
      <c r="J1097" s="58">
        <f t="shared" ca="1" si="958"/>
        <v>50000</v>
      </c>
      <c r="K1097" s="58">
        <f t="shared" ref="K1097" ca="1" si="959">SUM(K1099:K1105)</f>
        <v>50000</v>
      </c>
      <c r="L1097" s="43"/>
      <c r="M1097" s="57">
        <f ca="1">SUM(F1097:K1097)</f>
        <v>-16578483.333333332</v>
      </c>
    </row>
    <row r="1098" spans="1:13" outlineLevel="1" x14ac:dyDescent="0.2">
      <c r="F1098" s="43"/>
      <c r="G1098" s="43"/>
      <c r="H1098" s="43"/>
      <c r="I1098" s="43"/>
      <c r="J1098" s="43"/>
      <c r="K1098" s="43"/>
      <c r="L1098" s="43"/>
      <c r="M1098" s="54"/>
    </row>
    <row r="1099" spans="1:13" outlineLevel="1" x14ac:dyDescent="0.2">
      <c r="A1099" t="str">
        <f ca="1">Language!A$691</f>
        <v>Инвестиции в здания и сооружения</v>
      </c>
      <c r="C1099" s="5" t="str">
        <f t="shared" ref="C1099:C1105" ca="1" si="960">CUR_Report</f>
        <v>руб.</v>
      </c>
      <c r="F1099" s="43">
        <f t="shared" ref="F1099:K1099" si="961">F481/IF(CUR_I_Report=2,F$88,1)</f>
        <v>40000</v>
      </c>
      <c r="G1099" s="43">
        <f t="shared" si="961"/>
        <v>40000</v>
      </c>
      <c r="H1099" s="43">
        <f t="shared" si="961"/>
        <v>50000</v>
      </c>
      <c r="I1099" s="43">
        <f t="shared" si="961"/>
        <v>50000</v>
      </c>
      <c r="J1099" s="43">
        <f t="shared" si="961"/>
        <v>50000</v>
      </c>
      <c r="K1099" s="43">
        <f t="shared" si="961"/>
        <v>50000</v>
      </c>
      <c r="L1099" s="43"/>
      <c r="M1099" s="54">
        <f t="shared" ref="M1099:M1105" si="962">SUM(F1099:K1099)</f>
        <v>280000</v>
      </c>
    </row>
    <row r="1100" spans="1:13" ht="12" customHeight="1" outlineLevel="1" x14ac:dyDescent="0.2">
      <c r="A1100" t="str">
        <f ca="1">Language!A$688</f>
        <v>Инвестиции в земельные участки</v>
      </c>
      <c r="C1100" s="5" t="str">
        <f t="shared" ca="1" si="960"/>
        <v>руб.</v>
      </c>
      <c r="F1100" s="43">
        <f t="shared" ref="F1100:K1100" si="963">F473/IF(CUR_I_Report=2,F$88,1)</f>
        <v>0</v>
      </c>
      <c r="G1100" s="43">
        <f t="shared" si="963"/>
        <v>0</v>
      </c>
      <c r="H1100" s="43">
        <f t="shared" si="963"/>
        <v>0</v>
      </c>
      <c r="I1100" s="43">
        <f t="shared" si="963"/>
        <v>0</v>
      </c>
      <c r="J1100" s="43">
        <f t="shared" si="963"/>
        <v>0</v>
      </c>
      <c r="K1100" s="43">
        <f t="shared" si="963"/>
        <v>0</v>
      </c>
      <c r="L1100" s="43"/>
      <c r="M1100" s="54">
        <f t="shared" si="962"/>
        <v>0</v>
      </c>
    </row>
    <row r="1101" spans="1:13" outlineLevel="1" x14ac:dyDescent="0.2">
      <c r="A1101" t="str">
        <f ca="1">Language!A$689</f>
        <v>Инвестиции в нематериальные активы</v>
      </c>
      <c r="C1101" s="5" t="str">
        <f t="shared" ca="1" si="960"/>
        <v>руб.</v>
      </c>
      <c r="F1101" s="43">
        <f t="shared" ref="F1101:K1101" si="964">F508/IF(CUR_I_Report=2,F$88,1)</f>
        <v>0</v>
      </c>
      <c r="G1101" s="43">
        <f t="shared" si="964"/>
        <v>0</v>
      </c>
      <c r="H1101" s="43">
        <f t="shared" si="964"/>
        <v>0</v>
      </c>
      <c r="I1101" s="43">
        <f t="shared" si="964"/>
        <v>0</v>
      </c>
      <c r="J1101" s="43">
        <f t="shared" si="964"/>
        <v>0</v>
      </c>
      <c r="K1101" s="43">
        <f t="shared" si="964"/>
        <v>0</v>
      </c>
      <c r="L1101" s="43"/>
      <c r="M1101" s="54">
        <f t="shared" si="962"/>
        <v>0</v>
      </c>
    </row>
    <row r="1102" spans="1:13" outlineLevel="1" x14ac:dyDescent="0.2">
      <c r="A1102" t="str">
        <f ca="1">Language!A$690</f>
        <v>Инвестиции в финансовые активы</v>
      </c>
      <c r="C1102" s="5" t="str">
        <f t="shared" ca="1" si="960"/>
        <v>руб.</v>
      </c>
      <c r="F1102" s="43">
        <f t="shared" ref="F1102:K1102" si="965">F520/IF(CUR_I_Report=2,F$88,1)</f>
        <v>0</v>
      </c>
      <c r="G1102" s="43">
        <f t="shared" si="965"/>
        <v>0</v>
      </c>
      <c r="H1102" s="43">
        <f t="shared" si="965"/>
        <v>0</v>
      </c>
      <c r="I1102" s="43">
        <f t="shared" si="965"/>
        <v>0</v>
      </c>
      <c r="J1102" s="43">
        <f t="shared" si="965"/>
        <v>0</v>
      </c>
      <c r="K1102" s="43">
        <f t="shared" si="965"/>
        <v>0</v>
      </c>
      <c r="L1102" s="43"/>
      <c r="M1102" s="54">
        <f t="shared" si="962"/>
        <v>0</v>
      </c>
    </row>
    <row r="1103" spans="1:13" outlineLevel="1" x14ac:dyDescent="0.2">
      <c r="A1103" t="str">
        <f ca="1">Language!A$692</f>
        <v>Инвестиции в оборудование и прочие активы</v>
      </c>
      <c r="C1103" s="5" t="str">
        <f t="shared" ca="1" si="960"/>
        <v>руб.</v>
      </c>
      <c r="F1103" s="43">
        <f t="shared" ref="F1103:K1103" si="966">F495/IF(CUR_I_Report=2,F$88,1)</f>
        <v>500000</v>
      </c>
      <c r="G1103" s="43">
        <f t="shared" si="966"/>
        <v>0</v>
      </c>
      <c r="H1103" s="43">
        <f t="shared" si="966"/>
        <v>0</v>
      </c>
      <c r="I1103" s="43">
        <f t="shared" si="966"/>
        <v>700000</v>
      </c>
      <c r="J1103" s="43">
        <f t="shared" si="966"/>
        <v>0</v>
      </c>
      <c r="K1103" s="43">
        <f t="shared" si="966"/>
        <v>0</v>
      </c>
      <c r="L1103" s="43"/>
      <c r="M1103" s="54">
        <f t="shared" si="962"/>
        <v>1200000</v>
      </c>
    </row>
    <row r="1104" spans="1:13" outlineLevel="1" x14ac:dyDescent="0.2">
      <c r="A1104" t="str">
        <f ca="1">Language!A$694</f>
        <v>Оплата расходов будущих периодов</v>
      </c>
      <c r="C1104" s="5" t="str">
        <f t="shared" ca="1" si="960"/>
        <v>руб.</v>
      </c>
      <c r="F1104" s="43">
        <f t="shared" ref="F1104:K1104" si="967">F531/IF(CUR_I_Report=2,F$88,1)</f>
        <v>0</v>
      </c>
      <c r="G1104" s="43">
        <f t="shared" si="967"/>
        <v>0</v>
      </c>
      <c r="H1104" s="43">
        <f t="shared" si="967"/>
        <v>0</v>
      </c>
      <c r="I1104" s="43">
        <f t="shared" si="967"/>
        <v>0</v>
      </c>
      <c r="J1104" s="43">
        <f t="shared" si="967"/>
        <v>0</v>
      </c>
      <c r="K1104" s="43">
        <f t="shared" si="967"/>
        <v>0</v>
      </c>
      <c r="L1104" s="43"/>
      <c r="M1104" s="54">
        <f t="shared" si="962"/>
        <v>0</v>
      </c>
    </row>
    <row r="1105" spans="1:13" outlineLevel="1" x14ac:dyDescent="0.2">
      <c r="A1105" t="str">
        <f ca="1">Language!A$695</f>
        <v>Прирост чистого оборотного капитала</v>
      </c>
      <c r="C1105" s="5" t="str">
        <f t="shared" ca="1" si="960"/>
        <v>руб.</v>
      </c>
      <c r="F1105" s="106">
        <f t="shared" ref="F1105:K1105" ca="1" si="968">F1002/IF(CUR_I_Report=2,F$88,1)</f>
        <v>-2534583.333333333</v>
      </c>
      <c r="G1105" s="106">
        <f t="shared" ca="1" si="968"/>
        <v>-8801560</v>
      </c>
      <c r="H1105" s="106">
        <f t="shared" ca="1" si="968"/>
        <v>-6641560</v>
      </c>
      <c r="I1105" s="106">
        <f t="shared" ca="1" si="968"/>
        <v>-80780</v>
      </c>
      <c r="J1105" s="106">
        <f t="shared" ca="1" si="968"/>
        <v>0</v>
      </c>
      <c r="K1105" s="106">
        <f t="shared" ca="1" si="968"/>
        <v>0</v>
      </c>
      <c r="L1105" s="43"/>
      <c r="M1105" s="54">
        <f t="shared" ca="1" si="962"/>
        <v>-18058483.333333332</v>
      </c>
    </row>
    <row r="1106" spans="1:13" outlineLevel="1" x14ac:dyDescent="0.2">
      <c r="F1106" s="43"/>
      <c r="G1106" s="43"/>
      <c r="H1106" s="43"/>
      <c r="I1106" s="43"/>
      <c r="J1106" s="43"/>
      <c r="K1106" s="43"/>
      <c r="L1106" s="43"/>
      <c r="M1106" s="54"/>
    </row>
    <row r="1107" spans="1:13" outlineLevel="1" x14ac:dyDescent="0.2">
      <c r="A1107" s="35" t="str">
        <f ca="1">Language!A$696</f>
        <v>Привлечение финансирования</v>
      </c>
      <c r="C1107" s="5" t="str">
        <f ca="1">CUR_Report</f>
        <v>руб.</v>
      </c>
      <c r="F1107" s="58">
        <f t="shared" ref="F1107:J1107" si="969">SUM(F1109:F1113)</f>
        <v>0</v>
      </c>
      <c r="G1107" s="58">
        <f t="shared" si="969"/>
        <v>0</v>
      </c>
      <c r="H1107" s="58">
        <f t="shared" si="969"/>
        <v>0</v>
      </c>
      <c r="I1107" s="58">
        <f t="shared" si="969"/>
        <v>0</v>
      </c>
      <c r="J1107" s="58">
        <f t="shared" si="969"/>
        <v>0</v>
      </c>
      <c r="K1107" s="58">
        <f t="shared" ref="K1107" si="970">SUM(K1109:K1113)</f>
        <v>0</v>
      </c>
      <c r="L1107" s="43"/>
      <c r="M1107" s="57">
        <f>SUM(F1107:K1107)</f>
        <v>0</v>
      </c>
    </row>
    <row r="1108" spans="1:13" outlineLevel="1" x14ac:dyDescent="0.2">
      <c r="F1108" s="43"/>
      <c r="G1108" s="43"/>
      <c r="H1108" s="43"/>
      <c r="I1108" s="43"/>
      <c r="J1108" s="43"/>
      <c r="K1108" s="43"/>
      <c r="L1108" s="43"/>
      <c r="M1108" s="54"/>
    </row>
    <row r="1109" spans="1:13" outlineLevel="1" x14ac:dyDescent="0.2">
      <c r="A1109" t="str">
        <f ca="1">Language!A$641</f>
        <v>Средства собственников</v>
      </c>
      <c r="C1109" s="5" t="str">
        <f ca="1">CUR_Report</f>
        <v>руб.</v>
      </c>
      <c r="F1109" s="43">
        <f t="shared" ref="F1109:K1109" si="971">F1007/IF(CUR_I_Report=2,F$88,1)</f>
        <v>0</v>
      </c>
      <c r="G1109" s="43">
        <f t="shared" si="971"/>
        <v>0</v>
      </c>
      <c r="H1109" s="43">
        <f t="shared" si="971"/>
        <v>0</v>
      </c>
      <c r="I1109" s="43">
        <f t="shared" si="971"/>
        <v>0</v>
      </c>
      <c r="J1109" s="43">
        <f t="shared" si="971"/>
        <v>0</v>
      </c>
      <c r="K1109" s="43">
        <f t="shared" si="971"/>
        <v>0</v>
      </c>
      <c r="L1109" s="43"/>
      <c r="M1109" s="54">
        <f>SUM(F1109:K1109)</f>
        <v>0</v>
      </c>
    </row>
    <row r="1110" spans="1:13" outlineLevel="1" x14ac:dyDescent="0.2">
      <c r="A1110" t="str">
        <f ca="1">Language!A$647</f>
        <v>Средства от текущей деятельности</v>
      </c>
      <c r="C1110" s="5" t="str">
        <f ca="1">CUR_Report</f>
        <v>руб.</v>
      </c>
      <c r="F1110" s="43">
        <f t="shared" ref="F1110:K1110" si="972">F1015*IF($B1015=1,1,F$88)/IF(CUR_I_Report=2,F$88,1)</f>
        <v>0</v>
      </c>
      <c r="G1110" s="43">
        <f t="shared" si="972"/>
        <v>0</v>
      </c>
      <c r="H1110" s="43">
        <f t="shared" si="972"/>
        <v>0</v>
      </c>
      <c r="I1110" s="43">
        <f t="shared" si="972"/>
        <v>0</v>
      </c>
      <c r="J1110" s="43">
        <f t="shared" si="972"/>
        <v>0</v>
      </c>
      <c r="K1110" s="43">
        <f t="shared" si="972"/>
        <v>0</v>
      </c>
      <c r="L1110" s="43"/>
      <c r="M1110" s="54">
        <f>SUM(F1110:K1110)</f>
        <v>0</v>
      </c>
    </row>
    <row r="1111" spans="1:13" outlineLevel="1" x14ac:dyDescent="0.2">
      <c r="A1111" t="str">
        <f ca="1">Language!A$649</f>
        <v>Целевое финансирование</v>
      </c>
      <c r="C1111" s="5" t="str">
        <f ca="1">CUR_Report</f>
        <v>руб.</v>
      </c>
      <c r="F1111" s="43">
        <f t="shared" ref="F1111:K1111" si="973">F1018*IF($B1018=1,1,F$88)/IF(CUR_I_Report=2,F$88,1)</f>
        <v>0</v>
      </c>
      <c r="G1111" s="43">
        <f t="shared" si="973"/>
        <v>0</v>
      </c>
      <c r="H1111" s="43">
        <f t="shared" si="973"/>
        <v>0</v>
      </c>
      <c r="I1111" s="43">
        <f t="shared" si="973"/>
        <v>0</v>
      </c>
      <c r="J1111" s="43">
        <f t="shared" si="973"/>
        <v>0</v>
      </c>
      <c r="K1111" s="43">
        <f t="shared" si="973"/>
        <v>0</v>
      </c>
      <c r="L1111" s="43"/>
      <c r="M1111" s="54">
        <f>SUM(F1111:K1111)</f>
        <v>0</v>
      </c>
    </row>
    <row r="1112" spans="1:13" outlineLevel="1" x14ac:dyDescent="0.2">
      <c r="A1112" t="str">
        <f ca="1">Language!A$650</f>
        <v>Средства от инвесторов строительства</v>
      </c>
      <c r="C1112" s="5" t="str">
        <f ca="1">CUR_Report</f>
        <v>руб.</v>
      </c>
      <c r="F1112" s="43">
        <f t="shared" ref="F1112:K1112" si="974">F1021/IF(CUR_I_Report=2,F$88,1)</f>
        <v>0</v>
      </c>
      <c r="G1112" s="43">
        <f t="shared" si="974"/>
        <v>0</v>
      </c>
      <c r="H1112" s="43">
        <f t="shared" si="974"/>
        <v>0</v>
      </c>
      <c r="I1112" s="43">
        <f t="shared" si="974"/>
        <v>0</v>
      </c>
      <c r="J1112" s="43">
        <f t="shared" si="974"/>
        <v>0</v>
      </c>
      <c r="K1112" s="43">
        <f t="shared" si="974"/>
        <v>0</v>
      </c>
      <c r="L1112" s="43"/>
      <c r="M1112" s="54">
        <f>SUM(F1112:K1112)</f>
        <v>0</v>
      </c>
    </row>
    <row r="1113" spans="1:13" outlineLevel="1" x14ac:dyDescent="0.2">
      <c r="A1113" t="str">
        <f ca="1">Language!A$659</f>
        <v>Поступление денег от кредита</v>
      </c>
      <c r="C1113" s="5" t="str">
        <f ca="1">CUR_Report</f>
        <v>руб.</v>
      </c>
      <c r="F1113" s="43">
        <f t="shared" ref="F1113:J1113" si="975">F1054/IF(CUR_I_Report=2,F$88,1)</f>
        <v>0</v>
      </c>
      <c r="G1113" s="43">
        <f t="shared" si="975"/>
        <v>0</v>
      </c>
      <c r="H1113" s="43">
        <f t="shared" si="975"/>
        <v>0</v>
      </c>
      <c r="I1113" s="43">
        <f t="shared" si="975"/>
        <v>0</v>
      </c>
      <c r="J1113" s="43">
        <f t="shared" si="975"/>
        <v>0</v>
      </c>
      <c r="K1113" s="43">
        <f t="shared" ref="K1113" si="976">K1054/IF(CUR_I_Report=2,K$88,1)</f>
        <v>0</v>
      </c>
      <c r="L1113" s="43"/>
      <c r="M1113" s="54">
        <f>SUM(F1113:K1113)</f>
        <v>0</v>
      </c>
    </row>
    <row r="1114" spans="1:13" outlineLevel="1" x14ac:dyDescent="0.2">
      <c r="F1114" s="43"/>
      <c r="G1114" s="43"/>
      <c r="H1114" s="43"/>
      <c r="I1114" s="43"/>
      <c r="J1114" s="43"/>
      <c r="K1114" s="43"/>
      <c r="L1114" s="43"/>
      <c r="M1114" s="54"/>
    </row>
    <row r="1115" spans="1:13" outlineLevel="1" x14ac:dyDescent="0.2">
      <c r="A1115" s="35" t="str">
        <f ca="1">Language!A$697</f>
        <v>Возврат финансирования</v>
      </c>
      <c r="C1115" s="5" t="str">
        <f ca="1">CUR_Report</f>
        <v>руб.</v>
      </c>
      <c r="F1115" s="58">
        <f t="shared" ref="F1115:J1115" ca="1" si="977">SUM(F1117:F1120)</f>
        <v>0</v>
      </c>
      <c r="G1115" s="58">
        <f t="shared" ca="1" si="977"/>
        <v>0</v>
      </c>
      <c r="H1115" s="58">
        <f t="shared" ca="1" si="977"/>
        <v>0</v>
      </c>
      <c r="I1115" s="58">
        <f t="shared" ca="1" si="977"/>
        <v>0</v>
      </c>
      <c r="J1115" s="58">
        <f t="shared" ca="1" si="977"/>
        <v>0</v>
      </c>
      <c r="K1115" s="58">
        <f t="shared" ref="K1115" ca="1" si="978">SUM(K1117:K1120)</f>
        <v>0</v>
      </c>
      <c r="L1115" s="43"/>
      <c r="M1115" s="57">
        <f ca="1">SUM(F1115:K1115)</f>
        <v>0</v>
      </c>
    </row>
    <row r="1116" spans="1:13" outlineLevel="1" x14ac:dyDescent="0.2">
      <c r="F1116" s="43"/>
      <c r="G1116" s="43"/>
      <c r="H1116" s="43"/>
      <c r="I1116" s="43"/>
      <c r="J1116" s="43"/>
      <c r="K1116" s="43"/>
      <c r="L1116" s="43"/>
      <c r="M1116" s="54"/>
    </row>
    <row r="1117" spans="1:13" outlineLevel="1" x14ac:dyDescent="0.2">
      <c r="A1117" t="str">
        <f ca="1">Language!A$662</f>
        <v>Выплаченные проценты</v>
      </c>
      <c r="C1117" s="5" t="str">
        <f ca="1">CUR_Report</f>
        <v>руб.</v>
      </c>
      <c r="F1117" s="43">
        <f t="shared" ref="F1117:J1117" si="979">F1056/IF(CUR_I_Report=2,F$88,1)</f>
        <v>0</v>
      </c>
      <c r="G1117" s="43">
        <f t="shared" si="979"/>
        <v>0</v>
      </c>
      <c r="H1117" s="43">
        <f t="shared" si="979"/>
        <v>0</v>
      </c>
      <c r="I1117" s="43">
        <f t="shared" si="979"/>
        <v>0</v>
      </c>
      <c r="J1117" s="43">
        <f t="shared" si="979"/>
        <v>0</v>
      </c>
      <c r="K1117" s="43">
        <f t="shared" ref="K1117" si="980">K1056/IF(CUR_I_Report=2,K$88,1)</f>
        <v>0</v>
      </c>
      <c r="L1117" s="43"/>
      <c r="M1117" s="54">
        <f>SUM(F1117:K1117)</f>
        <v>0</v>
      </c>
    </row>
    <row r="1118" spans="1:13" outlineLevel="1" x14ac:dyDescent="0.2">
      <c r="A1118" t="str">
        <f ca="1">Language!A$698</f>
        <v>Дивиденды</v>
      </c>
      <c r="C1118" s="5" t="str">
        <f ca="1">CUR_Report</f>
        <v>руб.</v>
      </c>
      <c r="F1118" s="106">
        <f t="shared" ref="F1118:J1118" ca="1" si="981">F1213/IF(CUR_I_Report=2,F$88,1)</f>
        <v>0</v>
      </c>
      <c r="G1118" s="106">
        <f t="shared" ca="1" si="981"/>
        <v>0</v>
      </c>
      <c r="H1118" s="106">
        <f t="shared" ca="1" si="981"/>
        <v>0</v>
      </c>
      <c r="I1118" s="106">
        <f t="shared" ca="1" si="981"/>
        <v>0</v>
      </c>
      <c r="J1118" s="106">
        <f t="shared" ca="1" si="981"/>
        <v>0</v>
      </c>
      <c r="K1118" s="106">
        <f t="shared" ref="K1118" ca="1" si="982">K1213/IF(CUR_I_Report=2,K$88,1)</f>
        <v>0</v>
      </c>
      <c r="L1118" s="43"/>
      <c r="M1118" s="54"/>
    </row>
    <row r="1119" spans="1:13" outlineLevel="1" x14ac:dyDescent="0.2">
      <c r="A1119" s="48" t="str">
        <f ca="1">Language!A$699</f>
        <v>Лизинговые платежи</v>
      </c>
      <c r="C1119" s="5" t="str">
        <f ca="1">CUR_Report</f>
        <v>руб.</v>
      </c>
      <c r="F1119" s="43">
        <f t="shared" ref="F1119:K1119" ca="1" si="983">F570/IF(CUR_I_Report=2,F$88,1)</f>
        <v>0</v>
      </c>
      <c r="G1119" s="43">
        <f t="shared" ca="1" si="983"/>
        <v>0</v>
      </c>
      <c r="H1119" s="43">
        <f t="shared" ca="1" si="983"/>
        <v>0</v>
      </c>
      <c r="I1119" s="43">
        <f t="shared" ca="1" si="983"/>
        <v>0</v>
      </c>
      <c r="J1119" s="43">
        <f t="shared" ca="1" si="983"/>
        <v>0</v>
      </c>
      <c r="K1119" s="43">
        <f t="shared" ca="1" si="983"/>
        <v>0</v>
      </c>
      <c r="L1119" s="43"/>
      <c r="M1119" s="54">
        <f ca="1">SUM(F1119:K1119)</f>
        <v>0</v>
      </c>
    </row>
    <row r="1120" spans="1:13" outlineLevel="1" x14ac:dyDescent="0.2">
      <c r="A1120" s="48" t="str">
        <f ca="1">Language!A$700</f>
        <v>Возврат кредитов</v>
      </c>
      <c r="C1120" s="5" t="str">
        <f ca="1">CUR_Report</f>
        <v>руб.</v>
      </c>
      <c r="F1120" s="43">
        <f t="shared" ref="F1120:J1120" si="984">F1055/IF(CUR_I_Report=2,F$88,1)</f>
        <v>0</v>
      </c>
      <c r="G1120" s="43">
        <f t="shared" si="984"/>
        <v>0</v>
      </c>
      <c r="H1120" s="43">
        <f t="shared" si="984"/>
        <v>0</v>
      </c>
      <c r="I1120" s="43">
        <f t="shared" si="984"/>
        <v>0</v>
      </c>
      <c r="J1120" s="43">
        <f t="shared" si="984"/>
        <v>0</v>
      </c>
      <c r="K1120" s="43">
        <f t="shared" ref="K1120" si="985">K1055/IF(CUR_I_Report=2,K$88,1)</f>
        <v>0</v>
      </c>
      <c r="L1120" s="43"/>
      <c r="M1120" s="54">
        <f>SUM(F1120:K1120)</f>
        <v>0</v>
      </c>
    </row>
    <row r="1121" spans="1:13" outlineLevel="1" x14ac:dyDescent="0.2">
      <c r="F1121" s="43"/>
      <c r="G1121" s="43"/>
      <c r="H1121" s="43"/>
      <c r="I1121" s="43"/>
      <c r="J1121" s="43"/>
      <c r="K1121" s="43"/>
      <c r="L1121" s="43"/>
      <c r="M1121" s="54"/>
    </row>
    <row r="1122" spans="1:13" s="11" customFormat="1" outlineLevel="1" collapsed="1" x14ac:dyDescent="0.2">
      <c r="A1122" s="11" t="str">
        <f ca="1">Language!A$651</f>
        <v>Справка: Остаток средств на счете (текущий проект)</v>
      </c>
      <c r="C1122" s="36" t="str">
        <f ca="1">CUR_Report</f>
        <v>руб.</v>
      </c>
      <c r="D1122" s="16" t="s">
        <v>384</v>
      </c>
      <c r="F1122" s="94">
        <f t="shared" ref="F1122:J1122" ca="1" si="986">F1286</f>
        <v>15122083.333333332</v>
      </c>
      <c r="G1122" s="94">
        <f t="shared" ca="1" si="986"/>
        <v>81971543.333333328</v>
      </c>
      <c r="H1122" s="94">
        <f t="shared" ca="1" si="986"/>
        <v>180331403.33333331</v>
      </c>
      <c r="I1122" s="94">
        <f t="shared" ca="1" si="986"/>
        <v>271350683.33333331</v>
      </c>
      <c r="J1122" s="94">
        <f t="shared" ca="1" si="986"/>
        <v>362989183.33333331</v>
      </c>
      <c r="K1122" s="94">
        <f t="shared" ref="K1122" ca="1" si="987">K1286</f>
        <v>454627683.33333331</v>
      </c>
      <c r="L1122" s="54"/>
      <c r="M1122" s="54"/>
    </row>
    <row r="1123" spans="1:13" s="11" customFormat="1" hidden="1" outlineLevel="2" x14ac:dyDescent="0.2">
      <c r="A1123" s="11" t="str">
        <f ca="1">Language!A$652</f>
        <v>Справка: Остаток средств на счете (без учета операционной деятельности)</v>
      </c>
      <c r="C1123" s="36" t="str">
        <f ca="1">CUR_Report</f>
        <v>руб.</v>
      </c>
      <c r="D1123" s="16" t="s">
        <v>384</v>
      </c>
      <c r="F1123" s="94">
        <f t="shared" ref="F1123:J1123" ca="1" si="988">(F1286-F1261)*IF(CUR_I_Report=2,F$88,1)</f>
        <v>1994583.3333333321</v>
      </c>
      <c r="G1123" s="94">
        <f t="shared" ca="1" si="988"/>
        <v>23883643.333333328</v>
      </c>
      <c r="H1123" s="94">
        <f t="shared" ca="1" si="988"/>
        <v>88563103.333333313</v>
      </c>
      <c r="I1123" s="94">
        <f t="shared" ca="1" si="988"/>
        <v>179662183.33333331</v>
      </c>
      <c r="J1123" s="94">
        <f t="shared" ca="1" si="988"/>
        <v>271300683.33333331</v>
      </c>
      <c r="K1123" s="94">
        <f t="shared" ref="K1123" ca="1" si="989">(K1286-K1261)*IF(CUR_I_Report=2,K$88,1)</f>
        <v>362939183.33333331</v>
      </c>
      <c r="L1123" s="54"/>
      <c r="M1123" s="54"/>
    </row>
    <row r="1124" spans="1:13" s="11" customFormat="1" outlineLevel="1" x14ac:dyDescent="0.2">
      <c r="A1124" s="11" t="str">
        <f ca="1">Language!A$701</f>
        <v>Минимальный остаток средств на счете</v>
      </c>
      <c r="B1124" s="196">
        <f ca="1">MIN(F1122:K1122)</f>
        <v>15122083.333333332</v>
      </c>
      <c r="C1124" s="36" t="str">
        <f ca="1">CUR_Report</f>
        <v>руб.</v>
      </c>
    </row>
    <row r="1125" spans="1:13" outlineLevel="1" x14ac:dyDescent="0.2">
      <c r="A1125" s="63"/>
      <c r="B1125" s="63"/>
      <c r="C1125" s="63"/>
      <c r="D1125" s="63"/>
      <c r="E1125" s="63"/>
      <c r="F1125" s="63"/>
      <c r="G1125" s="63"/>
      <c r="H1125" s="63"/>
      <c r="I1125" s="63"/>
      <c r="J1125" s="63"/>
      <c r="K1125" s="63"/>
      <c r="L1125" s="63"/>
      <c r="M1125" s="64"/>
    </row>
    <row r="1126" spans="1:13" outlineLevel="1" x14ac:dyDescent="0.2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22"/>
    </row>
    <row r="1127" spans="1:13" s="4" customFormat="1" ht="15.9" customHeight="1" thickBot="1" x14ac:dyDescent="0.25">
      <c r="A1127" s="166" t="str">
        <f ca="1">Language!A702</f>
        <v xml:space="preserve">         ОТЧЕТ О ПРИБЫЛЯХ И УБЫТКАХ</v>
      </c>
      <c r="B1127" s="166"/>
      <c r="C1127" s="166"/>
      <c r="D1127" s="166"/>
      <c r="E1127" s="166"/>
      <c r="F1127" s="178" t="str">
        <f t="shared" ref="F1127:K1127" si="990">PeriodTitle</f>
        <v>4/ 2020</v>
      </c>
      <c r="G1127" s="178" t="str">
        <f t="shared" si="990"/>
        <v>5/ 2020</v>
      </c>
      <c r="H1127" s="178" t="str">
        <f t="shared" si="990"/>
        <v>6/ 2020</v>
      </c>
      <c r="I1127" s="178" t="str">
        <f t="shared" si="990"/>
        <v>7/ 2020</v>
      </c>
      <c r="J1127" s="178" t="str">
        <f t="shared" si="990"/>
        <v>8/ 2020</v>
      </c>
      <c r="K1127" s="178" t="str">
        <f t="shared" si="990"/>
        <v>9/ 2020</v>
      </c>
      <c r="L1127" s="166"/>
      <c r="M1127" s="195" t="str">
        <f ca="1">Language!A$371</f>
        <v>ИТОГО</v>
      </c>
    </row>
    <row r="1128" spans="1:13" ht="10.8" outlineLevel="1" thickTop="1" x14ac:dyDescent="0.2"/>
    <row r="1129" spans="1:13" outlineLevel="1" x14ac:dyDescent="0.2">
      <c r="A1129" s="35" t="str">
        <f ca="1">Language!A703</f>
        <v>Выручка (нетто)</v>
      </c>
      <c r="C1129" s="5" t="str">
        <f ca="1">CUR_Report</f>
        <v>руб.</v>
      </c>
      <c r="F1129" s="56">
        <f t="shared" ref="F1129:K1129" si="991">(F637-F638)/IF(CUR_I_Report=2,F$88,1)</f>
        <v>36000000</v>
      </c>
      <c r="G1129" s="56">
        <f t="shared" si="991"/>
        <v>84000000</v>
      </c>
      <c r="H1129" s="56">
        <f t="shared" si="991"/>
        <v>120000000</v>
      </c>
      <c r="I1129" s="56">
        <f t="shared" si="991"/>
        <v>120000000</v>
      </c>
      <c r="J1129" s="56">
        <f t="shared" si="991"/>
        <v>120000000</v>
      </c>
      <c r="K1129" s="56">
        <f t="shared" si="991"/>
        <v>120000000</v>
      </c>
      <c r="L1129" s="43"/>
      <c r="M1129" s="57">
        <f>SUM(F1129:K1129)</f>
        <v>600000000</v>
      </c>
    </row>
    <row r="1130" spans="1:13" outlineLevel="1" collapsed="1" x14ac:dyDescent="0.2">
      <c r="A1130" s="35" t="str">
        <f ca="1">Language!A704</f>
        <v>Себестоимость</v>
      </c>
      <c r="C1130" s="5" t="str">
        <f ca="1">CUR_Report</f>
        <v>руб.</v>
      </c>
      <c r="F1130" s="58">
        <f t="shared" ref="F1130:J1130" ca="1" si="992">SUM(F1132:F1137)</f>
        <v>672600</v>
      </c>
      <c r="G1130" s="58">
        <f t="shared" ca="1" si="992"/>
        <v>832200</v>
      </c>
      <c r="H1130" s="58">
        <f t="shared" ca="1" si="992"/>
        <v>991800</v>
      </c>
      <c r="I1130" s="58">
        <f t="shared" ca="1" si="992"/>
        <v>1091600</v>
      </c>
      <c r="J1130" s="58">
        <f t="shared" ca="1" si="992"/>
        <v>1091600</v>
      </c>
      <c r="K1130" s="58">
        <f t="shared" ref="K1130" ca="1" si="993">SUM(K1132:K1137)</f>
        <v>1092766.6666666667</v>
      </c>
      <c r="L1130" s="43"/>
      <c r="M1130" s="57">
        <f ca="1">SUM(F1130:K1130)</f>
        <v>5772566.666666667</v>
      </c>
    </row>
    <row r="1131" spans="1:13" hidden="1" outlineLevel="2" x14ac:dyDescent="0.2">
      <c r="A1131" s="23" t="str">
        <f ca="1">Language!A705</f>
        <v>в том числе</v>
      </c>
      <c r="F1131" s="43"/>
      <c r="G1131" s="43"/>
      <c r="H1131" s="43"/>
      <c r="I1131" s="43"/>
      <c r="J1131" s="43"/>
      <c r="K1131" s="43"/>
      <c r="L1131" s="43"/>
      <c r="M1131" s="54"/>
    </row>
    <row r="1132" spans="1:13" hidden="1" outlineLevel="2" x14ac:dyDescent="0.2">
      <c r="A1132" s="23" t="str">
        <f ca="1">Language!A706</f>
        <v xml:space="preserve">    Сырье и материалы</v>
      </c>
      <c r="C1132" s="5" t="str">
        <f t="shared" ref="C1132:C1152" ca="1" si="994">CUR_Report</f>
        <v>руб.</v>
      </c>
      <c r="F1132" s="53">
        <f t="shared" ref="F1132:K1132" si="995">F733/IF(CUR_I_Report=2,F$88,1)</f>
        <v>0</v>
      </c>
      <c r="G1132" s="53">
        <f t="shared" si="995"/>
        <v>0</v>
      </c>
      <c r="H1132" s="53">
        <f t="shared" si="995"/>
        <v>0</v>
      </c>
      <c r="I1132" s="53">
        <f t="shared" si="995"/>
        <v>0</v>
      </c>
      <c r="J1132" s="53">
        <f t="shared" si="995"/>
        <v>0</v>
      </c>
      <c r="K1132" s="53">
        <f t="shared" si="995"/>
        <v>0</v>
      </c>
      <c r="L1132" s="43"/>
      <c r="M1132" s="54">
        <f t="shared" ref="M1132:M1152" si="996">SUM(F1132:K1132)</f>
        <v>0</v>
      </c>
    </row>
    <row r="1133" spans="1:13" hidden="1" outlineLevel="2" x14ac:dyDescent="0.2">
      <c r="A1133" s="23" t="str">
        <f ca="1">Language!A707</f>
        <v xml:space="preserve">    Прочие переменные расходы</v>
      </c>
      <c r="C1133" s="5" t="str">
        <f t="shared" ca="1" si="994"/>
        <v>руб.</v>
      </c>
      <c r="F1133" s="53">
        <f t="shared" ref="F1133:K1133" si="997">F778/IF(CUR_I_Report=2,F$88,1)</f>
        <v>0</v>
      </c>
      <c r="G1133" s="53">
        <f t="shared" si="997"/>
        <v>0</v>
      </c>
      <c r="H1133" s="53">
        <f t="shared" si="997"/>
        <v>0</v>
      </c>
      <c r="I1133" s="53">
        <f t="shared" si="997"/>
        <v>0</v>
      </c>
      <c r="J1133" s="53">
        <f t="shared" si="997"/>
        <v>0</v>
      </c>
      <c r="K1133" s="53">
        <f t="shared" si="997"/>
        <v>0</v>
      </c>
      <c r="L1133" s="43"/>
      <c r="M1133" s="54">
        <f t="shared" si="996"/>
        <v>0</v>
      </c>
    </row>
    <row r="1134" spans="1:13" hidden="1" outlineLevel="2" x14ac:dyDescent="0.2">
      <c r="A1134" s="23" t="str">
        <f ca="1">Language!A708</f>
        <v xml:space="preserve">    Оплата производственного персонала</v>
      </c>
      <c r="C1134" s="5" t="str">
        <f t="shared" ca="1" si="994"/>
        <v>руб.</v>
      </c>
      <c r="F1134" s="53">
        <f t="shared" ref="F1134:K1134" si="998">(F842+F843+F848+F849)/IF(CUR_I_Report=2,F$88,1)</f>
        <v>672600</v>
      </c>
      <c r="G1134" s="53">
        <f t="shared" si="998"/>
        <v>832200</v>
      </c>
      <c r="H1134" s="53">
        <f t="shared" si="998"/>
        <v>991800</v>
      </c>
      <c r="I1134" s="53">
        <f t="shared" si="998"/>
        <v>1071600</v>
      </c>
      <c r="J1134" s="53">
        <f t="shared" si="998"/>
        <v>1071600</v>
      </c>
      <c r="K1134" s="53">
        <f t="shared" si="998"/>
        <v>1071600</v>
      </c>
      <c r="L1134" s="43"/>
      <c r="M1134" s="54">
        <f t="shared" si="996"/>
        <v>5711400</v>
      </c>
    </row>
    <row r="1135" spans="1:13" hidden="1" outlineLevel="2" x14ac:dyDescent="0.2">
      <c r="A1135" s="23" t="str">
        <f ca="1">Language!A709</f>
        <v xml:space="preserve">    Лизинговые платежи</v>
      </c>
      <c r="C1135" s="5" t="str">
        <f t="shared" ca="1" si="994"/>
        <v>руб.</v>
      </c>
      <c r="F1135" s="53">
        <f t="shared" ref="F1135:K1135" ca="1" si="999">F920/IF(CUR_I_Report=2,F$88,1)</f>
        <v>0</v>
      </c>
      <c r="G1135" s="53">
        <f t="shared" ca="1" si="999"/>
        <v>0</v>
      </c>
      <c r="H1135" s="53">
        <f t="shared" ca="1" si="999"/>
        <v>0</v>
      </c>
      <c r="I1135" s="53">
        <f t="shared" ca="1" si="999"/>
        <v>0</v>
      </c>
      <c r="J1135" s="53">
        <f t="shared" ca="1" si="999"/>
        <v>0</v>
      </c>
      <c r="K1135" s="53">
        <f t="shared" ca="1" si="999"/>
        <v>0</v>
      </c>
      <c r="L1135" s="43"/>
      <c r="M1135" s="54">
        <f t="shared" ca="1" si="996"/>
        <v>0</v>
      </c>
    </row>
    <row r="1136" spans="1:13" hidden="1" outlineLevel="2" x14ac:dyDescent="0.2">
      <c r="A1136" s="23" t="str">
        <f ca="1">Language!A710</f>
        <v xml:space="preserve">    Прочие производственные расходы</v>
      </c>
      <c r="C1136" s="5" t="str">
        <f t="shared" ca="1" si="994"/>
        <v>руб.</v>
      </c>
      <c r="F1136" s="53">
        <f t="shared" ref="F1136:K1136" si="1000">F919/IF(CUR_I_Report=2,F$88,1)</f>
        <v>0</v>
      </c>
      <c r="G1136" s="53">
        <f t="shared" si="1000"/>
        <v>0</v>
      </c>
      <c r="H1136" s="53">
        <f t="shared" si="1000"/>
        <v>0</v>
      </c>
      <c r="I1136" s="53">
        <f t="shared" si="1000"/>
        <v>0</v>
      </c>
      <c r="J1136" s="53">
        <f t="shared" si="1000"/>
        <v>0</v>
      </c>
      <c r="K1136" s="53">
        <f t="shared" si="1000"/>
        <v>0</v>
      </c>
      <c r="L1136" s="43"/>
      <c r="M1136" s="54">
        <f t="shared" si="996"/>
        <v>0</v>
      </c>
    </row>
    <row r="1137" spans="1:13" hidden="1" outlineLevel="2" x14ac:dyDescent="0.2">
      <c r="A1137" t="str">
        <f ca="1">Language!A724</f>
        <v xml:space="preserve">    Амортизация</v>
      </c>
      <c r="C1137" s="5" t="str">
        <f ca="1">CUR_Report</f>
        <v>руб.</v>
      </c>
      <c r="F1137" s="53">
        <f t="shared" ref="F1137:K1137" ca="1" si="1001">F921/IF(CUR_I_Report=2,F$88,1)</f>
        <v>0</v>
      </c>
      <c r="G1137" s="53">
        <f t="shared" ca="1" si="1001"/>
        <v>0</v>
      </c>
      <c r="H1137" s="53">
        <f t="shared" ca="1" si="1001"/>
        <v>0</v>
      </c>
      <c r="I1137" s="53">
        <f t="shared" ca="1" si="1001"/>
        <v>20000</v>
      </c>
      <c r="J1137" s="53">
        <f t="shared" ca="1" si="1001"/>
        <v>20000</v>
      </c>
      <c r="K1137" s="53">
        <f t="shared" ca="1" si="1001"/>
        <v>21166.666666666668</v>
      </c>
      <c r="L1137" s="43"/>
      <c r="M1137" s="54">
        <f t="shared" ca="1" si="996"/>
        <v>61166.666666666672</v>
      </c>
    </row>
    <row r="1138" spans="1:13" outlineLevel="1" x14ac:dyDescent="0.2">
      <c r="A1138" s="35" t="str">
        <f ca="1">Language!A711</f>
        <v>Валовая прибыль</v>
      </c>
      <c r="C1138" s="5" t="str">
        <f t="shared" ca="1" si="994"/>
        <v>руб.</v>
      </c>
      <c r="F1138" s="58">
        <f t="shared" ref="F1138:J1138" ca="1" si="1002">F1129-F1130</f>
        <v>35327400</v>
      </c>
      <c r="G1138" s="58">
        <f t="shared" ca="1" si="1002"/>
        <v>83167800</v>
      </c>
      <c r="H1138" s="58">
        <f t="shared" ca="1" si="1002"/>
        <v>119008200</v>
      </c>
      <c r="I1138" s="58">
        <f t="shared" ca="1" si="1002"/>
        <v>118908400</v>
      </c>
      <c r="J1138" s="58">
        <f t="shared" ca="1" si="1002"/>
        <v>118908400</v>
      </c>
      <c r="K1138" s="58">
        <f t="shared" ref="K1138" ca="1" si="1003">K1129-K1130</f>
        <v>118907233.33333333</v>
      </c>
      <c r="L1138" s="43"/>
      <c r="M1138" s="57">
        <f t="shared" ca="1" si="996"/>
        <v>594227433.33333337</v>
      </c>
    </row>
    <row r="1139" spans="1:13" outlineLevel="1" x14ac:dyDescent="0.2">
      <c r="A1139" s="23" t="str">
        <f ca="1">Language!A712</f>
        <v>Оплата административного и коммерческого персонала</v>
      </c>
      <c r="C1139" s="5" t="str">
        <f t="shared" ca="1" si="994"/>
        <v>руб.</v>
      </c>
      <c r="F1139" s="53">
        <f t="shared" ref="F1139:K1139" si="1004">(F844+F845+F850+F851)/IF(CUR_I_Report=2,F$88,1)</f>
        <v>39900</v>
      </c>
      <c r="G1139" s="53">
        <f t="shared" si="1004"/>
        <v>39900</v>
      </c>
      <c r="H1139" s="53">
        <f t="shared" si="1004"/>
        <v>39900</v>
      </c>
      <c r="I1139" s="53">
        <f t="shared" si="1004"/>
        <v>39900</v>
      </c>
      <c r="J1139" s="53">
        <f t="shared" si="1004"/>
        <v>39900</v>
      </c>
      <c r="K1139" s="53">
        <f t="shared" si="1004"/>
        <v>39900</v>
      </c>
      <c r="L1139" s="43"/>
      <c r="M1139" s="54">
        <f t="shared" si="996"/>
        <v>239400</v>
      </c>
    </row>
    <row r="1140" spans="1:13" outlineLevel="1" x14ac:dyDescent="0.2">
      <c r="A1140" s="23" t="str">
        <f ca="1">Language!A713</f>
        <v>Административные расходы</v>
      </c>
      <c r="C1140" s="5" t="str">
        <f t="shared" ca="1" si="994"/>
        <v>руб.</v>
      </c>
      <c r="F1140" s="53">
        <f t="shared" ref="F1140:K1140" si="1005">F923/IF(CUR_I_Report=2,F$88,1)</f>
        <v>0</v>
      </c>
      <c r="G1140" s="53">
        <f t="shared" si="1005"/>
        <v>0</v>
      </c>
      <c r="H1140" s="53">
        <f t="shared" si="1005"/>
        <v>0</v>
      </c>
      <c r="I1140" s="53">
        <f t="shared" si="1005"/>
        <v>0</v>
      </c>
      <c r="J1140" s="53">
        <f t="shared" si="1005"/>
        <v>0</v>
      </c>
      <c r="K1140" s="53">
        <f t="shared" si="1005"/>
        <v>0</v>
      </c>
      <c r="L1140" s="43"/>
      <c r="M1140" s="54">
        <f t="shared" si="996"/>
        <v>0</v>
      </c>
    </row>
    <row r="1141" spans="1:13" outlineLevel="1" x14ac:dyDescent="0.2">
      <c r="A1141" s="23" t="str">
        <f ca="1">Language!A714</f>
        <v>Коммерческие расходы</v>
      </c>
      <c r="C1141" s="5" t="str">
        <f t="shared" ca="1" si="994"/>
        <v>руб.</v>
      </c>
      <c r="F1141" s="53">
        <f t="shared" ref="F1141:K1141" si="1006">F922/IF(CUR_I_Report=2,F$88,1)</f>
        <v>20000000</v>
      </c>
      <c r="G1141" s="53">
        <f t="shared" si="1006"/>
        <v>20000000</v>
      </c>
      <c r="H1141" s="53">
        <f t="shared" si="1006"/>
        <v>20000000</v>
      </c>
      <c r="I1141" s="53">
        <f t="shared" si="1006"/>
        <v>20000000</v>
      </c>
      <c r="J1141" s="53">
        <f t="shared" si="1006"/>
        <v>20000000</v>
      </c>
      <c r="K1141" s="53">
        <f t="shared" si="1006"/>
        <v>20000000</v>
      </c>
      <c r="L1141" s="43"/>
      <c r="M1141" s="54">
        <f t="shared" si="996"/>
        <v>120000000</v>
      </c>
    </row>
    <row r="1142" spans="1:13" outlineLevel="1" x14ac:dyDescent="0.2">
      <c r="A1142" t="str">
        <f ca="1">Language!A726</f>
        <v>Проценты</v>
      </c>
      <c r="C1142" s="5" t="str">
        <f ca="1">CUR_Report</f>
        <v>руб.</v>
      </c>
      <c r="F1142" s="84">
        <f t="shared" ref="F1142:K1142" ca="1" si="1007">(F1058-F448)/IF(CUR_I_Report=2,F$88,1)</f>
        <v>0</v>
      </c>
      <c r="G1142" s="84">
        <f t="shared" ca="1" si="1007"/>
        <v>0</v>
      </c>
      <c r="H1142" s="84">
        <f t="shared" ca="1" si="1007"/>
        <v>0</v>
      </c>
      <c r="I1142" s="84">
        <f t="shared" ca="1" si="1007"/>
        <v>0</v>
      </c>
      <c r="J1142" s="84">
        <f t="shared" ca="1" si="1007"/>
        <v>0</v>
      </c>
      <c r="K1142" s="84">
        <f t="shared" ca="1" si="1007"/>
        <v>0</v>
      </c>
      <c r="L1142" s="43"/>
      <c r="M1142" s="54">
        <f t="shared" ca="1" si="996"/>
        <v>0</v>
      </c>
    </row>
    <row r="1143" spans="1:13" outlineLevel="1" x14ac:dyDescent="0.2">
      <c r="A1143" t="str">
        <f ca="1">Language!A719</f>
        <v>Прибыль / убыток от строительной деятельности</v>
      </c>
      <c r="C1143" s="5" t="str">
        <f ca="1">CUR_Report</f>
        <v>руб.</v>
      </c>
      <c r="F1143" s="53">
        <f t="shared" ref="F1143:K1143" si="1008">F493/IF(CUR_I_Report=2,F$88,1)</f>
        <v>0</v>
      </c>
      <c r="G1143" s="53">
        <f t="shared" si="1008"/>
        <v>0</v>
      </c>
      <c r="H1143" s="53">
        <f t="shared" si="1008"/>
        <v>0</v>
      </c>
      <c r="I1143" s="53">
        <f t="shared" si="1008"/>
        <v>0</v>
      </c>
      <c r="J1143" s="53">
        <f t="shared" si="1008"/>
        <v>0</v>
      </c>
      <c r="K1143" s="53">
        <f t="shared" si="1008"/>
        <v>0</v>
      </c>
      <c r="L1143" s="43"/>
      <c r="M1143" s="54">
        <f t="shared" si="996"/>
        <v>0</v>
      </c>
    </row>
    <row r="1144" spans="1:13" outlineLevel="1" x14ac:dyDescent="0.2">
      <c r="A1144" s="23" t="str">
        <f ca="1">Language!A715</f>
        <v>Налоги, кроме налога на прибыль</v>
      </c>
      <c r="C1144" s="5" t="str">
        <f t="shared" ca="1" si="994"/>
        <v>руб.</v>
      </c>
      <c r="F1144" s="53">
        <f t="shared" ref="F1144:K1144" ca="1" si="1009">(F918+F157+F162)/IF(CUR_I_Report=2,F$88,1)</f>
        <v>0</v>
      </c>
      <c r="G1144" s="53">
        <f t="shared" ca="1" si="1009"/>
        <v>0</v>
      </c>
      <c r="H1144" s="53">
        <f t="shared" ca="1" si="1009"/>
        <v>0</v>
      </c>
      <c r="I1144" s="53">
        <f t="shared" ca="1" si="1009"/>
        <v>0</v>
      </c>
      <c r="J1144" s="53">
        <f t="shared" ca="1" si="1009"/>
        <v>0</v>
      </c>
      <c r="K1144" s="53">
        <f t="shared" ca="1" si="1009"/>
        <v>0</v>
      </c>
      <c r="L1144" s="43"/>
      <c r="M1144" s="54">
        <f t="shared" ca="1" si="996"/>
        <v>0</v>
      </c>
    </row>
    <row r="1145" spans="1:13" outlineLevel="1" x14ac:dyDescent="0.2">
      <c r="A1145" s="35" t="str">
        <f ca="1">Language!A716</f>
        <v>Прибыль (убыток) от операционной деятельности</v>
      </c>
      <c r="C1145" s="5" t="str">
        <f t="shared" ca="1" si="994"/>
        <v>руб.</v>
      </c>
      <c r="F1145" s="58">
        <f t="shared" ref="F1145:J1145" ca="1" si="1010">F1138-F1139-F1140-F1141-F1142+F1143-F1144</f>
        <v>15287500</v>
      </c>
      <c r="G1145" s="58">
        <f t="shared" ca="1" si="1010"/>
        <v>63127900</v>
      </c>
      <c r="H1145" s="58">
        <f t="shared" ca="1" si="1010"/>
        <v>98968300</v>
      </c>
      <c r="I1145" s="58">
        <f t="shared" ca="1" si="1010"/>
        <v>98868500</v>
      </c>
      <c r="J1145" s="58">
        <f t="shared" ca="1" si="1010"/>
        <v>98868500</v>
      </c>
      <c r="K1145" s="58">
        <f t="shared" ref="K1145" ca="1" si="1011">K1138-K1139-K1140-K1141-K1142+K1143-K1144</f>
        <v>98867333.333333328</v>
      </c>
      <c r="L1145" s="43"/>
      <c r="M1145" s="57">
        <f t="shared" ca="1" si="996"/>
        <v>473988033.33333331</v>
      </c>
    </row>
    <row r="1146" spans="1:13" outlineLevel="1" x14ac:dyDescent="0.2">
      <c r="A1146" t="str">
        <f ca="1">Language!A718</f>
        <v>Прибыль / убыток от реализации внеоборотных активов</v>
      </c>
      <c r="C1146" s="5" t="str">
        <f t="shared" ca="1" si="994"/>
        <v>руб.</v>
      </c>
      <c r="F1146" s="53">
        <f t="shared" ref="F1146:K1146" si="1012">(F492+F480+F518+F529+F506+F245+F236+F254+F263+F276)/IF(CUR_I_Report=2,F$88,1)</f>
        <v>0</v>
      </c>
      <c r="G1146" s="53">
        <f t="shared" si="1012"/>
        <v>0</v>
      </c>
      <c r="H1146" s="53">
        <f t="shared" si="1012"/>
        <v>0</v>
      </c>
      <c r="I1146" s="53">
        <f t="shared" si="1012"/>
        <v>0</v>
      </c>
      <c r="J1146" s="53">
        <f t="shared" si="1012"/>
        <v>0</v>
      </c>
      <c r="K1146" s="53">
        <f t="shared" si="1012"/>
        <v>0</v>
      </c>
      <c r="L1146" s="43"/>
      <c r="M1146" s="54">
        <f t="shared" si="996"/>
        <v>0</v>
      </c>
    </row>
    <row r="1147" spans="1:13" outlineLevel="1" x14ac:dyDescent="0.2">
      <c r="A1147" t="str">
        <f ca="1">Language!A720</f>
        <v>Курсовые разницы</v>
      </c>
      <c r="C1147" s="5" t="str">
        <f t="shared" ca="1" si="994"/>
        <v>руб.</v>
      </c>
      <c r="F1147" s="84">
        <f t="shared" ref="F1147:J1147" si="1013">F1212/IF(CUR_I_Report=2,F$88,1)</f>
        <v>0</v>
      </c>
      <c r="G1147" s="84">
        <f t="shared" si="1013"/>
        <v>0</v>
      </c>
      <c r="H1147" s="84">
        <f t="shared" si="1013"/>
        <v>0</v>
      </c>
      <c r="I1147" s="84">
        <f t="shared" si="1013"/>
        <v>0</v>
      </c>
      <c r="J1147" s="84">
        <f t="shared" si="1013"/>
        <v>0</v>
      </c>
      <c r="K1147" s="84">
        <f t="shared" ref="K1147" si="1014">K1212/IF(CUR_I_Report=2,K$88,1)</f>
        <v>0</v>
      </c>
      <c r="L1147" s="43"/>
      <c r="M1147" s="54">
        <f t="shared" si="996"/>
        <v>0</v>
      </c>
    </row>
    <row r="1148" spans="1:13" outlineLevel="1" x14ac:dyDescent="0.2">
      <c r="A1148" t="str">
        <f ca="1">Language!A721</f>
        <v>Прочие доходы</v>
      </c>
      <c r="C1148" s="5" t="str">
        <f ca="1">CUR_Report</f>
        <v>руб.</v>
      </c>
      <c r="F1148" s="106">
        <f t="shared" ref="F1148:K1148" ca="1" si="1015">(F274+F523+F1207*CHOOSE($B1207,1,F$88))/IF(CUR_I_Report=2,F$88,1)</f>
        <v>0</v>
      </c>
      <c r="G1148" s="106">
        <f t="shared" ca="1" si="1015"/>
        <v>0</v>
      </c>
      <c r="H1148" s="106">
        <f t="shared" ca="1" si="1015"/>
        <v>0</v>
      </c>
      <c r="I1148" s="106">
        <f t="shared" ca="1" si="1015"/>
        <v>0</v>
      </c>
      <c r="J1148" s="106">
        <f t="shared" ca="1" si="1015"/>
        <v>0</v>
      </c>
      <c r="K1148" s="106">
        <f t="shared" ca="1" si="1015"/>
        <v>0</v>
      </c>
      <c r="L1148" s="43"/>
      <c r="M1148" s="54">
        <f t="shared" ca="1" si="996"/>
        <v>0</v>
      </c>
    </row>
    <row r="1149" spans="1:13" outlineLevel="1" x14ac:dyDescent="0.2">
      <c r="A1149" t="str">
        <f ca="1">Language!A722</f>
        <v>Прочие расходы</v>
      </c>
      <c r="C1149" s="5" t="str">
        <f ca="1">CUR_Report</f>
        <v>руб.</v>
      </c>
      <c r="F1149" s="106">
        <f t="shared" ref="F1149:J1149" si="1016">F1209*CHOOSE($B1209,1,F$88)/IF(CUR_I_Report=2,F$88,1)</f>
        <v>0</v>
      </c>
      <c r="G1149" s="106">
        <f t="shared" si="1016"/>
        <v>0</v>
      </c>
      <c r="H1149" s="106">
        <f t="shared" si="1016"/>
        <v>0</v>
      </c>
      <c r="I1149" s="106">
        <f t="shared" si="1016"/>
        <v>0</v>
      </c>
      <c r="J1149" s="106">
        <f t="shared" si="1016"/>
        <v>0</v>
      </c>
      <c r="K1149" s="106">
        <f t="shared" ref="K1149" si="1017">K1209*CHOOSE($B1209,1,K$88)/IF(CUR_I_Report=2,K$88,1)</f>
        <v>0</v>
      </c>
      <c r="L1149" s="43"/>
      <c r="M1149" s="54">
        <f t="shared" si="996"/>
        <v>0</v>
      </c>
    </row>
    <row r="1150" spans="1:13" outlineLevel="1" x14ac:dyDescent="0.2">
      <c r="A1150" s="35" t="str">
        <f ca="1">Language!A727</f>
        <v>Прибыль до налогообложения</v>
      </c>
      <c r="C1150" s="5" t="str">
        <f t="shared" ca="1" si="994"/>
        <v>руб.</v>
      </c>
      <c r="F1150" s="58">
        <f t="shared" ref="F1150:J1150" ca="1" si="1018">F1145+F1146+F1147+F1148-F1149</f>
        <v>15287500</v>
      </c>
      <c r="G1150" s="58">
        <f t="shared" ca="1" si="1018"/>
        <v>63127900</v>
      </c>
      <c r="H1150" s="58">
        <f t="shared" ca="1" si="1018"/>
        <v>98968300</v>
      </c>
      <c r="I1150" s="58">
        <f t="shared" ca="1" si="1018"/>
        <v>98868500</v>
      </c>
      <c r="J1150" s="58">
        <f t="shared" ca="1" si="1018"/>
        <v>98868500</v>
      </c>
      <c r="K1150" s="58">
        <f t="shared" ref="K1150" ca="1" si="1019">K1145+K1146+K1147+K1148-K1149</f>
        <v>98867333.333333328</v>
      </c>
      <c r="L1150" s="43"/>
      <c r="M1150" s="57">
        <f t="shared" ca="1" si="996"/>
        <v>473988033.33333331</v>
      </c>
    </row>
    <row r="1151" spans="1:13" outlineLevel="1" x14ac:dyDescent="0.2">
      <c r="A1151" t="str">
        <f ca="1">Language!A728</f>
        <v>Налог на прибыль</v>
      </c>
      <c r="C1151" s="5" t="str">
        <f t="shared" ca="1" si="994"/>
        <v>руб.</v>
      </c>
      <c r="F1151" s="84">
        <f t="shared" ref="F1151:K1151" ca="1" si="1020">(F173+F201+F215)/IF(CUR_I_Report=2,F$88,1)</f>
        <v>2160000</v>
      </c>
      <c r="G1151" s="84">
        <f t="shared" ca="1" si="1020"/>
        <v>5040000</v>
      </c>
      <c r="H1151" s="84">
        <f t="shared" ca="1" si="1020"/>
        <v>7200000</v>
      </c>
      <c r="I1151" s="84">
        <f t="shared" ca="1" si="1020"/>
        <v>7200000</v>
      </c>
      <c r="J1151" s="84">
        <f t="shared" ca="1" si="1020"/>
        <v>7200000</v>
      </c>
      <c r="K1151" s="84">
        <f t="shared" ca="1" si="1020"/>
        <v>7200000</v>
      </c>
      <c r="L1151" s="43"/>
      <c r="M1151" s="54">
        <f t="shared" ca="1" si="996"/>
        <v>36000000</v>
      </c>
    </row>
    <row r="1152" spans="1:13" outlineLevel="1" x14ac:dyDescent="0.2">
      <c r="A1152" s="35" t="str">
        <f ca="1">Language!A729</f>
        <v>Чистая прибыль (убыток)</v>
      </c>
      <c r="C1152" s="5" t="str">
        <f t="shared" ca="1" si="994"/>
        <v>руб.</v>
      </c>
      <c r="F1152" s="58">
        <f t="shared" ref="F1152:J1152" ca="1" si="1021">F1150-F1151</f>
        <v>13127500</v>
      </c>
      <c r="G1152" s="58">
        <f t="shared" ca="1" si="1021"/>
        <v>58087900</v>
      </c>
      <c r="H1152" s="58">
        <f t="shared" ca="1" si="1021"/>
        <v>91768300</v>
      </c>
      <c r="I1152" s="58">
        <f t="shared" ca="1" si="1021"/>
        <v>91668500</v>
      </c>
      <c r="J1152" s="58">
        <f t="shared" ca="1" si="1021"/>
        <v>91668500</v>
      </c>
      <c r="K1152" s="58">
        <f t="shared" ref="K1152" ca="1" si="1022">K1150-K1151</f>
        <v>91667333.333333328</v>
      </c>
      <c r="L1152" s="43"/>
      <c r="M1152" s="57">
        <f t="shared" ca="1" si="996"/>
        <v>437988033.33333331</v>
      </c>
    </row>
    <row r="1153" spans="1:13" outlineLevel="1" x14ac:dyDescent="0.2">
      <c r="A1153" s="63"/>
      <c r="B1153" s="63"/>
      <c r="C1153" s="63"/>
      <c r="D1153" s="63"/>
      <c r="E1153" s="63"/>
      <c r="F1153" s="63"/>
      <c r="G1153" s="63"/>
      <c r="H1153" s="63"/>
      <c r="I1153" s="63"/>
      <c r="J1153" s="63"/>
      <c r="K1153" s="63"/>
      <c r="L1153" s="63"/>
      <c r="M1153" s="64"/>
    </row>
    <row r="1154" spans="1:13" outlineLevel="1" collapsed="1" x14ac:dyDescent="0.2">
      <c r="A1154" s="22" t="str">
        <f ca="1">Language!A$730 &amp; ", " &amp; Проект!CUR_Report</f>
        <v>График: Выручка, руб.</v>
      </c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22"/>
    </row>
    <row r="1155" spans="1:13" hidden="1" outlineLevel="2" x14ac:dyDescent="0.2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22"/>
    </row>
    <row r="1156" spans="1:13" hidden="1" outlineLevel="2" x14ac:dyDescent="0.2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22"/>
    </row>
    <row r="1157" spans="1:13" hidden="1" outlineLevel="2" x14ac:dyDescent="0.2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22"/>
    </row>
    <row r="1158" spans="1:13" hidden="1" outlineLevel="2" x14ac:dyDescent="0.2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22"/>
    </row>
    <row r="1159" spans="1:13" hidden="1" outlineLevel="2" x14ac:dyDescent="0.2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22"/>
    </row>
    <row r="1160" spans="1:13" hidden="1" outlineLevel="2" x14ac:dyDescent="0.2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22"/>
    </row>
    <row r="1161" spans="1:13" hidden="1" outlineLevel="2" x14ac:dyDescent="0.2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22"/>
    </row>
    <row r="1162" spans="1:13" hidden="1" outlineLevel="2" x14ac:dyDescent="0.2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22"/>
    </row>
    <row r="1163" spans="1:13" hidden="1" outlineLevel="2" x14ac:dyDescent="0.2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22"/>
    </row>
    <row r="1164" spans="1:13" hidden="1" outlineLevel="2" x14ac:dyDescent="0.2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22"/>
    </row>
    <row r="1165" spans="1:13" hidden="1" outlineLevel="2" x14ac:dyDescent="0.2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22"/>
    </row>
    <row r="1166" spans="1:13" hidden="1" outlineLevel="2" x14ac:dyDescent="0.2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22"/>
    </row>
    <row r="1167" spans="1:13" hidden="1" outlineLevel="2" x14ac:dyDescent="0.2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22"/>
    </row>
    <row r="1168" spans="1:13" hidden="1" outlineLevel="2" x14ac:dyDescent="0.2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22"/>
    </row>
    <row r="1169" spans="1:13" hidden="1" outlineLevel="2" x14ac:dyDescent="0.2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22"/>
    </row>
    <row r="1170" spans="1:13" hidden="1" outlineLevel="2" x14ac:dyDescent="0.2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22"/>
    </row>
    <row r="1171" spans="1:13" hidden="1" outlineLevel="2" x14ac:dyDescent="0.2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22"/>
    </row>
    <row r="1172" spans="1:13" hidden="1" outlineLevel="2" x14ac:dyDescent="0.2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22"/>
    </row>
    <row r="1173" spans="1:13" hidden="1" outlineLevel="2" x14ac:dyDescent="0.2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22"/>
    </row>
    <row r="1174" spans="1:13" hidden="1" outlineLevel="2" x14ac:dyDescent="0.2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22"/>
    </row>
    <row r="1175" spans="1:13" hidden="1" outlineLevel="2" x14ac:dyDescent="0.2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22"/>
    </row>
    <row r="1176" spans="1:13" hidden="1" outlineLevel="2" x14ac:dyDescent="0.2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22"/>
    </row>
    <row r="1177" spans="1:13" hidden="1" outlineLevel="2" x14ac:dyDescent="0.2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22"/>
    </row>
    <row r="1178" spans="1:13" outlineLevel="1" x14ac:dyDescent="0.2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22"/>
    </row>
    <row r="1179" spans="1:13" outlineLevel="1" collapsed="1" x14ac:dyDescent="0.2">
      <c r="A1179" s="22" t="str">
        <f ca="1">Language!A$731 &amp; ", " &amp; Проект!CUR_Report</f>
        <v>График: Чистая прибыль, руб.</v>
      </c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22"/>
    </row>
    <row r="1180" spans="1:13" hidden="1" outlineLevel="2" x14ac:dyDescent="0.2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22"/>
    </row>
    <row r="1181" spans="1:13" hidden="1" outlineLevel="2" x14ac:dyDescent="0.2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22"/>
    </row>
    <row r="1182" spans="1:13" hidden="1" outlineLevel="2" x14ac:dyDescent="0.2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22"/>
    </row>
    <row r="1183" spans="1:13" hidden="1" outlineLevel="2" x14ac:dyDescent="0.2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22"/>
    </row>
    <row r="1184" spans="1:13" hidden="1" outlineLevel="2" x14ac:dyDescent="0.2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22"/>
    </row>
    <row r="1185" spans="1:13" hidden="1" outlineLevel="2" x14ac:dyDescent="0.2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22"/>
    </row>
    <row r="1186" spans="1:13" hidden="1" outlineLevel="2" x14ac:dyDescent="0.2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22"/>
    </row>
    <row r="1187" spans="1:13" hidden="1" outlineLevel="2" x14ac:dyDescent="0.2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22"/>
    </row>
    <row r="1188" spans="1:13" hidden="1" outlineLevel="2" x14ac:dyDescent="0.2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22"/>
    </row>
    <row r="1189" spans="1:13" hidden="1" outlineLevel="2" x14ac:dyDescent="0.2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22"/>
    </row>
    <row r="1190" spans="1:13" hidden="1" outlineLevel="2" x14ac:dyDescent="0.2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22"/>
    </row>
    <row r="1191" spans="1:13" hidden="1" outlineLevel="2" x14ac:dyDescent="0.2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22"/>
    </row>
    <row r="1192" spans="1:13" hidden="1" outlineLevel="2" x14ac:dyDescent="0.2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22"/>
    </row>
    <row r="1193" spans="1:13" hidden="1" outlineLevel="2" x14ac:dyDescent="0.2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22"/>
    </row>
    <row r="1194" spans="1:13" hidden="1" outlineLevel="2" x14ac:dyDescent="0.2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22"/>
    </row>
    <row r="1195" spans="1:13" hidden="1" outlineLevel="2" x14ac:dyDescent="0.2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22"/>
    </row>
    <row r="1196" spans="1:13" hidden="1" outlineLevel="2" x14ac:dyDescent="0.2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22"/>
    </row>
    <row r="1197" spans="1:13" hidden="1" outlineLevel="2" x14ac:dyDescent="0.2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22"/>
    </row>
    <row r="1198" spans="1:13" hidden="1" outlineLevel="2" x14ac:dyDescent="0.2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22"/>
    </row>
    <row r="1199" spans="1:13" hidden="1" outlineLevel="2" x14ac:dyDescent="0.2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22"/>
    </row>
    <row r="1200" spans="1:13" hidden="1" outlineLevel="2" x14ac:dyDescent="0.2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22"/>
    </row>
    <row r="1201" spans="1:13" hidden="1" outlineLevel="2" x14ac:dyDescent="0.2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22"/>
    </row>
    <row r="1202" spans="1:13" hidden="1" outlineLevel="2" x14ac:dyDescent="0.2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22"/>
    </row>
    <row r="1203" spans="1:13" outlineLevel="1" x14ac:dyDescent="0.2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22"/>
    </row>
    <row r="1204" spans="1:13" outlineLevel="1" x14ac:dyDescent="0.2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22"/>
    </row>
    <row r="1205" spans="1:13" s="4" customFormat="1" ht="15.9" customHeight="1" thickBot="1" x14ac:dyDescent="0.25">
      <c r="A1205" s="166" t="str">
        <f ca="1">Language!A732</f>
        <v xml:space="preserve">         ПРИЛОЖЕНИЕ К ОТЧЕТУ О ПРИБЫЛЯХ И УБЫТКАХ</v>
      </c>
      <c r="B1205" s="166"/>
      <c r="C1205" s="166"/>
      <c r="D1205" s="166"/>
      <c r="E1205" s="166"/>
      <c r="F1205" s="178" t="str">
        <f t="shared" ref="F1205:K1205" si="1023">PeriodTitle</f>
        <v>4/ 2020</v>
      </c>
      <c r="G1205" s="178" t="str">
        <f t="shared" si="1023"/>
        <v>5/ 2020</v>
      </c>
      <c r="H1205" s="178" t="str">
        <f t="shared" si="1023"/>
        <v>6/ 2020</v>
      </c>
      <c r="I1205" s="178" t="str">
        <f t="shared" si="1023"/>
        <v>7/ 2020</v>
      </c>
      <c r="J1205" s="178" t="str">
        <f t="shared" si="1023"/>
        <v>8/ 2020</v>
      </c>
      <c r="K1205" s="178" t="str">
        <f t="shared" si="1023"/>
        <v>9/ 2020</v>
      </c>
      <c r="L1205" s="166"/>
      <c r="M1205" s="195" t="str">
        <f ca="1">Language!A371</f>
        <v>ИТОГО</v>
      </c>
    </row>
    <row r="1206" spans="1:13" ht="10.8" outlineLevel="1" thickTop="1" x14ac:dyDescent="0.2">
      <c r="A1206" s="19"/>
      <c r="B1206" s="36" t="str">
        <f ca="1">Language!A$73</f>
        <v>Валюта</v>
      </c>
      <c r="C1206" s="73"/>
      <c r="D1206" s="19"/>
      <c r="E1206" s="19"/>
      <c r="F1206" s="19"/>
      <c r="G1206" s="19"/>
      <c r="H1206" s="19"/>
      <c r="I1206" s="19"/>
      <c r="J1206" s="19"/>
      <c r="K1206" s="19"/>
      <c r="L1206" s="19"/>
      <c r="M1206" s="22"/>
    </row>
    <row r="1207" spans="1:13" outlineLevel="1" collapsed="1" x14ac:dyDescent="0.2">
      <c r="A1207" t="str">
        <f ca="1">Language!A733</f>
        <v>Прочие доходы (без НДС)</v>
      </c>
      <c r="B1207" s="255">
        <v>1</v>
      </c>
      <c r="C1207" s="17" t="str">
        <f ca="1">CHOOSE(B1207,CUR_Main,CUR_Foreign)</f>
        <v>руб.</v>
      </c>
      <c r="F1207" s="272">
        <v>0</v>
      </c>
      <c r="G1207" s="272">
        <v>0</v>
      </c>
      <c r="H1207" s="272">
        <v>0</v>
      </c>
      <c r="I1207" s="272">
        <v>0</v>
      </c>
      <c r="J1207" s="272">
        <v>0</v>
      </c>
      <c r="K1207" s="272">
        <v>0</v>
      </c>
      <c r="L1207" s="43"/>
      <c r="M1207" s="54">
        <f>SUM(F1207:K1207)</f>
        <v>0</v>
      </c>
    </row>
    <row r="1208" spans="1:13" hidden="1" outlineLevel="2" x14ac:dyDescent="0.2">
      <c r="A1208" t="str">
        <f ca="1">Language!A734</f>
        <v xml:space="preserve">   НДС</v>
      </c>
      <c r="B1208" s="283">
        <f>VAT</f>
        <v>0</v>
      </c>
      <c r="C1208" s="5" t="str">
        <f ca="1">CHOOSE(B1207,CUR_Main,CUR_Foreign)</f>
        <v>руб.</v>
      </c>
      <c r="F1208" s="106">
        <f t="shared" ref="F1208:J1208" si="1024">F1207*$B1208</f>
        <v>0</v>
      </c>
      <c r="G1208" s="106">
        <f t="shared" si="1024"/>
        <v>0</v>
      </c>
      <c r="H1208" s="106">
        <f t="shared" si="1024"/>
        <v>0</v>
      </c>
      <c r="I1208" s="106">
        <f t="shared" si="1024"/>
        <v>0</v>
      </c>
      <c r="J1208" s="106">
        <f t="shared" si="1024"/>
        <v>0</v>
      </c>
      <c r="K1208" s="106">
        <f t="shared" ref="K1208" si="1025">K1207*$B1208</f>
        <v>0</v>
      </c>
      <c r="L1208" s="43"/>
      <c r="M1208" s="54">
        <f>SUM(F1208:K1208)</f>
        <v>0</v>
      </c>
    </row>
    <row r="1209" spans="1:13" outlineLevel="1" collapsed="1" x14ac:dyDescent="0.2">
      <c r="A1209" t="str">
        <f ca="1">Language!A735</f>
        <v>Прочие расходы (без НДС)</v>
      </c>
      <c r="B1209" s="255">
        <v>1</v>
      </c>
      <c r="C1209" s="17" t="str">
        <f ca="1">CHOOSE(B1209,CUR_Main,CUR_Foreign)</f>
        <v>руб.</v>
      </c>
      <c r="F1209" s="272">
        <v>0</v>
      </c>
      <c r="G1209" s="272">
        <v>0</v>
      </c>
      <c r="H1209" s="272">
        <v>0</v>
      </c>
      <c r="I1209" s="272">
        <v>0</v>
      </c>
      <c r="J1209" s="272">
        <v>0</v>
      </c>
      <c r="K1209" s="272">
        <v>0</v>
      </c>
      <c r="L1209" s="43"/>
      <c r="M1209" s="54">
        <f>SUM(F1209:K1209)</f>
        <v>0</v>
      </c>
    </row>
    <row r="1210" spans="1:13" hidden="1" outlineLevel="2" x14ac:dyDescent="0.2">
      <c r="A1210" t="str">
        <f ca="1">Language!A734</f>
        <v xml:space="preserve">   НДС</v>
      </c>
      <c r="B1210" s="283">
        <f>VAT</f>
        <v>0</v>
      </c>
      <c r="C1210" s="5" t="str">
        <f ca="1">CHOOSE(B1209,CUR_Main,CUR_Foreign)</f>
        <v>руб.</v>
      </c>
      <c r="F1210" s="106">
        <f t="shared" ref="F1210:J1210" si="1026">F1209*$B1210</f>
        <v>0</v>
      </c>
      <c r="G1210" s="106">
        <f t="shared" si="1026"/>
        <v>0</v>
      </c>
      <c r="H1210" s="106">
        <f t="shared" si="1026"/>
        <v>0</v>
      </c>
      <c r="I1210" s="106">
        <f t="shared" si="1026"/>
        <v>0</v>
      </c>
      <c r="J1210" s="106">
        <f t="shared" si="1026"/>
        <v>0</v>
      </c>
      <c r="K1210" s="106">
        <f t="shared" ref="K1210" si="1027">K1209*$B1210</f>
        <v>0</v>
      </c>
      <c r="L1210" s="43"/>
      <c r="M1210" s="54">
        <f>SUM(F1210:K1210)</f>
        <v>0</v>
      </c>
    </row>
    <row r="1211" spans="1:13" outlineLevel="1" x14ac:dyDescent="0.2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22"/>
    </row>
    <row r="1212" spans="1:13" outlineLevel="1" x14ac:dyDescent="0.2">
      <c r="A1212" t="str">
        <f ca="1">Language!A736</f>
        <v>Курсовые разницы</v>
      </c>
      <c r="C1212" s="5" t="str">
        <f ca="1">CUR_Main</f>
        <v>руб.</v>
      </c>
      <c r="F1212" s="84">
        <f>SUM($E1054:F1054)-SUM($E1055:F1055)-F1060+SUM($E1058:F1058)-SUM($E1056:F1056)-(SUM($E1054:E1054)-SUM($E1055:E1055)-E1060+SUM($E1058:E1058)-SUM($E1056:E1056))</f>
        <v>0</v>
      </c>
      <c r="G1212" s="84">
        <f>SUM($E1054:G1054)-SUM($E1055:G1055)-G1060+SUM($E1058:G1058)-SUM($E1056:G1056)-(SUM($E1054:F1054)-SUM($E1055:F1055)-F1060+SUM($E1058:F1058)-SUM($E1056:F1056))</f>
        <v>0</v>
      </c>
      <c r="H1212" s="84">
        <f>SUM($E1054:H1054)-SUM($E1055:H1055)-H1060+SUM($E1058:H1058)-SUM($E1056:H1056)-(SUM($E1054:G1054)-SUM($E1055:G1055)-G1060+SUM($E1058:G1058)-SUM($E1056:G1056))</f>
        <v>0</v>
      </c>
      <c r="I1212" s="84">
        <f>SUM($E1054:I1054)-SUM($E1055:I1055)-I1060+SUM($E1058:I1058)-SUM($E1056:I1056)-(SUM($E1054:H1054)-SUM($E1055:H1055)-H1060+SUM($E1058:H1058)-SUM($E1056:H1056))</f>
        <v>0</v>
      </c>
      <c r="J1212" s="84">
        <f>SUM($E1054:J1054)-SUM($E1055:J1055)-J1060+SUM($E1058:J1058)-SUM($E1056:J1056)-(SUM($E1054:I1054)-SUM($E1055:I1055)-I1060+SUM($E1058:I1058)-SUM($E1056:I1056))</f>
        <v>0</v>
      </c>
      <c r="K1212" s="84">
        <f>SUM($E1054:K1054)-SUM($E1055:K1055)-K1060+SUM($E1058:K1058)-SUM($E1056:K1056)-(SUM($E1054:J1054)-SUM($E1055:J1055)-J1060+SUM($E1058:J1058)-SUM($E1056:J1056))</f>
        <v>0</v>
      </c>
      <c r="L1212" s="43"/>
      <c r="M1212" s="54">
        <f>SUM(F1212:K1212)</f>
        <v>0</v>
      </c>
    </row>
    <row r="1213" spans="1:13" outlineLevel="1" x14ac:dyDescent="0.2">
      <c r="A1213" t="str">
        <f ca="1">Language!A737</f>
        <v>Дивиденды</v>
      </c>
      <c r="B1213" s="273">
        <v>0</v>
      </c>
      <c r="C1213" s="5" t="str">
        <f ca="1">CUR_Report</f>
        <v>руб.</v>
      </c>
      <c r="F1213" s="53">
        <f t="shared" ref="F1213:K1213" ca="1" si="1028">IF(F1152&gt;0,MIN(F1152*$B1213,MAX((E1285+F1261+F1272+SUM(F1274:F1279)),0)),0)</f>
        <v>0</v>
      </c>
      <c r="G1213" s="53">
        <f t="shared" ca="1" si="1028"/>
        <v>0</v>
      </c>
      <c r="H1213" s="53">
        <f t="shared" ca="1" si="1028"/>
        <v>0</v>
      </c>
      <c r="I1213" s="53">
        <f t="shared" ca="1" si="1028"/>
        <v>0</v>
      </c>
      <c r="J1213" s="53">
        <f t="shared" ca="1" si="1028"/>
        <v>0</v>
      </c>
      <c r="K1213" s="53">
        <f t="shared" ca="1" si="1028"/>
        <v>0</v>
      </c>
      <c r="L1213" s="43"/>
      <c r="M1213" s="54">
        <f ca="1">SUM(F1213:K1213)</f>
        <v>0</v>
      </c>
    </row>
    <row r="1214" spans="1:13" outlineLevel="1" x14ac:dyDescent="0.2">
      <c r="B1214" s="135"/>
      <c r="C1214" s="5"/>
      <c r="F1214" s="53"/>
      <c r="G1214" s="53"/>
      <c r="H1214" s="53"/>
      <c r="I1214" s="53"/>
      <c r="J1214" s="53"/>
      <c r="K1214" s="53"/>
      <c r="L1214" s="43"/>
      <c r="M1214" s="54"/>
    </row>
    <row r="1215" spans="1:13" outlineLevel="1" x14ac:dyDescent="0.2">
      <c r="A1215" s="23" t="str">
        <f ca="1">Language!A723</f>
        <v>Прибыль до налога, процентов и амортизации (EBITDA)</v>
      </c>
      <c r="B1215" s="180"/>
      <c r="C1215" s="293" t="str">
        <f ca="1">CUR_Report</f>
        <v>руб.</v>
      </c>
      <c r="D1215" s="180"/>
      <c r="E1215" s="180"/>
      <c r="F1215" s="109">
        <f t="shared" ref="F1215:J1215" ca="1" si="1029">F1150+F1142+F1137</f>
        <v>15287500</v>
      </c>
      <c r="G1215" s="109">
        <f t="shared" ca="1" si="1029"/>
        <v>63127900</v>
      </c>
      <c r="H1215" s="109">
        <f t="shared" ca="1" si="1029"/>
        <v>98968300</v>
      </c>
      <c r="I1215" s="109">
        <f t="shared" ca="1" si="1029"/>
        <v>98888500</v>
      </c>
      <c r="J1215" s="109">
        <f t="shared" ca="1" si="1029"/>
        <v>98888500</v>
      </c>
      <c r="K1215" s="109">
        <f t="shared" ref="K1215" ca="1" si="1030">K1150+K1142+K1137</f>
        <v>98888500</v>
      </c>
      <c r="L1215" s="297"/>
      <c r="M1215" s="54">
        <f ca="1">SUM(F1215:K1215)</f>
        <v>474049200</v>
      </c>
    </row>
    <row r="1216" spans="1:13" outlineLevel="1" x14ac:dyDescent="0.2">
      <c r="A1216" s="23" t="str">
        <f ca="1">Language!A725</f>
        <v>Прибыль до процентов и налога (EBIT)</v>
      </c>
      <c r="B1216" s="180"/>
      <c r="C1216" s="293" t="str">
        <f ca="1">CUR_Report</f>
        <v>руб.</v>
      </c>
      <c r="D1216" s="180"/>
      <c r="E1216" s="180"/>
      <c r="F1216" s="109">
        <f t="shared" ref="F1216:J1216" ca="1" si="1031">F1215-F1137</f>
        <v>15287500</v>
      </c>
      <c r="G1216" s="109">
        <f t="shared" ca="1" si="1031"/>
        <v>63127900</v>
      </c>
      <c r="H1216" s="109">
        <f t="shared" ca="1" si="1031"/>
        <v>98968300</v>
      </c>
      <c r="I1216" s="109">
        <f t="shared" ca="1" si="1031"/>
        <v>98868500</v>
      </c>
      <c r="J1216" s="109">
        <f t="shared" ca="1" si="1031"/>
        <v>98868500</v>
      </c>
      <c r="K1216" s="109">
        <f t="shared" ref="K1216" ca="1" si="1032">K1215-K1137</f>
        <v>98867333.333333328</v>
      </c>
      <c r="L1216" s="297"/>
      <c r="M1216" s="54">
        <f ca="1">SUM(F1216:K1216)</f>
        <v>473988033.33333331</v>
      </c>
    </row>
    <row r="1217" spans="1:13" outlineLevel="1" collapsed="1" x14ac:dyDescent="0.2">
      <c r="A1217" s="23" t="str">
        <f ca="1">Language!A889</f>
        <v>Посленалоговая операционная прибыль (NOPLAT)</v>
      </c>
      <c r="B1217" s="180"/>
      <c r="C1217" s="293" t="str">
        <f ca="1">CUR_Report</f>
        <v>руб.</v>
      </c>
      <c r="D1217" s="180"/>
      <c r="E1217" s="180"/>
      <c r="F1217" s="109">
        <f t="shared" ref="F1217:J1217" ca="1" si="1033">F1145-F1151</f>
        <v>13127500</v>
      </c>
      <c r="G1217" s="109">
        <f t="shared" ca="1" si="1033"/>
        <v>58087900</v>
      </c>
      <c r="H1217" s="109">
        <f t="shared" ca="1" si="1033"/>
        <v>91768300</v>
      </c>
      <c r="I1217" s="109">
        <f t="shared" ca="1" si="1033"/>
        <v>91668500</v>
      </c>
      <c r="J1217" s="109">
        <f t="shared" ca="1" si="1033"/>
        <v>91668500</v>
      </c>
      <c r="K1217" s="109">
        <f t="shared" ref="K1217" ca="1" si="1034">K1145-K1151</f>
        <v>91667333.333333328</v>
      </c>
      <c r="L1217" s="297"/>
      <c r="M1217" s="54">
        <f ca="1">SUM(F1217:K1217)</f>
        <v>437988033.33333331</v>
      </c>
    </row>
    <row r="1218" spans="1:13" hidden="1" outlineLevel="2" x14ac:dyDescent="0.2">
      <c r="B1218" s="135"/>
      <c r="C1218" s="5"/>
      <c r="F1218" s="53"/>
      <c r="G1218" s="53"/>
      <c r="H1218" s="53"/>
      <c r="I1218" s="53"/>
      <c r="J1218" s="53"/>
      <c r="K1218" s="53"/>
      <c r="L1218" s="43"/>
      <c r="M1218" s="54"/>
    </row>
    <row r="1219" spans="1:13" hidden="1" outlineLevel="2" x14ac:dyDescent="0.2">
      <c r="A1219" s="23" t="str">
        <f ca="1">Language!A738</f>
        <v>Нераспределенная прибыль (за период)</v>
      </c>
      <c r="C1219" s="5" t="str">
        <f ca="1">CUR_Report</f>
        <v>руб.</v>
      </c>
      <c r="F1219" s="109">
        <f t="shared" ref="F1219:J1219" ca="1" si="1035">F1152-F1213</f>
        <v>13127500</v>
      </c>
      <c r="G1219" s="109">
        <f t="shared" ca="1" si="1035"/>
        <v>58087900</v>
      </c>
      <c r="H1219" s="109">
        <f t="shared" ca="1" si="1035"/>
        <v>91768300</v>
      </c>
      <c r="I1219" s="109">
        <f t="shared" ca="1" si="1035"/>
        <v>91668500</v>
      </c>
      <c r="J1219" s="109">
        <f t="shared" ca="1" si="1035"/>
        <v>91668500</v>
      </c>
      <c r="K1219" s="109">
        <f t="shared" ref="K1219" ca="1" si="1036">K1152-K1213</f>
        <v>91667333.333333328</v>
      </c>
      <c r="L1219" s="109"/>
      <c r="M1219" s="54">
        <f ca="1">SUM(F1219:K1219)</f>
        <v>437988033.33333331</v>
      </c>
    </row>
    <row r="1220" spans="1:13" hidden="1" outlineLevel="2" x14ac:dyDescent="0.2">
      <c r="A1220" s="23" t="str">
        <f ca="1">Language!A739</f>
        <v>Нераспределенная прибыль (на начало периода, нарастающим итогом)</v>
      </c>
      <c r="C1220" s="5" t="str">
        <f ca="1">CUR_Report</f>
        <v>руб.</v>
      </c>
      <c r="D1220" s="16" t="s">
        <v>2154</v>
      </c>
      <c r="F1220" s="247">
        <f>E1221+F1146</f>
        <v>0</v>
      </c>
      <c r="G1220" s="248">
        <f t="shared" ref="G1220:K1220" ca="1" si="1037">F1221*IF(CUR_I_Report=2,F$88/G$88,1)+G1146</f>
        <v>13127500</v>
      </c>
      <c r="H1220" s="248">
        <f t="shared" ca="1" si="1037"/>
        <v>71215400</v>
      </c>
      <c r="I1220" s="248">
        <f t="shared" ca="1" si="1037"/>
        <v>162983700</v>
      </c>
      <c r="J1220" s="248">
        <f t="shared" ca="1" si="1037"/>
        <v>254652200</v>
      </c>
      <c r="K1220" s="248">
        <f t="shared" ca="1" si="1037"/>
        <v>346320700</v>
      </c>
      <c r="L1220" s="247"/>
      <c r="M1220" s="203"/>
    </row>
    <row r="1221" spans="1:13" hidden="1" outlineLevel="2" x14ac:dyDescent="0.2">
      <c r="A1221" s="23" t="str">
        <f ca="1">Language!A740</f>
        <v>Нераспределенная прибыль (на конец периода, нарастающим итогом)</v>
      </c>
      <c r="C1221" s="5" t="str">
        <f ca="1">CUR_Report</f>
        <v>руб.</v>
      </c>
      <c r="D1221" s="16" t="s">
        <v>384</v>
      </c>
      <c r="E1221">
        <f>F62*IF(B37=1,1,F$88)/IF(CUR_I_Report=2,F$88,1)</f>
        <v>0</v>
      </c>
      <c r="F1221" s="249">
        <f ca="1">E1221+F1219</f>
        <v>13127500</v>
      </c>
      <c r="G1221" s="250">
        <f t="shared" ref="G1221:K1221" ca="1" si="1038">F1221*IF(CUR_I_Report=2,F$88/G$88,1)+G1219</f>
        <v>71215400</v>
      </c>
      <c r="H1221" s="250">
        <f t="shared" ca="1" si="1038"/>
        <v>162983700</v>
      </c>
      <c r="I1221" s="250">
        <f t="shared" ca="1" si="1038"/>
        <v>254652200</v>
      </c>
      <c r="J1221" s="250">
        <f t="shared" ca="1" si="1038"/>
        <v>346320700</v>
      </c>
      <c r="K1221" s="250">
        <f t="shared" ca="1" si="1038"/>
        <v>437988033.33333331</v>
      </c>
      <c r="L1221" s="249"/>
      <c r="M1221" s="238"/>
    </row>
    <row r="1222" spans="1:13" outlineLevel="1" x14ac:dyDescent="0.2">
      <c r="A1222" s="63"/>
      <c r="B1222" s="63"/>
      <c r="C1222" s="63"/>
      <c r="D1222" s="63"/>
      <c r="E1222" s="63"/>
      <c r="F1222" s="63"/>
      <c r="G1222" s="63"/>
      <c r="H1222" s="63"/>
      <c r="I1222" s="63"/>
      <c r="J1222" s="63"/>
      <c r="K1222" s="63"/>
      <c r="L1222" s="63"/>
      <c r="M1222" s="64"/>
    </row>
    <row r="1223" spans="1:13" outlineLevel="1" collapsed="1" x14ac:dyDescent="0.2">
      <c r="A1223" s="22" t="str">
        <f ca="1">Language!A$1009 &amp; ", " &amp; Проект!CUR_Report</f>
        <v>График: EBITDA, руб.</v>
      </c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22"/>
    </row>
    <row r="1224" spans="1:13" hidden="1" outlineLevel="2" x14ac:dyDescent="0.2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22"/>
    </row>
    <row r="1225" spans="1:13" hidden="1" outlineLevel="2" x14ac:dyDescent="0.2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22"/>
    </row>
    <row r="1226" spans="1:13" hidden="1" outlineLevel="2" x14ac:dyDescent="0.2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22"/>
    </row>
    <row r="1227" spans="1:13" hidden="1" outlineLevel="2" x14ac:dyDescent="0.2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22"/>
    </row>
    <row r="1228" spans="1:13" hidden="1" outlineLevel="2" x14ac:dyDescent="0.2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22"/>
    </row>
    <row r="1229" spans="1:13" hidden="1" outlineLevel="2" x14ac:dyDescent="0.2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22"/>
    </row>
    <row r="1230" spans="1:13" hidden="1" outlineLevel="2" x14ac:dyDescent="0.2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22"/>
    </row>
    <row r="1231" spans="1:13" hidden="1" outlineLevel="2" x14ac:dyDescent="0.2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22"/>
    </row>
    <row r="1232" spans="1:13" hidden="1" outlineLevel="2" x14ac:dyDescent="0.2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22"/>
    </row>
    <row r="1233" spans="1:13" hidden="1" outlineLevel="2" x14ac:dyDescent="0.2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22"/>
    </row>
    <row r="1234" spans="1:13" hidden="1" outlineLevel="2" x14ac:dyDescent="0.2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22"/>
    </row>
    <row r="1235" spans="1:13" hidden="1" outlineLevel="2" x14ac:dyDescent="0.2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22"/>
    </row>
    <row r="1236" spans="1:13" hidden="1" outlineLevel="2" x14ac:dyDescent="0.2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22"/>
    </row>
    <row r="1237" spans="1:13" hidden="1" outlineLevel="2" x14ac:dyDescent="0.2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22"/>
    </row>
    <row r="1238" spans="1:13" hidden="1" outlineLevel="2" x14ac:dyDescent="0.2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22"/>
    </row>
    <row r="1239" spans="1:13" hidden="1" outlineLevel="2" x14ac:dyDescent="0.2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22"/>
    </row>
    <row r="1240" spans="1:13" hidden="1" outlineLevel="2" x14ac:dyDescent="0.2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22"/>
    </row>
    <row r="1241" spans="1:13" hidden="1" outlineLevel="2" x14ac:dyDescent="0.2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22"/>
    </row>
    <row r="1242" spans="1:13" hidden="1" outlineLevel="2" x14ac:dyDescent="0.2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22"/>
    </row>
    <row r="1243" spans="1:13" hidden="1" outlineLevel="2" x14ac:dyDescent="0.2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22"/>
    </row>
    <row r="1244" spans="1:13" hidden="1" outlineLevel="2" x14ac:dyDescent="0.2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22"/>
    </row>
    <row r="1245" spans="1:13" hidden="1" outlineLevel="2" x14ac:dyDescent="0.2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22"/>
    </row>
    <row r="1246" spans="1:13" hidden="1" outlineLevel="2" x14ac:dyDescent="0.2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22"/>
    </row>
    <row r="1247" spans="1:13" outlineLevel="1" x14ac:dyDescent="0.2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22"/>
    </row>
    <row r="1248" spans="1:13" outlineLevel="1" x14ac:dyDescent="0.2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22"/>
    </row>
    <row r="1249" spans="1:18" s="4" customFormat="1" ht="15.9" customHeight="1" thickBot="1" x14ac:dyDescent="0.25">
      <c r="A1249" s="166" t="str">
        <f ca="1">Language!A741</f>
        <v xml:space="preserve">         ОТЧЕТ О ДВИЖЕНИИ ДЕНЕЖНЫХ СРЕДСТВ</v>
      </c>
      <c r="B1249" s="166"/>
      <c r="C1249" s="166"/>
      <c r="D1249" s="166"/>
      <c r="E1249" s="166"/>
      <c r="F1249" s="178" t="str">
        <f t="shared" ref="F1249:K1249" si="1039">PeriodTitle</f>
        <v>4/ 2020</v>
      </c>
      <c r="G1249" s="178" t="str">
        <f t="shared" si="1039"/>
        <v>5/ 2020</v>
      </c>
      <c r="H1249" s="178" t="str">
        <f t="shared" si="1039"/>
        <v>6/ 2020</v>
      </c>
      <c r="I1249" s="178" t="str">
        <f t="shared" si="1039"/>
        <v>7/ 2020</v>
      </c>
      <c r="J1249" s="178" t="str">
        <f t="shared" si="1039"/>
        <v>8/ 2020</v>
      </c>
      <c r="K1249" s="178" t="str">
        <f t="shared" si="1039"/>
        <v>9/ 2020</v>
      </c>
      <c r="L1249" s="166"/>
      <c r="M1249" s="195" t="str">
        <f ca="1">Language!A371</f>
        <v>ИТОГО</v>
      </c>
    </row>
    <row r="1250" spans="1:18" ht="10.8" outlineLevel="1" thickTop="1" x14ac:dyDescent="0.2"/>
    <row r="1251" spans="1:18" outlineLevel="1" x14ac:dyDescent="0.2">
      <c r="A1251" t="str">
        <f ca="1">Language!A$742</f>
        <v>Поступления от продаж</v>
      </c>
      <c r="C1251" s="5" t="str">
        <f t="shared" ref="C1251:C1259" ca="1" si="1040">CUR_Report</f>
        <v>руб.</v>
      </c>
      <c r="F1251" s="53">
        <f t="shared" ref="F1251:K1251" si="1041">(F640+F641)/IF(CUR_I_Report=2,F$88,1)</f>
        <v>36000000</v>
      </c>
      <c r="G1251" s="53">
        <f t="shared" si="1041"/>
        <v>84000000</v>
      </c>
      <c r="H1251" s="53">
        <f t="shared" si="1041"/>
        <v>120000000</v>
      </c>
      <c r="I1251" s="53">
        <f t="shared" si="1041"/>
        <v>120000000</v>
      </c>
      <c r="J1251" s="53">
        <f t="shared" si="1041"/>
        <v>120000000</v>
      </c>
      <c r="K1251" s="53">
        <f t="shared" si="1041"/>
        <v>120000000</v>
      </c>
      <c r="M1251" s="54">
        <f t="shared" ref="M1251:M1259" si="1042">SUM(F1251:K1251)</f>
        <v>600000000</v>
      </c>
    </row>
    <row r="1252" spans="1:18" outlineLevel="1" x14ac:dyDescent="0.2">
      <c r="A1252" t="str">
        <f ca="1">Language!A$743</f>
        <v>Затраты на материалы и комплектующие</v>
      </c>
      <c r="C1252" s="5" t="str">
        <f t="shared" ca="1" si="1040"/>
        <v>руб.</v>
      </c>
      <c r="F1252" s="53">
        <f t="shared" ref="F1252:K1252" si="1043">-(F729+F730)/IF(CUR_I_Report=2,F$88,1)</f>
        <v>0</v>
      </c>
      <c r="G1252" s="53">
        <f t="shared" si="1043"/>
        <v>0</v>
      </c>
      <c r="H1252" s="53">
        <f t="shared" si="1043"/>
        <v>0</v>
      </c>
      <c r="I1252" s="53">
        <f t="shared" si="1043"/>
        <v>0</v>
      </c>
      <c r="J1252" s="53">
        <f t="shared" si="1043"/>
        <v>0</v>
      </c>
      <c r="K1252" s="53">
        <f t="shared" si="1043"/>
        <v>0</v>
      </c>
      <c r="M1252" s="54">
        <f t="shared" si="1042"/>
        <v>0</v>
      </c>
    </row>
    <row r="1253" spans="1:18" outlineLevel="1" x14ac:dyDescent="0.2">
      <c r="A1253" t="str">
        <f ca="1">Language!A$599</f>
        <v>Прочие переменные затраты</v>
      </c>
      <c r="C1253" s="5" t="str">
        <f t="shared" ca="1" si="1040"/>
        <v>руб.</v>
      </c>
      <c r="F1253" s="53">
        <f t="shared" ref="F1253:K1253" si="1044">-(F774+F775)/IF(CUR_I_Report=2,F$88,1)</f>
        <v>0</v>
      </c>
      <c r="G1253" s="53">
        <f t="shared" si="1044"/>
        <v>0</v>
      </c>
      <c r="H1253" s="53">
        <f t="shared" si="1044"/>
        <v>0</v>
      </c>
      <c r="I1253" s="53">
        <f t="shared" si="1044"/>
        <v>0</v>
      </c>
      <c r="J1253" s="53">
        <f t="shared" si="1044"/>
        <v>0</v>
      </c>
      <c r="K1253" s="53">
        <f t="shared" si="1044"/>
        <v>0</v>
      </c>
      <c r="M1253" s="54">
        <f t="shared" si="1042"/>
        <v>0</v>
      </c>
    </row>
    <row r="1254" spans="1:18" outlineLevel="1" x14ac:dyDescent="0.2">
      <c r="A1254" t="str">
        <f ca="1">Language!A$744</f>
        <v>Зарплата</v>
      </c>
      <c r="C1254" s="5" t="str">
        <f t="shared" ca="1" si="1040"/>
        <v>руб.</v>
      </c>
      <c r="F1254" s="53">
        <f t="shared" ref="F1254:K1254" si="1045">-F841/IF(CUR_I_Report=2,F$88,1)</f>
        <v>-625000</v>
      </c>
      <c r="G1254" s="53">
        <f t="shared" si="1045"/>
        <v>-765000</v>
      </c>
      <c r="H1254" s="53">
        <f t="shared" si="1045"/>
        <v>-905000</v>
      </c>
      <c r="I1254" s="53">
        <f t="shared" si="1045"/>
        <v>-975000</v>
      </c>
      <c r="J1254" s="53">
        <f t="shared" si="1045"/>
        <v>-975000</v>
      </c>
      <c r="K1254" s="53">
        <f t="shared" si="1045"/>
        <v>-975000</v>
      </c>
      <c r="M1254" s="54">
        <f t="shared" si="1042"/>
        <v>-5220000</v>
      </c>
    </row>
    <row r="1255" spans="1:18" outlineLevel="1" x14ac:dyDescent="0.2">
      <c r="A1255" t="str">
        <f ca="1">Language!A$745</f>
        <v>Общие затраты</v>
      </c>
      <c r="C1255" s="5" t="str">
        <f t="shared" ca="1" si="1040"/>
        <v>руб.</v>
      </c>
      <c r="F1255" s="53">
        <f t="shared" ref="F1255:K1255" si="1046">-(F929+F932+F935)/IF(CUR_I_Report=2,F$88,1)</f>
        <v>-20000000</v>
      </c>
      <c r="G1255" s="53">
        <f t="shared" si="1046"/>
        <v>-20000000</v>
      </c>
      <c r="H1255" s="53">
        <f t="shared" si="1046"/>
        <v>-20000000</v>
      </c>
      <c r="I1255" s="53">
        <f t="shared" si="1046"/>
        <v>-20000000</v>
      </c>
      <c r="J1255" s="53">
        <f t="shared" si="1046"/>
        <v>-20000000</v>
      </c>
      <c r="K1255" s="53">
        <f t="shared" si="1046"/>
        <v>-20000000</v>
      </c>
      <c r="M1255" s="54">
        <f t="shared" si="1042"/>
        <v>-120000000</v>
      </c>
    </row>
    <row r="1256" spans="1:18" outlineLevel="1" x14ac:dyDescent="0.2">
      <c r="A1256" t="str">
        <f ca="1">Language!A$746</f>
        <v>Налоги</v>
      </c>
      <c r="C1256" s="5" t="str">
        <f t="shared" ca="1" si="1040"/>
        <v>руб.</v>
      </c>
      <c r="F1256" s="53">
        <f t="shared" ref="F1256:K1256" ca="1" si="1047">(-F228+F108)/IF(CUR_I_Report=2,F$88,1)</f>
        <v>-2247500</v>
      </c>
      <c r="G1256" s="53">
        <f t="shared" ca="1" si="1047"/>
        <v>-5147100</v>
      </c>
      <c r="H1256" s="53">
        <f t="shared" ca="1" si="1047"/>
        <v>-7326700</v>
      </c>
      <c r="I1256" s="53">
        <f t="shared" ca="1" si="1047"/>
        <v>-7336500</v>
      </c>
      <c r="J1256" s="53">
        <f t="shared" ca="1" si="1047"/>
        <v>-7336500</v>
      </c>
      <c r="K1256" s="53">
        <f t="shared" ca="1" si="1047"/>
        <v>-7336500</v>
      </c>
      <c r="M1256" s="54">
        <f t="shared" ca="1" si="1042"/>
        <v>-36730800</v>
      </c>
    </row>
    <row r="1257" spans="1:18" outlineLevel="1" x14ac:dyDescent="0.2">
      <c r="A1257" t="str">
        <f ca="1">Language!A$747</f>
        <v>Выплата процентов по кредитам</v>
      </c>
      <c r="C1257" s="5" t="str">
        <f t="shared" ca="1" si="1040"/>
        <v>руб.</v>
      </c>
      <c r="F1257" s="53">
        <f t="shared" ref="F1257:J1257" si="1048">-F1056/IF(CUR_I_Report=2,F$88,1)</f>
        <v>0</v>
      </c>
      <c r="G1257" s="53">
        <f t="shared" si="1048"/>
        <v>0</v>
      </c>
      <c r="H1257" s="53">
        <f t="shared" si="1048"/>
        <v>0</v>
      </c>
      <c r="I1257" s="53">
        <f t="shared" si="1048"/>
        <v>0</v>
      </c>
      <c r="J1257" s="53">
        <f t="shared" si="1048"/>
        <v>0</v>
      </c>
      <c r="K1257" s="53">
        <f t="shared" ref="K1257" si="1049">-K1056/IF(CUR_I_Report=2,K$88,1)</f>
        <v>0</v>
      </c>
      <c r="M1257" s="54">
        <f t="shared" si="1042"/>
        <v>0</v>
      </c>
    </row>
    <row r="1258" spans="1:18" outlineLevel="1" x14ac:dyDescent="0.2">
      <c r="A1258" t="str">
        <f ca="1">Language!A$748</f>
        <v>Прочие поступления</v>
      </c>
      <c r="C1258" s="5" t="str">
        <f t="shared" ca="1" si="1040"/>
        <v>руб.</v>
      </c>
      <c r="F1258" s="43">
        <f t="shared" ref="F1258:K1258" ca="1" si="1050">(F274+F523+(F1207+F1208)*CHOOSE($B1207,1,F$88))/IF(CUR_I_Report=2,F$88,1)</f>
        <v>0</v>
      </c>
      <c r="G1258" s="43">
        <f t="shared" ca="1" si="1050"/>
        <v>0</v>
      </c>
      <c r="H1258" s="43">
        <f t="shared" ca="1" si="1050"/>
        <v>0</v>
      </c>
      <c r="I1258" s="43">
        <f t="shared" ca="1" si="1050"/>
        <v>0</v>
      </c>
      <c r="J1258" s="43">
        <f t="shared" ca="1" si="1050"/>
        <v>0</v>
      </c>
      <c r="K1258" s="43">
        <f t="shared" ca="1" si="1050"/>
        <v>0</v>
      </c>
      <c r="M1258" s="54">
        <f t="shared" ca="1" si="1042"/>
        <v>0</v>
      </c>
    </row>
    <row r="1259" spans="1:18" outlineLevel="1" x14ac:dyDescent="0.2">
      <c r="A1259" t="str">
        <f ca="1">Language!A$749</f>
        <v>Прочие затраты</v>
      </c>
      <c r="C1259" s="5" t="str">
        <f t="shared" ca="1" si="1040"/>
        <v>руб.</v>
      </c>
      <c r="F1259" s="43">
        <f t="shared" ref="F1259:J1259" si="1051">-(F1209+F1210)*CHOOSE($B1209,1,F$88)/IF(CUR_I_Report=2,F$88,1)</f>
        <v>0</v>
      </c>
      <c r="G1259" s="43">
        <f t="shared" si="1051"/>
        <v>0</v>
      </c>
      <c r="H1259" s="43">
        <f t="shared" si="1051"/>
        <v>0</v>
      </c>
      <c r="I1259" s="43">
        <f t="shared" si="1051"/>
        <v>0</v>
      </c>
      <c r="J1259" s="43">
        <f t="shared" si="1051"/>
        <v>0</v>
      </c>
      <c r="K1259" s="43">
        <f t="shared" ref="K1259" si="1052">-(K1209+K1210)*CHOOSE($B1209,1,K$88)/IF(CUR_I_Report=2,K$88,1)</f>
        <v>0</v>
      </c>
      <c r="M1259" s="54">
        <f t="shared" si="1042"/>
        <v>0</v>
      </c>
    </row>
    <row r="1260" spans="1:18" outlineLevel="1" x14ac:dyDescent="0.2">
      <c r="M1260" s="57"/>
      <c r="N1260" s="58"/>
      <c r="O1260" s="58"/>
      <c r="P1260" s="58"/>
      <c r="Q1260" s="58"/>
      <c r="R1260" s="58"/>
    </row>
    <row r="1261" spans="1:18" outlineLevel="1" x14ac:dyDescent="0.2">
      <c r="A1261" s="35" t="str">
        <f ca="1">Language!A$750</f>
        <v>Денежные потоки от операционной деятельности</v>
      </c>
      <c r="C1261" s="5" t="str">
        <f ca="1">CUR_Report</f>
        <v>руб.</v>
      </c>
      <c r="F1261" s="58">
        <f t="shared" ref="F1261:J1261" ca="1" si="1053">SUM(F1251:F1259)</f>
        <v>13127500</v>
      </c>
      <c r="G1261" s="58">
        <f t="shared" ca="1" si="1053"/>
        <v>58087900</v>
      </c>
      <c r="H1261" s="58">
        <f t="shared" ca="1" si="1053"/>
        <v>91768300</v>
      </c>
      <c r="I1261" s="58">
        <f t="shared" ca="1" si="1053"/>
        <v>91688500</v>
      </c>
      <c r="J1261" s="58">
        <f t="shared" ca="1" si="1053"/>
        <v>91688500</v>
      </c>
      <c r="K1261" s="58">
        <f t="shared" ref="K1261" ca="1" si="1054">SUM(K1251:K1259)</f>
        <v>91688500</v>
      </c>
      <c r="M1261" s="57">
        <f ca="1">SUM(F1261:K1261)</f>
        <v>438049200</v>
      </c>
    </row>
    <row r="1262" spans="1:18" outlineLevel="1" x14ac:dyDescent="0.2">
      <c r="M1262" s="57"/>
      <c r="N1262" s="58"/>
      <c r="O1262" s="58"/>
      <c r="P1262" s="58"/>
      <c r="Q1262" s="58"/>
      <c r="R1262" s="58"/>
    </row>
    <row r="1263" spans="1:18" outlineLevel="1" x14ac:dyDescent="0.2">
      <c r="A1263" t="str">
        <f ca="1">Language!A$688</f>
        <v>Инвестиции в земельные участки</v>
      </c>
      <c r="C1263" s="5" t="str">
        <f t="shared" ref="C1263:C1270" ca="1" si="1055">CUR_Report</f>
        <v>руб.</v>
      </c>
      <c r="F1263" s="53">
        <f t="shared" ref="F1263:K1263" si="1056">-F473/IF(CUR_I_Report=2,F$88,1)</f>
        <v>0</v>
      </c>
      <c r="G1263" s="53">
        <f t="shared" si="1056"/>
        <v>0</v>
      </c>
      <c r="H1263" s="53">
        <f t="shared" si="1056"/>
        <v>0</v>
      </c>
      <c r="I1263" s="53">
        <f t="shared" si="1056"/>
        <v>0</v>
      </c>
      <c r="J1263" s="53">
        <f t="shared" si="1056"/>
        <v>0</v>
      </c>
      <c r="K1263" s="53">
        <f t="shared" si="1056"/>
        <v>0</v>
      </c>
      <c r="M1263" s="54">
        <f t="shared" ref="M1263:M1270" si="1057">SUM(F1263:K1263)</f>
        <v>0</v>
      </c>
    </row>
    <row r="1264" spans="1:18" outlineLevel="1" x14ac:dyDescent="0.2">
      <c r="A1264" t="str">
        <f ca="1">Language!A$691</f>
        <v>Инвестиции в здания и сооружения</v>
      </c>
      <c r="C1264" s="5" t="str">
        <f ca="1">CUR_Report</f>
        <v>руб.</v>
      </c>
      <c r="F1264" s="53">
        <f t="shared" ref="F1264:K1264" si="1058">-F481/IF(CUR_I_Report=2,F$88,1)</f>
        <v>-40000</v>
      </c>
      <c r="G1264" s="53">
        <f t="shared" si="1058"/>
        <v>-40000</v>
      </c>
      <c r="H1264" s="53">
        <f t="shared" si="1058"/>
        <v>-50000</v>
      </c>
      <c r="I1264" s="53">
        <f t="shared" si="1058"/>
        <v>-50000</v>
      </c>
      <c r="J1264" s="53">
        <f t="shared" si="1058"/>
        <v>-50000</v>
      </c>
      <c r="K1264" s="53">
        <f t="shared" si="1058"/>
        <v>-50000</v>
      </c>
      <c r="M1264" s="54">
        <f t="shared" si="1057"/>
        <v>-280000</v>
      </c>
    </row>
    <row r="1265" spans="1:18" outlineLevel="1" x14ac:dyDescent="0.2">
      <c r="A1265" t="str">
        <f ca="1">Language!A$692</f>
        <v>Инвестиции в оборудование и прочие активы</v>
      </c>
      <c r="C1265" s="5" t="str">
        <f ca="1">CUR_Report</f>
        <v>руб.</v>
      </c>
      <c r="F1265" s="53">
        <f t="shared" ref="F1265:K1265" si="1059">-(F496+F502+F504+F572)/IF(CUR_I_Report=2,F$88,1)</f>
        <v>-500000</v>
      </c>
      <c r="G1265" s="53">
        <f t="shared" si="1059"/>
        <v>0</v>
      </c>
      <c r="H1265" s="53">
        <f t="shared" si="1059"/>
        <v>0</v>
      </c>
      <c r="I1265" s="53">
        <f t="shared" si="1059"/>
        <v>-700000</v>
      </c>
      <c r="J1265" s="53">
        <f t="shared" si="1059"/>
        <v>0</v>
      </c>
      <c r="K1265" s="53">
        <f t="shared" si="1059"/>
        <v>0</v>
      </c>
      <c r="M1265" s="54">
        <f t="shared" si="1057"/>
        <v>-1200000</v>
      </c>
    </row>
    <row r="1266" spans="1:18" outlineLevel="1" x14ac:dyDescent="0.2">
      <c r="A1266" t="str">
        <f ca="1">Language!A$689</f>
        <v>Инвестиции в нематериальные активы</v>
      </c>
      <c r="C1266" s="5" t="str">
        <f t="shared" ca="1" si="1055"/>
        <v>руб.</v>
      </c>
      <c r="F1266" s="53">
        <f t="shared" ref="F1266:K1266" si="1060">-F508/IF(CUR_I_Report=2,F$88,1)</f>
        <v>0</v>
      </c>
      <c r="G1266" s="53">
        <f t="shared" si="1060"/>
        <v>0</v>
      </c>
      <c r="H1266" s="53">
        <f t="shared" si="1060"/>
        <v>0</v>
      </c>
      <c r="I1266" s="53">
        <f t="shared" si="1060"/>
        <v>0</v>
      </c>
      <c r="J1266" s="53">
        <f t="shared" si="1060"/>
        <v>0</v>
      </c>
      <c r="K1266" s="53">
        <f t="shared" si="1060"/>
        <v>0</v>
      </c>
      <c r="M1266" s="54">
        <f t="shared" si="1057"/>
        <v>0</v>
      </c>
    </row>
    <row r="1267" spans="1:18" outlineLevel="1" x14ac:dyDescent="0.2">
      <c r="A1267" t="str">
        <f ca="1">Language!A$693</f>
        <v>Инвестиции в финансовые активы</v>
      </c>
      <c r="C1267" s="5" t="str">
        <f t="shared" ca="1" si="1055"/>
        <v>руб.</v>
      </c>
      <c r="F1267" s="53">
        <f t="shared" ref="F1267:K1267" si="1061">-F520/IF(CUR_I_Report=2,F$88,1)</f>
        <v>0</v>
      </c>
      <c r="G1267" s="53">
        <f t="shared" si="1061"/>
        <v>0</v>
      </c>
      <c r="H1267" s="53">
        <f t="shared" si="1061"/>
        <v>0</v>
      </c>
      <c r="I1267" s="53">
        <f t="shared" si="1061"/>
        <v>0</v>
      </c>
      <c r="J1267" s="53">
        <f t="shared" si="1061"/>
        <v>0</v>
      </c>
      <c r="K1267" s="53">
        <f t="shared" si="1061"/>
        <v>0</v>
      </c>
      <c r="M1267" s="54">
        <f t="shared" si="1057"/>
        <v>0</v>
      </c>
    </row>
    <row r="1268" spans="1:18" outlineLevel="1" x14ac:dyDescent="0.2">
      <c r="A1268" t="str">
        <f ca="1">Language!A$694</f>
        <v>Оплата расходов будущих периодов</v>
      </c>
      <c r="C1268" s="5" t="str">
        <f t="shared" ca="1" si="1055"/>
        <v>руб.</v>
      </c>
      <c r="F1268" s="53">
        <f t="shared" ref="F1268:K1268" si="1062">-F531/IF(CUR_I_Report=2,F$88,1)</f>
        <v>0</v>
      </c>
      <c r="G1268" s="53">
        <f t="shared" si="1062"/>
        <v>0</v>
      </c>
      <c r="H1268" s="53">
        <f t="shared" si="1062"/>
        <v>0</v>
      </c>
      <c r="I1268" s="53">
        <f t="shared" si="1062"/>
        <v>0</v>
      </c>
      <c r="J1268" s="53">
        <f t="shared" si="1062"/>
        <v>0</v>
      </c>
      <c r="K1268" s="53">
        <f t="shared" si="1062"/>
        <v>0</v>
      </c>
      <c r="M1268" s="54">
        <f t="shared" si="1057"/>
        <v>0</v>
      </c>
    </row>
    <row r="1269" spans="1:18" outlineLevel="1" x14ac:dyDescent="0.2">
      <c r="A1269" t="str">
        <f ca="1">Language!A$695</f>
        <v>Прирост чистого оборотного капитала</v>
      </c>
      <c r="C1269" s="5" t="str">
        <f t="shared" ca="1" si="1055"/>
        <v>руб.</v>
      </c>
      <c r="F1269" s="53">
        <f t="shared" ref="F1269:K1269" ca="1" si="1063">-F1002/IF(CUR_I_Report=2,F$88,1)</f>
        <v>2534583.333333333</v>
      </c>
      <c r="G1269" s="53">
        <f t="shared" ca="1" si="1063"/>
        <v>8801560</v>
      </c>
      <c r="H1269" s="53">
        <f t="shared" ca="1" si="1063"/>
        <v>6641560</v>
      </c>
      <c r="I1269" s="53">
        <f t="shared" ca="1" si="1063"/>
        <v>80780</v>
      </c>
      <c r="J1269" s="53">
        <f t="shared" ca="1" si="1063"/>
        <v>0</v>
      </c>
      <c r="K1269" s="53">
        <f t="shared" ca="1" si="1063"/>
        <v>0</v>
      </c>
      <c r="M1269" s="54">
        <f t="shared" ca="1" si="1057"/>
        <v>18058483.333333332</v>
      </c>
    </row>
    <row r="1270" spans="1:18" outlineLevel="1" x14ac:dyDescent="0.2">
      <c r="A1270" t="str">
        <f ca="1">Language!A$751</f>
        <v>Выручка от реализации активов</v>
      </c>
      <c r="C1270" s="5" t="str">
        <f t="shared" ca="1" si="1055"/>
        <v>руб.</v>
      </c>
      <c r="F1270" s="53">
        <f t="shared" ref="F1270:K1270" si="1064">(F491+F494+F479+F517+F519+F528+F530+F505+F507+F241+F246+F235+F237+F250+F255+F259+F264+F275+F277)/IF(CUR_I_Report=2,F$88,1)</f>
        <v>0</v>
      </c>
      <c r="G1270" s="53">
        <f t="shared" si="1064"/>
        <v>0</v>
      </c>
      <c r="H1270" s="53">
        <f t="shared" si="1064"/>
        <v>0</v>
      </c>
      <c r="I1270" s="53">
        <f t="shared" si="1064"/>
        <v>0</v>
      </c>
      <c r="J1270" s="53">
        <f t="shared" si="1064"/>
        <v>0</v>
      </c>
      <c r="K1270" s="53">
        <f t="shared" si="1064"/>
        <v>0</v>
      </c>
      <c r="M1270" s="54">
        <f t="shared" si="1057"/>
        <v>0</v>
      </c>
    </row>
    <row r="1271" spans="1:18" outlineLevel="1" x14ac:dyDescent="0.2"/>
    <row r="1272" spans="1:18" outlineLevel="1" x14ac:dyDescent="0.2">
      <c r="A1272" s="35" t="str">
        <f ca="1">Language!A$752</f>
        <v>Денежные потоки от инвестиционной деятельности</v>
      </c>
      <c r="C1272" s="5" t="str">
        <f ca="1">CUR_Report</f>
        <v>руб.</v>
      </c>
      <c r="F1272" s="58">
        <f t="shared" ref="F1272:J1272" ca="1" si="1065">SUM(F1263:F1270)</f>
        <v>1994583.333333333</v>
      </c>
      <c r="G1272" s="58">
        <f t="shared" ca="1" si="1065"/>
        <v>8761560</v>
      </c>
      <c r="H1272" s="58">
        <f t="shared" ca="1" si="1065"/>
        <v>6591560</v>
      </c>
      <c r="I1272" s="58">
        <f t="shared" ca="1" si="1065"/>
        <v>-669220</v>
      </c>
      <c r="J1272" s="58">
        <f t="shared" ca="1" si="1065"/>
        <v>-50000</v>
      </c>
      <c r="K1272" s="58">
        <f t="shared" ref="K1272" ca="1" si="1066">SUM(K1263:K1270)</f>
        <v>-50000</v>
      </c>
      <c r="M1272" s="57">
        <f ca="1">SUM(F1272:K1272)</f>
        <v>16578483.333333332</v>
      </c>
      <c r="N1272" s="58"/>
      <c r="O1272" s="58"/>
      <c r="P1272" s="58"/>
      <c r="Q1272" s="58"/>
      <c r="R1272" s="58"/>
    </row>
    <row r="1273" spans="1:18" outlineLevel="1" x14ac:dyDescent="0.2"/>
    <row r="1274" spans="1:18" outlineLevel="1" x14ac:dyDescent="0.2">
      <c r="A1274" t="str">
        <f ca="1">Language!A$753</f>
        <v>Поступления собственного капитала</v>
      </c>
      <c r="C1274" s="5" t="str">
        <f t="shared" ref="C1274:C1280" ca="1" si="1067">CUR_Report</f>
        <v>руб.</v>
      </c>
      <c r="F1274" s="53">
        <f t="shared" ref="F1274:K1274" si="1068">(F1007+F1016)/IF(CUR_I_Report=2,F$88,1)</f>
        <v>0</v>
      </c>
      <c r="G1274" s="53">
        <f t="shared" si="1068"/>
        <v>0</v>
      </c>
      <c r="H1274" s="53">
        <f t="shared" si="1068"/>
        <v>0</v>
      </c>
      <c r="I1274" s="53">
        <f t="shared" si="1068"/>
        <v>0</v>
      </c>
      <c r="J1274" s="53">
        <f t="shared" si="1068"/>
        <v>0</v>
      </c>
      <c r="K1274" s="53">
        <f t="shared" si="1068"/>
        <v>0</v>
      </c>
      <c r="M1274" s="54">
        <f>SUM(F1274:K1274)</f>
        <v>0</v>
      </c>
    </row>
    <row r="1275" spans="1:18" outlineLevel="1" x14ac:dyDescent="0.2">
      <c r="A1275" t="str">
        <f ca="1">Language!A$754</f>
        <v>Целевое финансирование</v>
      </c>
      <c r="C1275" s="5" t="str">
        <f t="shared" ca="1" si="1067"/>
        <v>руб.</v>
      </c>
      <c r="F1275" s="53">
        <f t="shared" ref="F1275:K1275" si="1069">F1019/IF(CUR_I_Report=2,F$88,1)</f>
        <v>0</v>
      </c>
      <c r="G1275" s="53">
        <f t="shared" si="1069"/>
        <v>0</v>
      </c>
      <c r="H1275" s="53">
        <f t="shared" si="1069"/>
        <v>0</v>
      </c>
      <c r="I1275" s="53">
        <f t="shared" si="1069"/>
        <v>0</v>
      </c>
      <c r="J1275" s="53">
        <f t="shared" si="1069"/>
        <v>0</v>
      </c>
      <c r="K1275" s="53">
        <f t="shared" si="1069"/>
        <v>0</v>
      </c>
      <c r="M1275" s="54">
        <f>SUM(F1275:K1275)</f>
        <v>0</v>
      </c>
    </row>
    <row r="1276" spans="1:18" outlineLevel="1" x14ac:dyDescent="0.2">
      <c r="A1276" t="str">
        <f ca="1">Language!A$650</f>
        <v>Средства от инвесторов строительства</v>
      </c>
      <c r="C1276" s="5" t="str">
        <f t="shared" ca="1" si="1067"/>
        <v>руб.</v>
      </c>
      <c r="F1276" s="53">
        <f t="shared" ref="F1276:K1276" si="1070">F1021/IF(CUR_I_Report=2,F$88,1)</f>
        <v>0</v>
      </c>
      <c r="G1276" s="53">
        <f t="shared" si="1070"/>
        <v>0</v>
      </c>
      <c r="H1276" s="53">
        <f t="shared" si="1070"/>
        <v>0</v>
      </c>
      <c r="I1276" s="53">
        <f t="shared" si="1070"/>
        <v>0</v>
      </c>
      <c r="J1276" s="53">
        <f t="shared" si="1070"/>
        <v>0</v>
      </c>
      <c r="K1276" s="53">
        <f t="shared" si="1070"/>
        <v>0</v>
      </c>
      <c r="M1276" s="54"/>
    </row>
    <row r="1277" spans="1:18" outlineLevel="1" x14ac:dyDescent="0.2">
      <c r="A1277" t="str">
        <f ca="1">Language!A$755</f>
        <v>Поступления кредитов</v>
      </c>
      <c r="C1277" s="5" t="str">
        <f t="shared" ca="1" si="1067"/>
        <v>руб.</v>
      </c>
      <c r="F1277" s="53">
        <f t="shared" ref="F1277:J1277" si="1071">F1054/IF(CUR_I_Report=2,F$88,1)</f>
        <v>0</v>
      </c>
      <c r="G1277" s="53">
        <f t="shared" si="1071"/>
        <v>0</v>
      </c>
      <c r="H1277" s="53">
        <f t="shared" si="1071"/>
        <v>0</v>
      </c>
      <c r="I1277" s="53">
        <f t="shared" si="1071"/>
        <v>0</v>
      </c>
      <c r="J1277" s="53">
        <f t="shared" si="1071"/>
        <v>0</v>
      </c>
      <c r="K1277" s="53">
        <f t="shared" ref="K1277" si="1072">K1054/IF(CUR_I_Report=2,K$88,1)</f>
        <v>0</v>
      </c>
      <c r="M1277" s="54">
        <f>SUM(F1277:K1277)</f>
        <v>0</v>
      </c>
    </row>
    <row r="1278" spans="1:18" outlineLevel="1" x14ac:dyDescent="0.2">
      <c r="A1278" t="str">
        <f ca="1">Language!A$756</f>
        <v>Возврат кредитов</v>
      </c>
      <c r="C1278" s="5" t="str">
        <f t="shared" ca="1" si="1067"/>
        <v>руб.</v>
      </c>
      <c r="F1278" s="53">
        <f t="shared" ref="F1278:J1278" si="1073">-F1055/IF(CUR_I_Report=2,F$88,1)</f>
        <v>0</v>
      </c>
      <c r="G1278" s="53">
        <f t="shared" si="1073"/>
        <v>0</v>
      </c>
      <c r="H1278" s="53">
        <f t="shared" si="1073"/>
        <v>0</v>
      </c>
      <c r="I1278" s="53">
        <f t="shared" si="1073"/>
        <v>0</v>
      </c>
      <c r="J1278" s="53">
        <f t="shared" si="1073"/>
        <v>0</v>
      </c>
      <c r="K1278" s="53">
        <f t="shared" ref="K1278" si="1074">-K1055/IF(CUR_I_Report=2,K$88,1)</f>
        <v>0</v>
      </c>
      <c r="M1278" s="54">
        <f>SUM(F1278:K1278)</f>
        <v>0</v>
      </c>
    </row>
    <row r="1279" spans="1:18" outlineLevel="1" x14ac:dyDescent="0.2">
      <c r="A1279" t="str">
        <f ca="1">Language!A$757</f>
        <v>Лизинговые платежи</v>
      </c>
      <c r="C1279" s="5" t="str">
        <f t="shared" ca="1" si="1067"/>
        <v>руб.</v>
      </c>
      <c r="F1279" s="53">
        <f t="shared" ref="F1279:K1279" ca="1" si="1075">-F571/IF(CUR_I_Report=2,F$88,1)</f>
        <v>0</v>
      </c>
      <c r="G1279" s="53">
        <f t="shared" ca="1" si="1075"/>
        <v>0</v>
      </c>
      <c r="H1279" s="53">
        <f t="shared" ca="1" si="1075"/>
        <v>0</v>
      </c>
      <c r="I1279" s="53">
        <f t="shared" ca="1" si="1075"/>
        <v>0</v>
      </c>
      <c r="J1279" s="53">
        <f t="shared" ca="1" si="1075"/>
        <v>0</v>
      </c>
      <c r="K1279" s="53">
        <f t="shared" ca="1" si="1075"/>
        <v>0</v>
      </c>
      <c r="M1279" s="54">
        <f ca="1">SUM(F1279:K1279)</f>
        <v>0</v>
      </c>
    </row>
    <row r="1280" spans="1:18" outlineLevel="1" x14ac:dyDescent="0.2">
      <c r="A1280" t="str">
        <f ca="1">Language!A$758</f>
        <v>Выплата дивидендов</v>
      </c>
      <c r="C1280" s="5" t="str">
        <f t="shared" ca="1" si="1067"/>
        <v>руб.</v>
      </c>
      <c r="F1280" s="43">
        <f t="shared" ref="F1280:J1280" ca="1" si="1076">-F1213</f>
        <v>0</v>
      </c>
      <c r="G1280" s="43">
        <f t="shared" ca="1" si="1076"/>
        <v>0</v>
      </c>
      <c r="H1280" s="43">
        <f t="shared" ca="1" si="1076"/>
        <v>0</v>
      </c>
      <c r="I1280" s="43">
        <f t="shared" ca="1" si="1076"/>
        <v>0</v>
      </c>
      <c r="J1280" s="43">
        <f t="shared" ca="1" si="1076"/>
        <v>0</v>
      </c>
      <c r="K1280" s="43">
        <f t="shared" ref="K1280" ca="1" si="1077">-K1213</f>
        <v>0</v>
      </c>
      <c r="M1280" s="54">
        <f ca="1">SUM(F1280:K1280)</f>
        <v>0</v>
      </c>
    </row>
    <row r="1281" spans="1:13" outlineLevel="1" x14ac:dyDescent="0.2"/>
    <row r="1282" spans="1:13" outlineLevel="1" x14ac:dyDescent="0.2">
      <c r="A1282" s="35" t="str">
        <f ca="1">Language!A$759</f>
        <v>Денежные потоки от финансовой деятельности</v>
      </c>
      <c r="C1282" s="5" t="str">
        <f ca="1">CUR_Report</f>
        <v>руб.</v>
      </c>
      <c r="F1282" s="58">
        <f t="shared" ref="F1282:J1282" ca="1" si="1078">SUM(F1274:F1280)</f>
        <v>0</v>
      </c>
      <c r="G1282" s="58">
        <f t="shared" ca="1" si="1078"/>
        <v>0</v>
      </c>
      <c r="H1282" s="58">
        <f t="shared" ca="1" si="1078"/>
        <v>0</v>
      </c>
      <c r="I1282" s="58">
        <f t="shared" ca="1" si="1078"/>
        <v>0</v>
      </c>
      <c r="J1282" s="58">
        <f t="shared" ca="1" si="1078"/>
        <v>0</v>
      </c>
      <c r="K1282" s="58">
        <f t="shared" ref="K1282" ca="1" si="1079">SUM(K1274:K1280)</f>
        <v>0</v>
      </c>
      <c r="M1282" s="57">
        <f ca="1">SUM(F1282:K1282)</f>
        <v>0</v>
      </c>
    </row>
    <row r="1283" spans="1:13" outlineLevel="1" x14ac:dyDescent="0.2"/>
    <row r="1284" spans="1:13" outlineLevel="1" x14ac:dyDescent="0.2">
      <c r="A1284" s="23" t="str">
        <f ca="1">Language!A$760</f>
        <v>Суммарный денежный поток за период</v>
      </c>
      <c r="B1284" s="180"/>
      <c r="C1284" s="293" t="str">
        <f ca="1">CUR_Report</f>
        <v>руб.</v>
      </c>
      <c r="D1284" s="180"/>
      <c r="E1284" s="180"/>
      <c r="F1284" s="109">
        <f t="shared" ref="F1284:J1284" ca="1" si="1080">F1261+F1272+F1282</f>
        <v>15122083.333333332</v>
      </c>
      <c r="G1284" s="109">
        <f t="shared" ca="1" si="1080"/>
        <v>66849460</v>
      </c>
      <c r="H1284" s="109">
        <f t="shared" ca="1" si="1080"/>
        <v>98359860</v>
      </c>
      <c r="I1284" s="109">
        <f t="shared" ca="1" si="1080"/>
        <v>91019280</v>
      </c>
      <c r="J1284" s="109">
        <f t="shared" ca="1" si="1080"/>
        <v>91638500</v>
      </c>
      <c r="K1284" s="109">
        <f t="shared" ref="K1284" ca="1" si="1081">K1261+K1272+K1282</f>
        <v>91638500</v>
      </c>
      <c r="L1284" s="23"/>
      <c r="M1284" s="54">
        <f ca="1">SUM(F1284:K1284)</f>
        <v>454627683.33333331</v>
      </c>
    </row>
    <row r="1285" spans="1:13" outlineLevel="1" x14ac:dyDescent="0.2">
      <c r="A1285" s="23" t="str">
        <f ca="1">Language!A$761</f>
        <v>Денежные средства на начало периода</v>
      </c>
      <c r="B1285" s="180"/>
      <c r="C1285" s="293" t="str">
        <f ca="1">CUR_Report</f>
        <v>руб.</v>
      </c>
      <c r="D1285" s="16" t="s">
        <v>2154</v>
      </c>
      <c r="E1285" s="180"/>
      <c r="F1285" s="210">
        <f t="shared" ref="F1285:K1285" si="1082">E1286</f>
        <v>0</v>
      </c>
      <c r="G1285" s="210">
        <f t="shared" ca="1" si="1082"/>
        <v>15122083.333333332</v>
      </c>
      <c r="H1285" s="210">
        <f t="shared" ca="1" si="1082"/>
        <v>81971543.333333328</v>
      </c>
      <c r="I1285" s="210">
        <f t="shared" ca="1" si="1082"/>
        <v>180331403.33333331</v>
      </c>
      <c r="J1285" s="210">
        <f t="shared" ca="1" si="1082"/>
        <v>271350683.33333331</v>
      </c>
      <c r="K1285" s="210">
        <f t="shared" ca="1" si="1082"/>
        <v>362989183.33333331</v>
      </c>
      <c r="L1285" s="35"/>
      <c r="M1285" s="51"/>
    </row>
    <row r="1286" spans="1:13" outlineLevel="1" x14ac:dyDescent="0.2">
      <c r="A1286" s="35" t="str">
        <f ca="1">Language!A$762</f>
        <v>Денежные средства на конец периода</v>
      </c>
      <c r="B1286" s="294"/>
      <c r="C1286" s="293" t="str">
        <f ca="1">CUR_Report</f>
        <v>руб.</v>
      </c>
      <c r="D1286" s="16" t="s">
        <v>384</v>
      </c>
      <c r="E1286" s="180">
        <f>F57*IF(B37=1,1,F$88)/IF(CUR_I_Report=2,F$88,1)</f>
        <v>0</v>
      </c>
      <c r="F1286" s="58">
        <f t="shared" ref="F1286:K1286" ca="1" si="1083">F1284+E1286</f>
        <v>15122083.333333332</v>
      </c>
      <c r="G1286" s="58">
        <f t="shared" ca="1" si="1083"/>
        <v>81971543.333333328</v>
      </c>
      <c r="H1286" s="58">
        <f t="shared" ca="1" si="1083"/>
        <v>180331403.33333331</v>
      </c>
      <c r="I1286" s="58">
        <f t="shared" ca="1" si="1083"/>
        <v>271350683.33333331</v>
      </c>
      <c r="J1286" s="58">
        <f t="shared" ca="1" si="1083"/>
        <v>362989183.33333331</v>
      </c>
      <c r="K1286" s="58">
        <f t="shared" ca="1" si="1083"/>
        <v>454627683.33333331</v>
      </c>
      <c r="L1286" s="35"/>
      <c r="M1286" s="51"/>
    </row>
    <row r="1287" spans="1:13" outlineLevel="1" x14ac:dyDescent="0.2">
      <c r="A1287" s="63"/>
      <c r="B1287" s="63"/>
      <c r="C1287" s="63"/>
      <c r="D1287" s="63"/>
      <c r="E1287" s="63"/>
      <c r="F1287" s="63"/>
      <c r="G1287" s="63"/>
      <c r="H1287" s="63"/>
      <c r="I1287" s="63"/>
      <c r="J1287" s="63"/>
      <c r="K1287" s="63"/>
      <c r="L1287" s="63"/>
      <c r="M1287" s="64"/>
    </row>
    <row r="1288" spans="1:13" outlineLevel="1" collapsed="1" x14ac:dyDescent="0.2">
      <c r="A1288" s="22" t="str">
        <f ca="1">Language!A$763 &amp; ", " &amp; Проект!CUR_Report</f>
        <v>График: Движение денежных средств, руб.</v>
      </c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22"/>
    </row>
    <row r="1289" spans="1:13" hidden="1" outlineLevel="2" x14ac:dyDescent="0.2"/>
    <row r="1290" spans="1:13" hidden="1" outlineLevel="2" x14ac:dyDescent="0.2"/>
    <row r="1291" spans="1:13" hidden="1" outlineLevel="2" x14ac:dyDescent="0.2"/>
    <row r="1292" spans="1:13" hidden="1" outlineLevel="2" x14ac:dyDescent="0.2"/>
    <row r="1293" spans="1:13" hidden="1" outlineLevel="2" x14ac:dyDescent="0.2"/>
    <row r="1294" spans="1:13" hidden="1" outlineLevel="2" x14ac:dyDescent="0.2"/>
    <row r="1295" spans="1:13" hidden="1" outlineLevel="2" x14ac:dyDescent="0.2"/>
    <row r="1296" spans="1:13" hidden="1" outlineLevel="2" x14ac:dyDescent="0.2"/>
    <row r="1297" spans="13:13" hidden="1" outlineLevel="2" x14ac:dyDescent="0.2"/>
    <row r="1298" spans="13:13" hidden="1" outlineLevel="2" x14ac:dyDescent="0.2"/>
    <row r="1299" spans="13:13" hidden="1" outlineLevel="2" x14ac:dyDescent="0.2"/>
    <row r="1300" spans="13:13" hidden="1" outlineLevel="2" x14ac:dyDescent="0.2"/>
    <row r="1301" spans="13:13" hidden="1" outlineLevel="2" x14ac:dyDescent="0.2"/>
    <row r="1302" spans="13:13" hidden="1" outlineLevel="2" x14ac:dyDescent="0.2">
      <c r="M1302"/>
    </row>
    <row r="1303" spans="13:13" hidden="1" outlineLevel="2" x14ac:dyDescent="0.2">
      <c r="M1303"/>
    </row>
    <row r="1304" spans="13:13" hidden="1" outlineLevel="2" x14ac:dyDescent="0.2">
      <c r="M1304"/>
    </row>
    <row r="1305" spans="13:13" hidden="1" outlineLevel="2" x14ac:dyDescent="0.2">
      <c r="M1305"/>
    </row>
    <row r="1306" spans="13:13" hidden="1" outlineLevel="2" x14ac:dyDescent="0.2">
      <c r="M1306"/>
    </row>
    <row r="1307" spans="13:13" hidden="1" outlineLevel="2" x14ac:dyDescent="0.2">
      <c r="M1307"/>
    </row>
    <row r="1308" spans="13:13" hidden="1" outlineLevel="2" x14ac:dyDescent="0.2">
      <c r="M1308"/>
    </row>
    <row r="1309" spans="13:13" hidden="1" outlineLevel="2" x14ac:dyDescent="0.2">
      <c r="M1309"/>
    </row>
    <row r="1310" spans="13:13" hidden="1" outlineLevel="2" x14ac:dyDescent="0.2">
      <c r="M1310"/>
    </row>
    <row r="1311" spans="13:13" hidden="1" outlineLevel="2" x14ac:dyDescent="0.2">
      <c r="M1311"/>
    </row>
    <row r="1312" spans="13:13" outlineLevel="1" x14ac:dyDescent="0.2">
      <c r="M1312"/>
    </row>
    <row r="1313" spans="1:13" outlineLevel="1" collapsed="1" x14ac:dyDescent="0.2">
      <c r="A1313" s="11" t="str">
        <f ca="1">Language!A$764 &amp; ", " &amp; Проект!CUR_Report</f>
        <v>График: Остаток денежных средств, руб.</v>
      </c>
      <c r="M1313"/>
    </row>
    <row r="1314" spans="1:13" hidden="1" outlineLevel="2" x14ac:dyDescent="0.2">
      <c r="M1314"/>
    </row>
    <row r="1315" spans="1:13" hidden="1" outlineLevel="2" x14ac:dyDescent="0.2">
      <c r="M1315"/>
    </row>
    <row r="1316" spans="1:13" hidden="1" outlineLevel="2" x14ac:dyDescent="0.2">
      <c r="M1316"/>
    </row>
    <row r="1317" spans="1:13" hidden="1" outlineLevel="2" x14ac:dyDescent="0.2">
      <c r="M1317"/>
    </row>
    <row r="1318" spans="1:13" hidden="1" outlineLevel="2" x14ac:dyDescent="0.2">
      <c r="M1318"/>
    </row>
    <row r="1319" spans="1:13" hidden="1" outlineLevel="2" x14ac:dyDescent="0.2">
      <c r="M1319"/>
    </row>
    <row r="1320" spans="1:13" hidden="1" outlineLevel="2" x14ac:dyDescent="0.2">
      <c r="M1320"/>
    </row>
    <row r="1321" spans="1:13" hidden="1" outlineLevel="2" x14ac:dyDescent="0.2">
      <c r="M1321"/>
    </row>
    <row r="1322" spans="1:13" hidden="1" outlineLevel="2" x14ac:dyDescent="0.2">
      <c r="M1322"/>
    </row>
    <row r="1323" spans="1:13" hidden="1" outlineLevel="2" x14ac:dyDescent="0.2">
      <c r="M1323"/>
    </row>
    <row r="1324" spans="1:13" hidden="1" outlineLevel="2" x14ac:dyDescent="0.2">
      <c r="M1324"/>
    </row>
    <row r="1325" spans="1:13" hidden="1" outlineLevel="2" x14ac:dyDescent="0.2">
      <c r="M1325"/>
    </row>
    <row r="1326" spans="1:13" hidden="1" outlineLevel="2" x14ac:dyDescent="0.2">
      <c r="M1326"/>
    </row>
    <row r="1327" spans="1:13" hidden="1" outlineLevel="2" x14ac:dyDescent="0.2">
      <c r="M1327"/>
    </row>
    <row r="1328" spans="1:13" hidden="1" outlineLevel="2" x14ac:dyDescent="0.2">
      <c r="M1328"/>
    </row>
    <row r="1329" spans="1:13" hidden="1" outlineLevel="2" x14ac:dyDescent="0.2">
      <c r="M1329"/>
    </row>
    <row r="1330" spans="1:13" hidden="1" outlineLevel="2" x14ac:dyDescent="0.2">
      <c r="M1330"/>
    </row>
    <row r="1331" spans="1:13" hidden="1" outlineLevel="2" x14ac:dyDescent="0.2">
      <c r="M1331"/>
    </row>
    <row r="1332" spans="1:13" hidden="1" outlineLevel="2" x14ac:dyDescent="0.2">
      <c r="M1332"/>
    </row>
    <row r="1333" spans="1:13" hidden="1" outlineLevel="2" x14ac:dyDescent="0.2">
      <c r="M1333"/>
    </row>
    <row r="1334" spans="1:13" hidden="1" outlineLevel="2" x14ac:dyDescent="0.2"/>
    <row r="1335" spans="1:13" hidden="1" outlineLevel="2" x14ac:dyDescent="0.2"/>
    <row r="1336" spans="1:13" hidden="1" outlineLevel="2" x14ac:dyDescent="0.2"/>
    <row r="1337" spans="1:13" outlineLevel="1" x14ac:dyDescent="0.2"/>
    <row r="1338" spans="1:13" outlineLevel="1" collapsed="1" x14ac:dyDescent="0.2">
      <c r="A1338" s="22" t="str">
        <f ca="1">Language!A$1006 &amp; ", " &amp; Проект!CUR_Report</f>
        <v>График: Движение денег по кредитам, руб.</v>
      </c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22"/>
    </row>
    <row r="1339" spans="1:13" hidden="1" outlineLevel="2" x14ac:dyDescent="0.2"/>
    <row r="1340" spans="1:13" hidden="1" outlineLevel="2" x14ac:dyDescent="0.2"/>
    <row r="1341" spans="1:13" hidden="1" outlineLevel="2" x14ac:dyDescent="0.2"/>
    <row r="1342" spans="1:13" hidden="1" outlineLevel="2" x14ac:dyDescent="0.2"/>
    <row r="1343" spans="1:13" hidden="1" outlineLevel="2" x14ac:dyDescent="0.2"/>
    <row r="1344" spans="1:13" hidden="1" outlineLevel="2" x14ac:dyDescent="0.2"/>
    <row r="1345" spans="13:13" hidden="1" outlineLevel="2" x14ac:dyDescent="0.2"/>
    <row r="1346" spans="13:13" hidden="1" outlineLevel="2" x14ac:dyDescent="0.2"/>
    <row r="1347" spans="13:13" hidden="1" outlineLevel="2" x14ac:dyDescent="0.2"/>
    <row r="1348" spans="13:13" hidden="1" outlineLevel="2" x14ac:dyDescent="0.2"/>
    <row r="1349" spans="13:13" hidden="1" outlineLevel="2" x14ac:dyDescent="0.2"/>
    <row r="1350" spans="13:13" hidden="1" outlineLevel="2" x14ac:dyDescent="0.2">
      <c r="M1350"/>
    </row>
    <row r="1351" spans="13:13" hidden="1" outlineLevel="2" x14ac:dyDescent="0.2">
      <c r="M1351"/>
    </row>
    <row r="1352" spans="13:13" hidden="1" outlineLevel="2" x14ac:dyDescent="0.2">
      <c r="M1352"/>
    </row>
    <row r="1353" spans="13:13" hidden="1" outlineLevel="2" x14ac:dyDescent="0.2">
      <c r="M1353"/>
    </row>
    <row r="1354" spans="13:13" hidden="1" outlineLevel="2" x14ac:dyDescent="0.2">
      <c r="M1354"/>
    </row>
    <row r="1355" spans="13:13" hidden="1" outlineLevel="2" x14ac:dyDescent="0.2">
      <c r="M1355"/>
    </row>
    <row r="1356" spans="13:13" hidden="1" outlineLevel="2" x14ac:dyDescent="0.2">
      <c r="M1356"/>
    </row>
    <row r="1357" spans="13:13" hidden="1" outlineLevel="2" x14ac:dyDescent="0.2">
      <c r="M1357"/>
    </row>
    <row r="1358" spans="13:13" hidden="1" outlineLevel="2" x14ac:dyDescent="0.2">
      <c r="M1358"/>
    </row>
    <row r="1359" spans="13:13" hidden="1" outlineLevel="2" x14ac:dyDescent="0.2">
      <c r="M1359"/>
    </row>
    <row r="1360" spans="13:13" hidden="1" outlineLevel="2" x14ac:dyDescent="0.2">
      <c r="M1360"/>
    </row>
    <row r="1361" spans="1:13" hidden="1" outlineLevel="2" x14ac:dyDescent="0.2">
      <c r="M1361"/>
    </row>
    <row r="1362" spans="1:13" outlineLevel="1" x14ac:dyDescent="0.2">
      <c r="M1362"/>
    </row>
    <row r="1363" spans="1:13" outlineLevel="1" collapsed="1" x14ac:dyDescent="0.2">
      <c r="A1363" s="11" t="str">
        <f ca="1">Language!A$1008 &amp; ", " &amp; Проект!CUR_Report</f>
        <v>График: Поступления от продаж, руб.</v>
      </c>
      <c r="M1363"/>
    </row>
    <row r="1364" spans="1:13" hidden="1" outlineLevel="2" x14ac:dyDescent="0.2">
      <c r="M1364"/>
    </row>
    <row r="1365" spans="1:13" hidden="1" outlineLevel="2" x14ac:dyDescent="0.2">
      <c r="M1365"/>
    </row>
    <row r="1366" spans="1:13" hidden="1" outlineLevel="2" x14ac:dyDescent="0.2">
      <c r="M1366"/>
    </row>
    <row r="1367" spans="1:13" hidden="1" outlineLevel="2" x14ac:dyDescent="0.2">
      <c r="M1367"/>
    </row>
    <row r="1368" spans="1:13" hidden="1" outlineLevel="2" x14ac:dyDescent="0.2">
      <c r="M1368"/>
    </row>
    <row r="1369" spans="1:13" hidden="1" outlineLevel="2" x14ac:dyDescent="0.2">
      <c r="M1369"/>
    </row>
    <row r="1370" spans="1:13" hidden="1" outlineLevel="2" x14ac:dyDescent="0.2">
      <c r="M1370"/>
    </row>
    <row r="1371" spans="1:13" hidden="1" outlineLevel="2" x14ac:dyDescent="0.2">
      <c r="M1371"/>
    </row>
    <row r="1372" spans="1:13" hidden="1" outlineLevel="2" x14ac:dyDescent="0.2">
      <c r="M1372"/>
    </row>
    <row r="1373" spans="1:13" hidden="1" outlineLevel="2" x14ac:dyDescent="0.2">
      <c r="M1373"/>
    </row>
    <row r="1374" spans="1:13" hidden="1" outlineLevel="2" x14ac:dyDescent="0.2">
      <c r="M1374"/>
    </row>
    <row r="1375" spans="1:13" hidden="1" outlineLevel="2" x14ac:dyDescent="0.2">
      <c r="M1375"/>
    </row>
    <row r="1376" spans="1:13" hidden="1" outlineLevel="2" x14ac:dyDescent="0.2">
      <c r="M1376"/>
    </row>
    <row r="1377" spans="1:13" hidden="1" outlineLevel="2" x14ac:dyDescent="0.2">
      <c r="M1377"/>
    </row>
    <row r="1378" spans="1:13" hidden="1" outlineLevel="2" x14ac:dyDescent="0.2">
      <c r="M1378"/>
    </row>
    <row r="1379" spans="1:13" hidden="1" outlineLevel="2" x14ac:dyDescent="0.2">
      <c r="M1379"/>
    </row>
    <row r="1380" spans="1:13" hidden="1" outlineLevel="2" x14ac:dyDescent="0.2">
      <c r="M1380"/>
    </row>
    <row r="1381" spans="1:13" hidden="1" outlineLevel="2" x14ac:dyDescent="0.2">
      <c r="M1381"/>
    </row>
    <row r="1382" spans="1:13" hidden="1" outlineLevel="2" x14ac:dyDescent="0.2"/>
    <row r="1383" spans="1:13" hidden="1" outlineLevel="2" x14ac:dyDescent="0.2"/>
    <row r="1384" spans="1:13" hidden="1" outlineLevel="2" x14ac:dyDescent="0.2"/>
    <row r="1385" spans="1:13" hidden="1" outlineLevel="2" x14ac:dyDescent="0.2"/>
    <row r="1386" spans="1:13" hidden="1" outlineLevel="2" x14ac:dyDescent="0.2"/>
    <row r="1387" spans="1:13" outlineLevel="1" x14ac:dyDescent="0.2"/>
    <row r="1388" spans="1:13" outlineLevel="1" x14ac:dyDescent="0.2"/>
    <row r="1389" spans="1:13" s="4" customFormat="1" ht="15.9" customHeight="1" thickBot="1" x14ac:dyDescent="0.25">
      <c r="A1389" s="166" t="str">
        <f ca="1">Language!A765</f>
        <v xml:space="preserve">         БАЛАНС</v>
      </c>
      <c r="B1389" s="166"/>
      <c r="C1389" s="166"/>
      <c r="D1389" s="166"/>
      <c r="E1389" s="166"/>
      <c r="F1389" s="178" t="str">
        <f t="shared" ref="F1389:K1389" si="1084">PeriodTitle</f>
        <v>4/ 2020</v>
      </c>
      <c r="G1389" s="178" t="str">
        <f t="shared" si="1084"/>
        <v>5/ 2020</v>
      </c>
      <c r="H1389" s="178" t="str">
        <f t="shared" si="1084"/>
        <v>6/ 2020</v>
      </c>
      <c r="I1389" s="178" t="str">
        <f t="shared" si="1084"/>
        <v>7/ 2020</v>
      </c>
      <c r="J1389" s="178" t="str">
        <f t="shared" si="1084"/>
        <v>8/ 2020</v>
      </c>
      <c r="K1389" s="178" t="str">
        <f t="shared" si="1084"/>
        <v>9/ 2020</v>
      </c>
      <c r="L1389" s="166"/>
      <c r="M1389" s="110"/>
    </row>
    <row r="1390" spans="1:13" ht="10.8" outlineLevel="1" thickTop="1" x14ac:dyDescent="0.2"/>
    <row r="1391" spans="1:13" outlineLevel="1" x14ac:dyDescent="0.2">
      <c r="A1391" t="str">
        <f ca="1">Language!A$766</f>
        <v>Денежные средства</v>
      </c>
      <c r="C1391" s="5" t="str">
        <f t="shared" ref="C1391:C1400" ca="1" si="1085">CUR_Report</f>
        <v>руб.</v>
      </c>
      <c r="D1391" s="16" t="s">
        <v>384</v>
      </c>
      <c r="F1391" s="53">
        <f t="shared" ref="F1391:K1391" ca="1" si="1086">F1286+F992/IF(CUR_I_Report=2,F$88,1)</f>
        <v>19955000</v>
      </c>
      <c r="G1391" s="53">
        <f t="shared" ca="1" si="1086"/>
        <v>86841700</v>
      </c>
      <c r="H1391" s="53">
        <f t="shared" ca="1" si="1086"/>
        <v>185238799.99999997</v>
      </c>
      <c r="I1391" s="53">
        <f t="shared" ca="1" si="1086"/>
        <v>276276700</v>
      </c>
      <c r="J1391" s="53">
        <f t="shared" ca="1" si="1086"/>
        <v>367915200</v>
      </c>
      <c r="K1391" s="53">
        <f t="shared" ca="1" si="1086"/>
        <v>459553700</v>
      </c>
    </row>
    <row r="1392" spans="1:13" outlineLevel="1" x14ac:dyDescent="0.2">
      <c r="A1392" t="str">
        <f ca="1">Language!A$767</f>
        <v>Дебиторская задолженность</v>
      </c>
      <c r="C1392" s="5" t="str">
        <f t="shared" ca="1" si="1085"/>
        <v>руб.</v>
      </c>
      <c r="D1392" s="16" t="s">
        <v>384</v>
      </c>
      <c r="F1392" s="53">
        <f t="shared" ref="F1392:K1392" si="1087">F961/IF(CUR_I_Report=2,F$88,1)</f>
        <v>0</v>
      </c>
      <c r="G1392" s="53">
        <f t="shared" si="1087"/>
        <v>0</v>
      </c>
      <c r="H1392" s="53">
        <f t="shared" si="1087"/>
        <v>0</v>
      </c>
      <c r="I1392" s="53">
        <f t="shared" si="1087"/>
        <v>0</v>
      </c>
      <c r="J1392" s="53">
        <f t="shared" si="1087"/>
        <v>0</v>
      </c>
      <c r="K1392" s="53">
        <f t="shared" si="1087"/>
        <v>0</v>
      </c>
    </row>
    <row r="1393" spans="1:13" outlineLevel="1" x14ac:dyDescent="0.2">
      <c r="A1393" t="str">
        <f ca="1">Language!A$768</f>
        <v>Авансы уплаченные</v>
      </c>
      <c r="C1393" s="5" t="str">
        <f t="shared" ca="1" si="1085"/>
        <v>руб.</v>
      </c>
      <c r="D1393" s="16" t="s">
        <v>384</v>
      </c>
      <c r="F1393" s="53">
        <f t="shared" ref="F1393:K1393" ca="1" si="1088">(F485+F524+F534+F976+MAX(F575,0))/IF(CUR_I_Report=2,F$88,1)</f>
        <v>0</v>
      </c>
      <c r="G1393" s="53">
        <f t="shared" ca="1" si="1088"/>
        <v>0</v>
      </c>
      <c r="H1393" s="53">
        <f t="shared" ca="1" si="1088"/>
        <v>0</v>
      </c>
      <c r="I1393" s="53">
        <f t="shared" ca="1" si="1088"/>
        <v>0</v>
      </c>
      <c r="J1393" s="53">
        <f t="shared" ca="1" si="1088"/>
        <v>0</v>
      </c>
      <c r="K1393" s="53">
        <f t="shared" ca="1" si="1088"/>
        <v>0</v>
      </c>
    </row>
    <row r="1394" spans="1:13" outlineLevel="1" x14ac:dyDescent="0.2">
      <c r="A1394" t="str">
        <f ca="1">Language!A$769</f>
        <v>Готовая продукция</v>
      </c>
      <c r="C1394" s="5" t="str">
        <f t="shared" ca="1" si="1085"/>
        <v>руб.</v>
      </c>
      <c r="D1394" s="16" t="s">
        <v>384</v>
      </c>
      <c r="F1394" s="53">
        <f t="shared" ref="F1394:K1394" si="1089">F951/IF(CUR_I_Report=2,F$88,1)</f>
        <v>0</v>
      </c>
      <c r="G1394" s="53">
        <f t="shared" si="1089"/>
        <v>0</v>
      </c>
      <c r="H1394" s="53">
        <f t="shared" si="1089"/>
        <v>0</v>
      </c>
      <c r="I1394" s="53">
        <f t="shared" si="1089"/>
        <v>0</v>
      </c>
      <c r="J1394" s="53">
        <f t="shared" si="1089"/>
        <v>0</v>
      </c>
      <c r="K1394" s="53">
        <f t="shared" si="1089"/>
        <v>0</v>
      </c>
    </row>
    <row r="1395" spans="1:13" outlineLevel="1" x14ac:dyDescent="0.2">
      <c r="A1395" t="str">
        <f ca="1">Language!A$770</f>
        <v>Незавершенное производство</v>
      </c>
      <c r="C1395" s="5" t="str">
        <f t="shared" ca="1" si="1085"/>
        <v>руб.</v>
      </c>
      <c r="D1395" s="16" t="s">
        <v>384</v>
      </c>
      <c r="F1395" s="53">
        <f t="shared" ref="F1395:K1395" si="1090">F947/IF(CUR_I_Report=2,F$88,1)</f>
        <v>0</v>
      </c>
      <c r="G1395" s="53">
        <f t="shared" si="1090"/>
        <v>0</v>
      </c>
      <c r="H1395" s="53">
        <f t="shared" si="1090"/>
        <v>0</v>
      </c>
      <c r="I1395" s="53">
        <f t="shared" si="1090"/>
        <v>0</v>
      </c>
      <c r="J1395" s="53">
        <f t="shared" si="1090"/>
        <v>0</v>
      </c>
      <c r="K1395" s="53">
        <f t="shared" si="1090"/>
        <v>0</v>
      </c>
    </row>
    <row r="1396" spans="1:13" outlineLevel="1" x14ac:dyDescent="0.2">
      <c r="A1396" t="str">
        <f ca="1">Language!A$771</f>
        <v>Материалы и комплектующие</v>
      </c>
      <c r="C1396" s="5" t="str">
        <f t="shared" ca="1" si="1085"/>
        <v>руб.</v>
      </c>
      <c r="D1396" s="16" t="s">
        <v>384</v>
      </c>
      <c r="F1396" s="53">
        <f t="shared" ref="F1396:K1396" si="1091">F943/IF(CUR_I_Report=2,F$88,1)</f>
        <v>0</v>
      </c>
      <c r="G1396" s="53">
        <f t="shared" si="1091"/>
        <v>0</v>
      </c>
      <c r="H1396" s="53">
        <f t="shared" si="1091"/>
        <v>0</v>
      </c>
      <c r="I1396" s="53">
        <f t="shared" si="1091"/>
        <v>0</v>
      </c>
      <c r="J1396" s="53">
        <f t="shared" si="1091"/>
        <v>0</v>
      </c>
      <c r="K1396" s="53">
        <f t="shared" si="1091"/>
        <v>0</v>
      </c>
    </row>
    <row r="1397" spans="1:13" outlineLevel="1" x14ac:dyDescent="0.2">
      <c r="A1397" t="str">
        <f ca="1">Language!A$772</f>
        <v>НДС на приобретенные товары</v>
      </c>
      <c r="C1397" s="5" t="str">
        <f t="shared" ca="1" si="1085"/>
        <v>руб.</v>
      </c>
      <c r="D1397" s="16" t="s">
        <v>384</v>
      </c>
      <c r="F1397" s="53">
        <f t="shared" ref="F1397:K1397" ca="1" si="1092">((F128+F131)+MAX(0,$B457-$B467-$B469))/IF(CUR_I_Report=2,F$88,1)</f>
        <v>0</v>
      </c>
      <c r="G1397" s="53">
        <f t="shared" ca="1" si="1092"/>
        <v>0</v>
      </c>
      <c r="H1397" s="53">
        <f t="shared" ca="1" si="1092"/>
        <v>0</v>
      </c>
      <c r="I1397" s="53">
        <f t="shared" ca="1" si="1092"/>
        <v>0</v>
      </c>
      <c r="J1397" s="53">
        <f t="shared" ca="1" si="1092"/>
        <v>0</v>
      </c>
      <c r="K1397" s="53">
        <f t="shared" ca="1" si="1092"/>
        <v>0</v>
      </c>
    </row>
    <row r="1398" spans="1:13" outlineLevel="1" x14ac:dyDescent="0.2">
      <c r="A1398" t="str">
        <f ca="1">Language!A$773</f>
        <v>Расходы будущих периодов</v>
      </c>
      <c r="C1398" s="5" t="str">
        <f t="shared" ca="1" si="1085"/>
        <v>руб.</v>
      </c>
      <c r="D1398" s="16" t="s">
        <v>384</v>
      </c>
      <c r="F1398" s="53">
        <f t="shared" ref="F1398:K1398" ca="1" si="1093">(F537+F267)/IF(CUR_I_Report=2,F$88,1)</f>
        <v>0</v>
      </c>
      <c r="G1398" s="53">
        <f t="shared" ca="1" si="1093"/>
        <v>0</v>
      </c>
      <c r="H1398" s="53">
        <f t="shared" ca="1" si="1093"/>
        <v>0</v>
      </c>
      <c r="I1398" s="53">
        <f t="shared" ca="1" si="1093"/>
        <v>0</v>
      </c>
      <c r="J1398" s="53">
        <f t="shared" ca="1" si="1093"/>
        <v>0</v>
      </c>
      <c r="K1398" s="53">
        <f t="shared" ca="1" si="1093"/>
        <v>0</v>
      </c>
      <c r="M1398"/>
    </row>
    <row r="1399" spans="1:13" outlineLevel="1" x14ac:dyDescent="0.2">
      <c r="A1399" t="str">
        <f ca="1">Language!A$774</f>
        <v>Прочие оборотные активы</v>
      </c>
      <c r="C1399" s="5" t="str">
        <f t="shared" ca="1" si="1085"/>
        <v>руб.</v>
      </c>
      <c r="D1399" s="16" t="s">
        <v>384</v>
      </c>
      <c r="F1399" s="43">
        <f>F58*IF(B37=1,1,F$88)/IF(CUR_I_Report=2,F$88,1)</f>
        <v>0</v>
      </c>
      <c r="G1399" s="43">
        <f t="shared" ref="G1399:K1399" si="1094">F1399</f>
        <v>0</v>
      </c>
      <c r="H1399" s="43">
        <f t="shared" si="1094"/>
        <v>0</v>
      </c>
      <c r="I1399" s="43">
        <f t="shared" si="1094"/>
        <v>0</v>
      </c>
      <c r="J1399" s="43">
        <f t="shared" si="1094"/>
        <v>0</v>
      </c>
      <c r="K1399" s="43">
        <f t="shared" si="1094"/>
        <v>0</v>
      </c>
      <c r="M1399"/>
    </row>
    <row r="1400" spans="1:13" outlineLevel="1" x14ac:dyDescent="0.2">
      <c r="A1400" s="35" t="str">
        <f ca="1">Language!A$775</f>
        <v>Суммарные оборотные активы</v>
      </c>
      <c r="C1400" s="5" t="str">
        <f t="shared" ca="1" si="1085"/>
        <v>руб.</v>
      </c>
      <c r="D1400" s="16" t="s">
        <v>384</v>
      </c>
      <c r="F1400" s="58">
        <f t="shared" ref="F1400:J1400" ca="1" si="1095">SUM(F1391:F1399)</f>
        <v>19955000</v>
      </c>
      <c r="G1400" s="58">
        <f t="shared" ca="1" si="1095"/>
        <v>86841700</v>
      </c>
      <c r="H1400" s="58">
        <f t="shared" ca="1" si="1095"/>
        <v>185238799.99999997</v>
      </c>
      <c r="I1400" s="58">
        <f t="shared" ca="1" si="1095"/>
        <v>276276700</v>
      </c>
      <c r="J1400" s="58">
        <f t="shared" ca="1" si="1095"/>
        <v>367915200</v>
      </c>
      <c r="K1400" s="58">
        <f t="shared" ref="K1400" ca="1" si="1096">SUM(K1391:K1399)</f>
        <v>459553700</v>
      </c>
      <c r="M1400"/>
    </row>
    <row r="1401" spans="1:13" outlineLevel="1" x14ac:dyDescent="0.2">
      <c r="F1401" s="43"/>
      <c r="G1401" s="43"/>
      <c r="H1401" s="43"/>
      <c r="I1401" s="43"/>
      <c r="J1401" s="43"/>
      <c r="K1401" s="43"/>
      <c r="M1401"/>
    </row>
    <row r="1402" spans="1:13" outlineLevel="1" x14ac:dyDescent="0.2">
      <c r="A1402" t="str">
        <f ca="1">Language!A$776</f>
        <v>Внеоборотные активы</v>
      </c>
      <c r="C1402" s="5" t="str">
        <f t="shared" ref="C1402:C1409" ca="1" si="1097">CUR_Report</f>
        <v>руб.</v>
      </c>
      <c r="D1402" s="16" t="s">
        <v>384</v>
      </c>
      <c r="F1402" s="53">
        <f t="shared" ref="F1402:J1402" ca="1" si="1098">SUM(F1403:F1406)</f>
        <v>0</v>
      </c>
      <c r="G1402" s="53">
        <f t="shared" ca="1" si="1098"/>
        <v>0</v>
      </c>
      <c r="H1402" s="53">
        <f t="shared" ca="1" si="1098"/>
        <v>0</v>
      </c>
      <c r="I1402" s="53">
        <f t="shared" ca="1" si="1098"/>
        <v>1180000</v>
      </c>
      <c r="J1402" s="53">
        <f t="shared" ca="1" si="1098"/>
        <v>1160000</v>
      </c>
      <c r="K1402" s="53">
        <f t="shared" ref="K1402" ca="1" si="1099">SUM(K1403:K1406)</f>
        <v>1418833.3333333333</v>
      </c>
      <c r="M1402"/>
    </row>
    <row r="1403" spans="1:13" outlineLevel="1" x14ac:dyDescent="0.2">
      <c r="A1403" t="str">
        <f ca="1">Language!A$777</f>
        <v xml:space="preserve">    земельные участки</v>
      </c>
      <c r="C1403" s="5" t="str">
        <f t="shared" ca="1" si="1097"/>
        <v>руб.</v>
      </c>
      <c r="D1403" s="16" t="s">
        <v>384</v>
      </c>
      <c r="F1403" s="53">
        <f t="shared" ref="F1403:K1403" ca="1" si="1100">(F478+F234)/IF(CUR_I_Report=2,F$88,1)</f>
        <v>0</v>
      </c>
      <c r="G1403" s="53">
        <f t="shared" ca="1" si="1100"/>
        <v>0</v>
      </c>
      <c r="H1403" s="53">
        <f t="shared" ca="1" si="1100"/>
        <v>0</v>
      </c>
      <c r="I1403" s="53">
        <f t="shared" ca="1" si="1100"/>
        <v>0</v>
      </c>
      <c r="J1403" s="53">
        <f t="shared" ca="1" si="1100"/>
        <v>0</v>
      </c>
      <c r="K1403" s="53">
        <f t="shared" ca="1" si="1100"/>
        <v>0</v>
      </c>
      <c r="M1403"/>
    </row>
    <row r="1404" spans="1:13" outlineLevel="1" x14ac:dyDescent="0.2">
      <c r="A1404" t="str">
        <f ca="1">Language!A$778</f>
        <v xml:space="preserve">    здания и сооружения</v>
      </c>
      <c r="C1404" s="5" t="str">
        <f t="shared" ca="1" si="1097"/>
        <v>руб.</v>
      </c>
      <c r="D1404" s="16" t="s">
        <v>384</v>
      </c>
      <c r="F1404" s="53">
        <f t="shared" ref="F1404:K1404" ca="1" si="1101">(F488+F240)/IF(CUR_I_Report=2,F$88,1)</f>
        <v>0</v>
      </c>
      <c r="G1404" s="53">
        <f t="shared" ca="1" si="1101"/>
        <v>0</v>
      </c>
      <c r="H1404" s="53">
        <f t="shared" ca="1" si="1101"/>
        <v>0</v>
      </c>
      <c r="I1404" s="53">
        <f t="shared" ca="1" si="1101"/>
        <v>0</v>
      </c>
      <c r="J1404" s="53">
        <f t="shared" ca="1" si="1101"/>
        <v>0</v>
      </c>
      <c r="K1404" s="53">
        <f t="shared" ca="1" si="1101"/>
        <v>278833.33333333331</v>
      </c>
      <c r="M1404"/>
    </row>
    <row r="1405" spans="1:13" outlineLevel="1" x14ac:dyDescent="0.2">
      <c r="A1405" t="str">
        <f ca="1">Language!A$780</f>
        <v xml:space="preserve">    оборудование и прочие активы</v>
      </c>
      <c r="C1405" s="5" t="str">
        <f ca="1">CUR_Report</f>
        <v>руб.</v>
      </c>
      <c r="D1405" s="16" t="s">
        <v>384</v>
      </c>
      <c r="F1405" s="53">
        <f t="shared" ref="F1405:K1405" ca="1" si="1102">(F501+F258+F579)/IF(CUR_I_Report=2,F$88,1)</f>
        <v>0</v>
      </c>
      <c r="G1405" s="53">
        <f t="shared" ca="1" si="1102"/>
        <v>0</v>
      </c>
      <c r="H1405" s="53">
        <f t="shared" ca="1" si="1102"/>
        <v>0</v>
      </c>
      <c r="I1405" s="53">
        <f t="shared" ca="1" si="1102"/>
        <v>1180000</v>
      </c>
      <c r="J1405" s="53">
        <f t="shared" ca="1" si="1102"/>
        <v>1160000</v>
      </c>
      <c r="K1405" s="53">
        <f t="shared" ca="1" si="1102"/>
        <v>1140000</v>
      </c>
      <c r="M1405"/>
    </row>
    <row r="1406" spans="1:13" outlineLevel="1" x14ac:dyDescent="0.2">
      <c r="A1406" t="str">
        <f ca="1">Language!A$779</f>
        <v xml:space="preserve">    нематериальные активы</v>
      </c>
      <c r="C1406" s="5" t="str">
        <f t="shared" ca="1" si="1097"/>
        <v>руб.</v>
      </c>
      <c r="D1406" s="16" t="s">
        <v>384</v>
      </c>
      <c r="F1406" s="53">
        <f t="shared" ref="F1406:K1406" ca="1" si="1103">(F514+F249)/IF(CUR_I_Report=2,F$88,1)</f>
        <v>0</v>
      </c>
      <c r="G1406" s="53">
        <f t="shared" ca="1" si="1103"/>
        <v>0</v>
      </c>
      <c r="H1406" s="53">
        <f t="shared" ca="1" si="1103"/>
        <v>0</v>
      </c>
      <c r="I1406" s="53">
        <f t="shared" ca="1" si="1103"/>
        <v>0</v>
      </c>
      <c r="J1406" s="53">
        <f t="shared" ca="1" si="1103"/>
        <v>0</v>
      </c>
      <c r="K1406" s="53">
        <f t="shared" ca="1" si="1103"/>
        <v>0</v>
      </c>
      <c r="M1406"/>
    </row>
    <row r="1407" spans="1:13" outlineLevel="1" x14ac:dyDescent="0.2">
      <c r="A1407" t="str">
        <f ca="1">Language!A$781</f>
        <v>Финансовые вложения</v>
      </c>
      <c r="C1407" s="5" t="str">
        <f t="shared" ca="1" si="1097"/>
        <v>руб.</v>
      </c>
      <c r="D1407" s="16" t="s">
        <v>384</v>
      </c>
      <c r="F1407" s="53">
        <f t="shared" ref="F1407:K1407" ca="1" si="1104">(F522+F273)/IF(CUR_I_Report=2,F$88,1)</f>
        <v>0</v>
      </c>
      <c r="G1407" s="53">
        <f t="shared" ca="1" si="1104"/>
        <v>0</v>
      </c>
      <c r="H1407" s="53">
        <f t="shared" ca="1" si="1104"/>
        <v>0</v>
      </c>
      <c r="I1407" s="53">
        <f t="shared" ca="1" si="1104"/>
        <v>0</v>
      </c>
      <c r="J1407" s="53">
        <f t="shared" ca="1" si="1104"/>
        <v>0</v>
      </c>
      <c r="K1407" s="53">
        <f t="shared" ca="1" si="1104"/>
        <v>0</v>
      </c>
      <c r="M1407"/>
    </row>
    <row r="1408" spans="1:13" outlineLevel="1" x14ac:dyDescent="0.2">
      <c r="A1408" t="str">
        <f ca="1">Language!A$782</f>
        <v>Незавершенные капиталовложения</v>
      </c>
      <c r="C1408" s="5" t="str">
        <f t="shared" ca="1" si="1097"/>
        <v>руб.</v>
      </c>
      <c r="D1408" s="16" t="s">
        <v>384</v>
      </c>
      <c r="F1408" s="53">
        <f t="shared" ref="F1408:K1408" ca="1" si="1105">((F484+F476+F511+F498)+MAX(0,$B456-$B462))/IF(CUR_I_Report=2,F$88,1)</f>
        <v>540000</v>
      </c>
      <c r="G1408" s="53">
        <f t="shared" ca="1" si="1105"/>
        <v>580000</v>
      </c>
      <c r="H1408" s="53">
        <f t="shared" ca="1" si="1105"/>
        <v>630000</v>
      </c>
      <c r="I1408" s="53">
        <f t="shared" ca="1" si="1105"/>
        <v>180000</v>
      </c>
      <c r="J1408" s="53">
        <f t="shared" ca="1" si="1105"/>
        <v>230000</v>
      </c>
      <c r="K1408" s="53">
        <f t="shared" ca="1" si="1105"/>
        <v>0</v>
      </c>
      <c r="M1408"/>
    </row>
    <row r="1409" spans="1:13" outlineLevel="1" x14ac:dyDescent="0.2">
      <c r="A1409" s="35" t="str">
        <f ca="1">Language!A$783</f>
        <v>Суммарные внеоборотные активы</v>
      </c>
      <c r="C1409" s="5" t="str">
        <f t="shared" ca="1" si="1097"/>
        <v>руб.</v>
      </c>
      <c r="D1409" s="16" t="s">
        <v>384</v>
      </c>
      <c r="F1409" s="58">
        <f t="shared" ref="F1409:J1409" ca="1" si="1106">F1402+F1407+F1408</f>
        <v>540000</v>
      </c>
      <c r="G1409" s="58">
        <f t="shared" ca="1" si="1106"/>
        <v>580000</v>
      </c>
      <c r="H1409" s="58">
        <f t="shared" ca="1" si="1106"/>
        <v>630000</v>
      </c>
      <c r="I1409" s="58">
        <f t="shared" ca="1" si="1106"/>
        <v>1360000</v>
      </c>
      <c r="J1409" s="58">
        <f t="shared" ca="1" si="1106"/>
        <v>1390000</v>
      </c>
      <c r="K1409" s="58">
        <f t="shared" ref="K1409" ca="1" si="1107">K1402+K1407+K1408</f>
        <v>1418833.3333333333</v>
      </c>
      <c r="M1409"/>
    </row>
    <row r="1410" spans="1:13" outlineLevel="1" x14ac:dyDescent="0.2">
      <c r="F1410" s="43"/>
      <c r="G1410" s="43"/>
      <c r="H1410" s="43"/>
      <c r="I1410" s="43"/>
      <c r="J1410" s="43"/>
      <c r="K1410" s="43"/>
      <c r="M1410"/>
    </row>
    <row r="1411" spans="1:13" outlineLevel="1" x14ac:dyDescent="0.2">
      <c r="A1411" s="35" t="str">
        <f ca="1">Language!A$784</f>
        <v xml:space="preserve"> = ИТОГО АКТИВОВ</v>
      </c>
      <c r="C1411" s="5" t="str">
        <f ca="1">CUR_Report</f>
        <v>руб.</v>
      </c>
      <c r="D1411" s="16" t="s">
        <v>384</v>
      </c>
      <c r="F1411" s="58">
        <f t="shared" ref="F1411:J1411" ca="1" si="1108">F1400+F1409</f>
        <v>20495000</v>
      </c>
      <c r="G1411" s="58">
        <f t="shared" ca="1" si="1108"/>
        <v>87421700</v>
      </c>
      <c r="H1411" s="58">
        <f t="shared" ca="1" si="1108"/>
        <v>185868799.99999997</v>
      </c>
      <c r="I1411" s="58">
        <f t="shared" ca="1" si="1108"/>
        <v>277636700</v>
      </c>
      <c r="J1411" s="58">
        <f t="shared" ca="1" si="1108"/>
        <v>369305200</v>
      </c>
      <c r="K1411" s="58">
        <f t="shared" ref="K1411" ca="1" si="1109">K1400+K1409</f>
        <v>460972533.33333331</v>
      </c>
      <c r="M1411"/>
    </row>
    <row r="1412" spans="1:13" outlineLevel="1" x14ac:dyDescent="0.2">
      <c r="F1412" s="43"/>
      <c r="G1412" s="43"/>
      <c r="H1412" s="43"/>
      <c r="I1412" s="43"/>
      <c r="J1412" s="43"/>
      <c r="K1412" s="43"/>
      <c r="M1412"/>
    </row>
    <row r="1413" spans="1:13" outlineLevel="1" x14ac:dyDescent="0.2">
      <c r="A1413" t="str">
        <f ca="1">Language!A$785</f>
        <v>Кредиторская задолженность</v>
      </c>
      <c r="C1413" s="5" t="str">
        <f t="shared" ref="C1413:C1423" ca="1" si="1110">CUR_Report</f>
        <v>руб.</v>
      </c>
      <c r="D1413" s="16" t="s">
        <v>384</v>
      </c>
      <c r="F1413" s="43">
        <f t="shared" ref="F1413:J1413" ca="1" si="1111">F1414+F1415</f>
        <v>0</v>
      </c>
      <c r="G1413" s="43">
        <f t="shared" ca="1" si="1111"/>
        <v>0</v>
      </c>
      <c r="H1413" s="43">
        <f t="shared" ca="1" si="1111"/>
        <v>0</v>
      </c>
      <c r="I1413" s="43">
        <f t="shared" ca="1" si="1111"/>
        <v>0</v>
      </c>
      <c r="J1413" s="43">
        <f t="shared" ca="1" si="1111"/>
        <v>0</v>
      </c>
      <c r="K1413" s="43">
        <f t="shared" ref="K1413" ca="1" si="1112">K1414+K1415</f>
        <v>0</v>
      </c>
      <c r="M1413"/>
    </row>
    <row r="1414" spans="1:13" outlineLevel="1" x14ac:dyDescent="0.2">
      <c r="A1414" t="str">
        <f ca="1">Language!A$786</f>
        <v xml:space="preserve">    за поставленные товары</v>
      </c>
      <c r="C1414" s="5" t="str">
        <f t="shared" ca="1" si="1110"/>
        <v>руб.</v>
      </c>
      <c r="D1414" s="16" t="s">
        <v>384</v>
      </c>
      <c r="F1414" s="53">
        <f t="shared" ref="F1414:K1414" si="1113">F973/IF(CUR_I_Report=2,F$88,1)</f>
        <v>0</v>
      </c>
      <c r="G1414" s="53">
        <f t="shared" si="1113"/>
        <v>0</v>
      </c>
      <c r="H1414" s="53">
        <f t="shared" si="1113"/>
        <v>0</v>
      </c>
      <c r="I1414" s="53">
        <f t="shared" si="1113"/>
        <v>0</v>
      </c>
      <c r="J1414" s="53">
        <f t="shared" si="1113"/>
        <v>0</v>
      </c>
      <c r="K1414" s="53">
        <f t="shared" si="1113"/>
        <v>0</v>
      </c>
      <c r="M1414"/>
    </row>
    <row r="1415" spans="1:13" outlineLevel="1" x14ac:dyDescent="0.2">
      <c r="A1415" t="str">
        <f ca="1">Language!A$787</f>
        <v xml:space="preserve">    за внеоборотные активы</v>
      </c>
      <c r="C1415" s="5" t="str">
        <f t="shared" ca="1" si="1110"/>
        <v>руб.</v>
      </c>
      <c r="D1415" s="16" t="s">
        <v>384</v>
      </c>
      <c r="F1415" s="53">
        <f t="shared" ref="F1415:K1415" ca="1" si="1114">(F486+F477+F512+F525+F499+F535+MAX(-F575,0))/IF(CUR_I_Report=2,F$88,1)</f>
        <v>0</v>
      </c>
      <c r="G1415" s="53">
        <f t="shared" ca="1" si="1114"/>
        <v>0</v>
      </c>
      <c r="H1415" s="53">
        <f t="shared" ca="1" si="1114"/>
        <v>0</v>
      </c>
      <c r="I1415" s="53">
        <f t="shared" ca="1" si="1114"/>
        <v>0</v>
      </c>
      <c r="J1415" s="53">
        <f t="shared" ca="1" si="1114"/>
        <v>0</v>
      </c>
      <c r="K1415" s="53">
        <f t="shared" ca="1" si="1114"/>
        <v>0</v>
      </c>
      <c r="M1415"/>
    </row>
    <row r="1416" spans="1:13" outlineLevel="1" x14ac:dyDescent="0.2">
      <c r="A1416" t="str">
        <f ca="1">Language!A$788</f>
        <v>Расчеты с бюджетом</v>
      </c>
      <c r="C1416" s="5" t="str">
        <f t="shared" ca="1" si="1110"/>
        <v>руб.</v>
      </c>
      <c r="D1416" s="16" t="s">
        <v>384</v>
      </c>
      <c r="F1416" s="53">
        <f t="shared" ref="F1416:K1416" ca="1" si="1115">F980/IF(CUR_I_Report=2,F$88,1)</f>
        <v>6742500</v>
      </c>
      <c r="G1416" s="53">
        <f t="shared" ca="1" si="1115"/>
        <v>15441300</v>
      </c>
      <c r="H1416" s="53">
        <f t="shared" ca="1" si="1115"/>
        <v>21980100</v>
      </c>
      <c r="I1416" s="53">
        <f t="shared" ca="1" si="1115"/>
        <v>22009500</v>
      </c>
      <c r="J1416" s="53">
        <f t="shared" ca="1" si="1115"/>
        <v>22009500</v>
      </c>
      <c r="K1416" s="53">
        <f t="shared" ca="1" si="1115"/>
        <v>22009500</v>
      </c>
      <c r="M1416"/>
    </row>
    <row r="1417" spans="1:13" outlineLevel="1" x14ac:dyDescent="0.2">
      <c r="A1417" t="str">
        <f ca="1">Language!A$789</f>
        <v>Расчеты с персоналом</v>
      </c>
      <c r="C1417" s="5" t="str">
        <f t="shared" ca="1" si="1110"/>
        <v>руб.</v>
      </c>
      <c r="D1417" s="16" t="s">
        <v>384</v>
      </c>
      <c r="F1417" s="53">
        <f t="shared" ref="F1417:K1417" si="1116">F988/IF(CUR_I_Report=2,F$88,1)</f>
        <v>625000</v>
      </c>
      <c r="G1417" s="53">
        <f t="shared" si="1116"/>
        <v>765000</v>
      </c>
      <c r="H1417" s="53">
        <f t="shared" si="1116"/>
        <v>905000</v>
      </c>
      <c r="I1417" s="53">
        <f t="shared" si="1116"/>
        <v>975000</v>
      </c>
      <c r="J1417" s="53">
        <f t="shared" si="1116"/>
        <v>975000</v>
      </c>
      <c r="K1417" s="53">
        <f t="shared" si="1116"/>
        <v>975000</v>
      </c>
      <c r="M1417"/>
    </row>
    <row r="1418" spans="1:13" outlineLevel="1" x14ac:dyDescent="0.2">
      <c r="A1418" t="str">
        <f ca="1">Language!A$790</f>
        <v>Авансы покупателей</v>
      </c>
      <c r="C1418" s="5" t="str">
        <f t="shared" ca="1" si="1110"/>
        <v>руб.</v>
      </c>
      <c r="D1418" s="16" t="s">
        <v>384</v>
      </c>
      <c r="F1418" s="84">
        <f t="shared" ref="F1418:K1418" si="1117">(F966+F965/(1+VAT))/IF(CUR_I_Report=2,F$88,1)</f>
        <v>0</v>
      </c>
      <c r="G1418" s="84">
        <f t="shared" si="1117"/>
        <v>0</v>
      </c>
      <c r="H1418" s="84">
        <f t="shared" si="1117"/>
        <v>0</v>
      </c>
      <c r="I1418" s="84">
        <f t="shared" si="1117"/>
        <v>0</v>
      </c>
      <c r="J1418" s="84">
        <f t="shared" si="1117"/>
        <v>0</v>
      </c>
      <c r="K1418" s="84">
        <f t="shared" si="1117"/>
        <v>0</v>
      </c>
      <c r="M1418"/>
    </row>
    <row r="1419" spans="1:13" outlineLevel="1" x14ac:dyDescent="0.2">
      <c r="A1419" t="str">
        <f ca="1">Language!A$791</f>
        <v>Краткосрочные кредиты</v>
      </c>
      <c r="C1419" s="5" t="str">
        <f t="shared" ca="1" si="1110"/>
        <v>руб.</v>
      </c>
      <c r="D1419" s="16" t="s">
        <v>384</v>
      </c>
      <c r="F1419" s="53">
        <f t="shared" ref="F1419:J1419" si="1118">F1061/IF(CUR_I_Report=2,F$88,1)</f>
        <v>0</v>
      </c>
      <c r="G1419" s="53">
        <f t="shared" si="1118"/>
        <v>0</v>
      </c>
      <c r="H1419" s="53">
        <f t="shared" si="1118"/>
        <v>0</v>
      </c>
      <c r="I1419" s="53">
        <f t="shared" si="1118"/>
        <v>0</v>
      </c>
      <c r="J1419" s="53">
        <f t="shared" si="1118"/>
        <v>0</v>
      </c>
      <c r="K1419" s="53">
        <f t="shared" ref="K1419" si="1119">K1061/IF(CUR_I_Report=2,K$88,1)</f>
        <v>0</v>
      </c>
      <c r="M1419"/>
    </row>
    <row r="1420" spans="1:13" outlineLevel="1" x14ac:dyDescent="0.2">
      <c r="A1420" t="str">
        <f ca="1">Language!A$792</f>
        <v>Прочие краткосрочные обязательства</v>
      </c>
      <c r="C1420" s="5" t="str">
        <f t="shared" ca="1" si="1110"/>
        <v>руб.</v>
      </c>
      <c r="D1420" s="16" t="s">
        <v>384</v>
      </c>
      <c r="F1420" s="43">
        <f>F69*IF(B37=1,1,F$88)/IF(CUR_I_Report=2,F$88,1)</f>
        <v>0</v>
      </c>
      <c r="G1420" s="43">
        <f t="shared" ref="G1420:K1420" si="1120">F1420</f>
        <v>0</v>
      </c>
      <c r="H1420" s="43">
        <f t="shared" si="1120"/>
        <v>0</v>
      </c>
      <c r="I1420" s="43">
        <f t="shared" si="1120"/>
        <v>0</v>
      </c>
      <c r="J1420" s="43">
        <f t="shared" si="1120"/>
        <v>0</v>
      </c>
      <c r="K1420" s="43">
        <f t="shared" si="1120"/>
        <v>0</v>
      </c>
      <c r="M1420"/>
    </row>
    <row r="1421" spans="1:13" outlineLevel="1" x14ac:dyDescent="0.2">
      <c r="A1421" s="35" t="str">
        <f ca="1">Language!A$793</f>
        <v>Суммарные краткосрочные обязательства</v>
      </c>
      <c r="C1421" s="5" t="str">
        <f t="shared" ca="1" si="1110"/>
        <v>руб.</v>
      </c>
      <c r="D1421" s="16" t="s">
        <v>384</v>
      </c>
      <c r="F1421" s="58">
        <f t="shared" ref="F1421:J1421" ca="1" si="1121">F1413+SUM(F1416:F1420)</f>
        <v>7367500</v>
      </c>
      <c r="G1421" s="58">
        <f t="shared" ca="1" si="1121"/>
        <v>16206300</v>
      </c>
      <c r="H1421" s="58">
        <f t="shared" ca="1" si="1121"/>
        <v>22885100</v>
      </c>
      <c r="I1421" s="58">
        <f t="shared" ca="1" si="1121"/>
        <v>22984500</v>
      </c>
      <c r="J1421" s="58">
        <f t="shared" ca="1" si="1121"/>
        <v>22984500</v>
      </c>
      <c r="K1421" s="58">
        <f t="shared" ref="K1421" ca="1" si="1122">K1413+SUM(K1416:K1420)</f>
        <v>22984500</v>
      </c>
      <c r="M1421"/>
    </row>
    <row r="1422" spans="1:13" outlineLevel="1" x14ac:dyDescent="0.2">
      <c r="C1422" s="5" t="str">
        <f t="shared" ca="1" si="1110"/>
        <v>руб.</v>
      </c>
      <c r="D1422" s="16" t="s">
        <v>384</v>
      </c>
      <c r="F1422" s="43"/>
      <c r="G1422" s="43"/>
      <c r="H1422" s="43"/>
      <c r="I1422" s="43"/>
      <c r="J1422" s="43"/>
      <c r="K1422" s="43"/>
      <c r="M1422"/>
    </row>
    <row r="1423" spans="1:13" outlineLevel="1" x14ac:dyDescent="0.2">
      <c r="A1423" s="35" t="str">
        <f ca="1">Language!A$794</f>
        <v>Долгосрочные обязательства</v>
      </c>
      <c r="C1423" s="5" t="str">
        <f t="shared" ca="1" si="1110"/>
        <v>руб.</v>
      </c>
      <c r="D1423" s="16" t="s">
        <v>384</v>
      </c>
      <c r="F1423" s="56">
        <f t="shared" ref="F1423:J1423" si="1123">F1062/IF(CUR_I_Report=2,F$88,1)</f>
        <v>0</v>
      </c>
      <c r="G1423" s="56">
        <f t="shared" si="1123"/>
        <v>0</v>
      </c>
      <c r="H1423" s="56">
        <f t="shared" si="1123"/>
        <v>0</v>
      </c>
      <c r="I1423" s="56">
        <f t="shared" si="1123"/>
        <v>0</v>
      </c>
      <c r="J1423" s="56">
        <f t="shared" si="1123"/>
        <v>0</v>
      </c>
      <c r="K1423" s="56">
        <f t="shared" ref="K1423" si="1124">K1062/IF(CUR_I_Report=2,K$88,1)</f>
        <v>0</v>
      </c>
      <c r="M1423"/>
    </row>
    <row r="1424" spans="1:13" outlineLevel="1" x14ac:dyDescent="0.2">
      <c r="F1424" s="43"/>
      <c r="G1424" s="43"/>
      <c r="H1424" s="43"/>
      <c r="I1424" s="43"/>
      <c r="J1424" s="43"/>
      <c r="K1424" s="43"/>
      <c r="M1424"/>
    </row>
    <row r="1425" spans="1:13" outlineLevel="1" x14ac:dyDescent="0.2">
      <c r="A1425" t="str">
        <f ca="1">Language!A$795</f>
        <v>Средства собственников</v>
      </c>
      <c r="C1425" s="5" t="str">
        <f ca="1">CUR_Report</f>
        <v>руб.</v>
      </c>
      <c r="D1425" s="16" t="s">
        <v>384</v>
      </c>
      <c r="F1425" s="53">
        <f>(SUM($E1007:F1007)+SUM($E1016:F1016))/IF(CUR_I_Report=2,F$88,1)+$F61*IF($B37=1,1,F$88)/IF(CUR_I_Report=2,F$88,1)</f>
        <v>0</v>
      </c>
      <c r="G1425" s="53">
        <f>(SUM($E1007:G1007)+SUM($E1016:G1016))/IF(CUR_I_Report=2,G$88,1)+$F61*IF($B37=1,1,G$88)/IF(CUR_I_Report=2,G$88,1)</f>
        <v>0</v>
      </c>
      <c r="H1425" s="53">
        <f>(SUM($E1007:H1007)+SUM($E1016:H1016))/IF(CUR_I_Report=2,H$88,1)+$F61*IF($B37=1,1,H$88)/IF(CUR_I_Report=2,H$88,1)</f>
        <v>0</v>
      </c>
      <c r="I1425" s="53">
        <f>(SUM($E1007:I1007)+SUM($E1016:I1016))/IF(CUR_I_Report=2,I$88,1)+$F61*IF($B37=1,1,I$88)/IF(CUR_I_Report=2,I$88,1)</f>
        <v>0</v>
      </c>
      <c r="J1425" s="53">
        <f>(SUM($E1007:J1007)+SUM($E1016:J1016))/IF(CUR_I_Report=2,J$88,1)+$F61*IF($B37=1,1,J$88)/IF(CUR_I_Report=2,J$88,1)</f>
        <v>0</v>
      </c>
      <c r="K1425" s="53">
        <f>(SUM($E1007:K1007)+SUM($E1016:K1016))/IF(CUR_I_Report=2,K$88,1)+$F61*IF($B37=1,1,K$88)/IF(CUR_I_Report=2,K$88,1)</f>
        <v>0</v>
      </c>
      <c r="M1425"/>
    </row>
    <row r="1426" spans="1:13" outlineLevel="1" x14ac:dyDescent="0.2">
      <c r="A1426" t="str">
        <f ca="1">Language!A$796</f>
        <v>Нераспределенная прибыль</v>
      </c>
      <c r="C1426" s="5" t="str">
        <f ca="1">CUR_Report</f>
        <v>руб.</v>
      </c>
      <c r="D1426" s="16" t="s">
        <v>384</v>
      </c>
      <c r="F1426" s="43">
        <f t="shared" ref="F1426:J1426" ca="1" si="1125">F1221</f>
        <v>13127500</v>
      </c>
      <c r="G1426" s="43">
        <f t="shared" ca="1" si="1125"/>
        <v>71215400</v>
      </c>
      <c r="H1426" s="43">
        <f t="shared" ca="1" si="1125"/>
        <v>162983700</v>
      </c>
      <c r="I1426" s="43">
        <f t="shared" ca="1" si="1125"/>
        <v>254652200</v>
      </c>
      <c r="J1426" s="43">
        <f t="shared" ca="1" si="1125"/>
        <v>346320700</v>
      </c>
      <c r="K1426" s="43">
        <f t="shared" ref="K1426" ca="1" si="1126">K1221</f>
        <v>437988033.33333331</v>
      </c>
      <c r="M1426"/>
    </row>
    <row r="1427" spans="1:13" outlineLevel="1" x14ac:dyDescent="0.2">
      <c r="A1427" t="str">
        <f ca="1">Language!A$797</f>
        <v>Прочие источники финансирования</v>
      </c>
      <c r="C1427" s="5" t="str">
        <f ca="1">CUR_Report</f>
        <v>руб.</v>
      </c>
      <c r="D1427" s="16" t="s">
        <v>384</v>
      </c>
      <c r="F1427" s="84">
        <f>(SUM($E1019:F1019)+SUM($E1021:F1021)+MAX(0,$B462-$B456)+MAX(0,$B467+$B469-$B457))/IF(CUR_I_Report=2,F$88,1)+$F63*IF($B37=1,1,F$88)/IF(CUR_I_Report=2,F$88,1)</f>
        <v>0</v>
      </c>
      <c r="G1427" s="84">
        <f>(SUM($E1019:G1019)+SUM($E1021:G1021)+MAX(0,$B462-$B456)+MAX(0,$B467+$B469-$B457))/IF(CUR_I_Report=2,G$88,1)+$F63*IF($B37=1,1,G$88)/IF(CUR_I_Report=2,G$88,1)</f>
        <v>0</v>
      </c>
      <c r="H1427" s="84">
        <f>(SUM($E1019:H1019)+SUM($E1021:H1021)+MAX(0,$B462-$B456)+MAX(0,$B467+$B469-$B457))/IF(CUR_I_Report=2,H$88,1)+$F63*IF($B37=1,1,H$88)/IF(CUR_I_Report=2,H$88,1)</f>
        <v>0</v>
      </c>
      <c r="I1427" s="84">
        <f>(SUM($E1019:I1019)+SUM($E1021:I1021)+MAX(0,$B462-$B456)+MAX(0,$B467+$B469-$B457))/IF(CUR_I_Report=2,I$88,1)+$F63*IF($B37=1,1,I$88)/IF(CUR_I_Report=2,I$88,1)</f>
        <v>0</v>
      </c>
      <c r="J1427" s="84">
        <f>(SUM($E1019:J1019)+SUM($E1021:J1021)+MAX(0,$B462-$B456)+MAX(0,$B467+$B469-$B457))/IF(CUR_I_Report=2,J$88,1)+$F63*IF($B37=1,1,J$88)/IF(CUR_I_Report=2,J$88,1)</f>
        <v>0</v>
      </c>
      <c r="K1427" s="84">
        <f>(SUM($E1019:K1019)+SUM($E1021:K1021)+MAX(0,$B462-$B456)+MAX(0,$B467+$B469-$B457))/IF(CUR_I_Report=2,K$88,1)+$F63*IF($B37=1,1,K$88)/IF(CUR_I_Report=2,K$88,1)</f>
        <v>0</v>
      </c>
      <c r="M1427"/>
    </row>
    <row r="1428" spans="1:13" outlineLevel="1" x14ac:dyDescent="0.2">
      <c r="A1428" s="35" t="str">
        <f ca="1">Language!A$798</f>
        <v>Суммарный собственный капитал</v>
      </c>
      <c r="C1428" s="5" t="str">
        <f ca="1">CUR_Report</f>
        <v>руб.</v>
      </c>
      <c r="D1428" s="16" t="s">
        <v>384</v>
      </c>
      <c r="F1428" s="58">
        <f t="shared" ref="F1428:J1428" ca="1" si="1127">SUM(F1425:F1427)</f>
        <v>13127500</v>
      </c>
      <c r="G1428" s="58">
        <f t="shared" ca="1" si="1127"/>
        <v>71215400</v>
      </c>
      <c r="H1428" s="58">
        <f t="shared" ca="1" si="1127"/>
        <v>162983700</v>
      </c>
      <c r="I1428" s="58">
        <f t="shared" ca="1" si="1127"/>
        <v>254652200</v>
      </c>
      <c r="J1428" s="58">
        <f t="shared" ca="1" si="1127"/>
        <v>346320700</v>
      </c>
      <c r="K1428" s="58">
        <f t="shared" ref="K1428" ca="1" si="1128">SUM(K1425:K1427)</f>
        <v>437988033.33333331</v>
      </c>
      <c r="M1428"/>
    </row>
    <row r="1429" spans="1:13" outlineLevel="1" x14ac:dyDescent="0.2">
      <c r="A1429" s="35"/>
      <c r="F1429" s="43"/>
      <c r="G1429" s="43"/>
      <c r="H1429" s="43"/>
      <c r="I1429" s="43"/>
      <c r="J1429" s="43"/>
      <c r="K1429" s="43"/>
      <c r="M1429"/>
    </row>
    <row r="1430" spans="1:13" outlineLevel="1" x14ac:dyDescent="0.2">
      <c r="A1430" s="35" t="str">
        <f ca="1">Language!A$799</f>
        <v xml:space="preserve"> = ИТОГО ПАССИВОВ</v>
      </c>
      <c r="C1430" s="5" t="str">
        <f ca="1">CUR_Report</f>
        <v>руб.</v>
      </c>
      <c r="D1430" s="16" t="s">
        <v>384</v>
      </c>
      <c r="F1430" s="58">
        <f t="shared" ref="F1430:J1430" ca="1" si="1129">F1421+F1423+F1428</f>
        <v>20495000</v>
      </c>
      <c r="G1430" s="58">
        <f t="shared" ca="1" si="1129"/>
        <v>87421700</v>
      </c>
      <c r="H1430" s="58">
        <f t="shared" ca="1" si="1129"/>
        <v>185868800</v>
      </c>
      <c r="I1430" s="58">
        <f t="shared" ca="1" si="1129"/>
        <v>277636700</v>
      </c>
      <c r="J1430" s="58">
        <f t="shared" ca="1" si="1129"/>
        <v>369305200</v>
      </c>
      <c r="K1430" s="58">
        <f t="shared" ref="K1430" ca="1" si="1130">K1421+K1423+K1428</f>
        <v>460972533.33333331</v>
      </c>
      <c r="M1430" s="22"/>
    </row>
    <row r="1431" spans="1:13" s="11" customFormat="1" outlineLevel="1" x14ac:dyDescent="0.2">
      <c r="A1431" s="64" t="str">
        <f ca="1">Language!A$800</f>
        <v>Контроль сходимости баланса</v>
      </c>
      <c r="B1431" s="146" t="str">
        <f ca="1">IF(OR(MAX(F1431:L1431)&lt;&gt;0,MIN(F1431:L1431)&lt;&gt;0),Language!A801,"")</f>
        <v/>
      </c>
      <c r="C1431" s="64"/>
      <c r="D1431" s="64"/>
      <c r="E1431" s="64"/>
      <c r="F1431" s="147">
        <f t="shared" ref="F1431:J1431" ca="1" si="1131">IF(AND(0&lt;=ABS(F1411-F1430),ABS(F1411-F1430)&lt;=1),0,F1411-F1430)</f>
        <v>0</v>
      </c>
      <c r="G1431" s="147">
        <f t="shared" ca="1" si="1131"/>
        <v>0</v>
      </c>
      <c r="H1431" s="147">
        <f t="shared" ca="1" si="1131"/>
        <v>0</v>
      </c>
      <c r="I1431" s="147">
        <f t="shared" ca="1" si="1131"/>
        <v>0</v>
      </c>
      <c r="J1431" s="147">
        <f t="shared" ca="1" si="1131"/>
        <v>0</v>
      </c>
      <c r="K1431" s="147">
        <f t="shared" ref="K1431" ca="1" si="1132">IF(AND(0&lt;=ABS(K1411-K1430),ABS(K1411-K1430)&lt;=1),0,K1411-K1430)</f>
        <v>0</v>
      </c>
      <c r="L1431" s="64"/>
      <c r="M1431" s="22"/>
    </row>
    <row r="1432" spans="1:13" s="11" customFormat="1" outlineLevel="1" x14ac:dyDescent="0.2">
      <c r="A1432" s="22"/>
      <c r="B1432" s="149"/>
      <c r="C1432" s="22"/>
      <c r="D1432" s="22"/>
      <c r="E1432" s="22"/>
      <c r="F1432" s="118"/>
      <c r="G1432" s="118"/>
      <c r="H1432" s="118"/>
      <c r="I1432" s="118"/>
      <c r="J1432" s="118"/>
      <c r="K1432" s="118"/>
      <c r="L1432" s="22"/>
      <c r="M1432" s="22"/>
    </row>
    <row r="1433" spans="1:13" s="11" customFormat="1" outlineLevel="1" collapsed="1" x14ac:dyDescent="0.2">
      <c r="A1433" s="22" t="str">
        <f ca="1">Language!A$802 &amp; ", " &amp; Проект!CUR_Report</f>
        <v>График: Активы проекта, руб.</v>
      </c>
      <c r="B1433" s="149"/>
      <c r="C1433" s="22"/>
      <c r="D1433" s="22"/>
      <c r="E1433" s="22"/>
      <c r="F1433" s="118"/>
      <c r="G1433" s="118"/>
      <c r="H1433" s="118"/>
      <c r="I1433" s="118"/>
      <c r="J1433" s="118"/>
      <c r="K1433" s="118"/>
      <c r="L1433" s="22"/>
      <c r="M1433" s="22"/>
    </row>
    <row r="1434" spans="1:13" s="11" customFormat="1" hidden="1" outlineLevel="2" x14ac:dyDescent="0.2">
      <c r="A1434" s="22"/>
      <c r="B1434" s="149"/>
      <c r="C1434" s="22"/>
      <c r="D1434" s="22"/>
      <c r="E1434" s="22"/>
      <c r="F1434" s="118"/>
      <c r="G1434" s="118"/>
      <c r="H1434" s="118"/>
      <c r="I1434" s="118"/>
      <c r="J1434" s="118"/>
      <c r="K1434" s="118"/>
      <c r="L1434" s="22"/>
      <c r="M1434" s="22"/>
    </row>
    <row r="1435" spans="1:13" s="11" customFormat="1" hidden="1" outlineLevel="2" x14ac:dyDescent="0.2">
      <c r="A1435" s="22"/>
      <c r="B1435" s="149"/>
      <c r="C1435" s="22"/>
      <c r="D1435" s="22"/>
      <c r="E1435" s="22"/>
      <c r="F1435" s="118"/>
      <c r="G1435" s="118"/>
      <c r="H1435" s="118"/>
      <c r="I1435" s="118"/>
      <c r="J1435" s="118"/>
      <c r="K1435" s="118"/>
      <c r="L1435" s="22"/>
      <c r="M1435" s="22"/>
    </row>
    <row r="1436" spans="1:13" s="11" customFormat="1" hidden="1" outlineLevel="2" x14ac:dyDescent="0.2">
      <c r="A1436" s="22"/>
      <c r="B1436" s="149"/>
      <c r="C1436" s="22"/>
      <c r="D1436" s="22"/>
      <c r="E1436" s="22"/>
      <c r="F1436" s="118"/>
      <c r="G1436" s="118"/>
      <c r="H1436" s="118"/>
      <c r="I1436" s="118"/>
      <c r="J1436" s="118"/>
      <c r="K1436" s="118"/>
      <c r="L1436" s="22"/>
      <c r="M1436" s="22"/>
    </row>
    <row r="1437" spans="1:13" s="11" customFormat="1" hidden="1" outlineLevel="2" x14ac:dyDescent="0.2">
      <c r="A1437" s="22"/>
      <c r="B1437" s="149"/>
      <c r="C1437" s="22"/>
      <c r="D1437" s="22"/>
      <c r="E1437" s="22"/>
      <c r="F1437" s="118"/>
      <c r="G1437" s="118"/>
      <c r="H1437" s="118"/>
      <c r="I1437" s="118"/>
      <c r="J1437" s="118"/>
      <c r="K1437" s="118"/>
      <c r="L1437" s="22"/>
      <c r="M1437" s="22"/>
    </row>
    <row r="1438" spans="1:13" s="11" customFormat="1" hidden="1" outlineLevel="2" x14ac:dyDescent="0.2">
      <c r="A1438" s="22"/>
      <c r="B1438" s="149"/>
      <c r="C1438" s="22"/>
      <c r="D1438" s="22"/>
      <c r="E1438" s="22"/>
      <c r="F1438" s="118"/>
      <c r="G1438" s="118"/>
      <c r="H1438" s="118"/>
      <c r="I1438" s="118"/>
      <c r="J1438" s="118"/>
      <c r="K1438" s="118"/>
      <c r="L1438" s="22"/>
      <c r="M1438" s="22"/>
    </row>
    <row r="1439" spans="1:13" s="11" customFormat="1" hidden="1" outlineLevel="2" x14ac:dyDescent="0.2">
      <c r="A1439" s="22"/>
      <c r="B1439" s="149"/>
      <c r="C1439" s="22"/>
      <c r="D1439" s="22"/>
      <c r="E1439" s="22"/>
      <c r="F1439" s="118"/>
      <c r="G1439" s="118"/>
      <c r="H1439" s="118"/>
      <c r="I1439" s="118"/>
      <c r="J1439" s="118"/>
      <c r="K1439" s="118"/>
      <c r="L1439" s="22"/>
      <c r="M1439" s="22"/>
    </row>
    <row r="1440" spans="1:13" s="11" customFormat="1" hidden="1" outlineLevel="2" x14ac:dyDescent="0.2">
      <c r="A1440" s="22"/>
      <c r="B1440" s="149"/>
      <c r="C1440" s="22"/>
      <c r="D1440" s="22"/>
      <c r="E1440" s="22"/>
      <c r="F1440" s="118"/>
      <c r="G1440" s="118"/>
      <c r="H1440" s="118"/>
      <c r="I1440" s="118"/>
      <c r="J1440" s="118"/>
      <c r="K1440" s="118"/>
      <c r="L1440" s="22"/>
      <c r="M1440" s="22"/>
    </row>
    <row r="1441" spans="1:13" s="11" customFormat="1" hidden="1" outlineLevel="2" x14ac:dyDescent="0.2">
      <c r="A1441" s="22"/>
      <c r="B1441" s="149"/>
      <c r="C1441" s="22"/>
      <c r="D1441" s="22"/>
      <c r="E1441" s="22"/>
      <c r="F1441" s="118"/>
      <c r="G1441" s="118"/>
      <c r="H1441" s="118"/>
      <c r="I1441" s="118"/>
      <c r="J1441" s="118"/>
      <c r="K1441" s="118"/>
      <c r="L1441" s="22"/>
      <c r="M1441" s="22"/>
    </row>
    <row r="1442" spans="1:13" s="11" customFormat="1" hidden="1" outlineLevel="2" x14ac:dyDescent="0.2">
      <c r="A1442" s="22"/>
      <c r="B1442" s="149"/>
      <c r="C1442" s="22"/>
      <c r="D1442" s="22"/>
      <c r="E1442" s="22"/>
      <c r="F1442" s="118"/>
      <c r="G1442" s="118"/>
      <c r="H1442" s="118"/>
      <c r="I1442" s="118"/>
      <c r="J1442" s="118"/>
      <c r="K1442" s="118"/>
      <c r="L1442" s="22"/>
      <c r="M1442" s="22"/>
    </row>
    <row r="1443" spans="1:13" s="11" customFormat="1" hidden="1" outlineLevel="2" x14ac:dyDescent="0.2">
      <c r="A1443" s="22"/>
      <c r="B1443" s="149"/>
      <c r="C1443" s="22"/>
      <c r="D1443" s="22"/>
      <c r="E1443" s="22"/>
      <c r="F1443" s="118"/>
      <c r="G1443" s="118"/>
      <c r="H1443" s="118"/>
      <c r="I1443" s="118"/>
      <c r="J1443" s="118"/>
      <c r="K1443" s="118"/>
      <c r="L1443" s="22"/>
      <c r="M1443" s="22"/>
    </row>
    <row r="1444" spans="1:13" s="11" customFormat="1" hidden="1" outlineLevel="2" x14ac:dyDescent="0.2">
      <c r="A1444" s="22"/>
      <c r="B1444" s="149"/>
      <c r="C1444" s="22"/>
      <c r="D1444" s="22"/>
      <c r="E1444" s="22"/>
      <c r="F1444" s="118"/>
      <c r="G1444" s="118"/>
      <c r="H1444" s="118"/>
      <c r="I1444" s="118"/>
      <c r="J1444" s="118"/>
      <c r="K1444" s="118"/>
      <c r="L1444" s="22"/>
      <c r="M1444" s="22"/>
    </row>
    <row r="1445" spans="1:13" s="11" customFormat="1" hidden="1" outlineLevel="2" x14ac:dyDescent="0.2">
      <c r="A1445" s="22"/>
      <c r="B1445" s="149"/>
      <c r="C1445" s="22"/>
      <c r="D1445" s="22"/>
      <c r="E1445" s="22"/>
      <c r="F1445" s="118"/>
      <c r="G1445" s="118"/>
      <c r="H1445" s="118"/>
      <c r="I1445" s="118"/>
      <c r="J1445" s="118"/>
      <c r="K1445" s="118"/>
      <c r="L1445" s="22"/>
      <c r="M1445" s="22"/>
    </row>
    <row r="1446" spans="1:13" s="11" customFormat="1" hidden="1" outlineLevel="2" x14ac:dyDescent="0.2">
      <c r="A1446" s="22"/>
      <c r="B1446" s="149"/>
      <c r="C1446" s="22"/>
      <c r="D1446" s="22"/>
      <c r="E1446" s="22"/>
      <c r="F1446" s="118"/>
      <c r="G1446" s="118"/>
      <c r="H1446" s="118"/>
      <c r="I1446" s="118"/>
      <c r="J1446" s="118"/>
      <c r="K1446" s="118"/>
      <c r="L1446" s="22"/>
      <c r="M1446" s="22"/>
    </row>
    <row r="1447" spans="1:13" s="11" customFormat="1" hidden="1" outlineLevel="2" x14ac:dyDescent="0.2">
      <c r="A1447" s="22"/>
      <c r="B1447" s="149"/>
      <c r="C1447" s="22"/>
      <c r="D1447" s="22"/>
      <c r="E1447" s="22"/>
      <c r="F1447" s="118"/>
      <c r="G1447" s="118"/>
      <c r="H1447" s="118"/>
      <c r="I1447" s="118"/>
      <c r="J1447" s="118"/>
      <c r="K1447" s="118"/>
      <c r="L1447" s="22"/>
      <c r="M1447" s="22"/>
    </row>
    <row r="1448" spans="1:13" s="11" customFormat="1" hidden="1" outlineLevel="2" x14ac:dyDescent="0.2">
      <c r="A1448" s="22"/>
      <c r="B1448" s="149"/>
      <c r="C1448" s="22"/>
      <c r="D1448" s="22"/>
      <c r="E1448" s="22"/>
      <c r="F1448" s="118"/>
      <c r="G1448" s="118"/>
      <c r="H1448" s="118"/>
      <c r="I1448" s="118"/>
      <c r="J1448" s="118"/>
      <c r="K1448" s="118"/>
      <c r="L1448" s="22"/>
      <c r="M1448" s="22"/>
    </row>
    <row r="1449" spans="1:13" s="11" customFormat="1" hidden="1" outlineLevel="2" x14ac:dyDescent="0.2">
      <c r="A1449" s="22"/>
      <c r="B1449" s="149"/>
      <c r="C1449" s="22"/>
      <c r="D1449" s="22"/>
      <c r="E1449" s="22"/>
      <c r="F1449" s="118"/>
      <c r="G1449" s="118"/>
      <c r="H1449" s="118"/>
      <c r="I1449" s="118"/>
      <c r="J1449" s="118"/>
      <c r="K1449" s="118"/>
      <c r="L1449" s="22"/>
      <c r="M1449" s="22"/>
    </row>
    <row r="1450" spans="1:13" s="11" customFormat="1" hidden="1" outlineLevel="2" x14ac:dyDescent="0.2">
      <c r="A1450" s="22"/>
      <c r="B1450" s="149"/>
      <c r="C1450" s="22"/>
      <c r="D1450" s="22"/>
      <c r="E1450" s="22"/>
      <c r="F1450" s="118"/>
      <c r="G1450" s="118"/>
      <c r="H1450" s="118"/>
      <c r="I1450" s="118"/>
      <c r="J1450" s="118"/>
      <c r="K1450" s="118"/>
      <c r="L1450" s="22"/>
      <c r="M1450" s="22"/>
    </row>
    <row r="1451" spans="1:13" s="11" customFormat="1" hidden="1" outlineLevel="2" x14ac:dyDescent="0.2">
      <c r="A1451" s="22"/>
      <c r="B1451" s="149"/>
      <c r="C1451" s="22"/>
      <c r="D1451" s="22"/>
      <c r="E1451" s="22"/>
      <c r="F1451" s="118"/>
      <c r="G1451" s="118"/>
      <c r="H1451" s="118"/>
      <c r="I1451" s="118"/>
      <c r="J1451" s="118"/>
      <c r="K1451" s="118"/>
      <c r="L1451" s="22"/>
      <c r="M1451" s="22"/>
    </row>
    <row r="1452" spans="1:13" s="11" customFormat="1" hidden="1" outlineLevel="2" x14ac:dyDescent="0.2">
      <c r="A1452" s="22"/>
      <c r="B1452" s="149"/>
      <c r="C1452" s="22"/>
      <c r="D1452" s="22"/>
      <c r="E1452" s="22"/>
      <c r="F1452" s="118"/>
      <c r="G1452" s="118"/>
      <c r="H1452" s="118"/>
      <c r="I1452" s="118"/>
      <c r="J1452" s="118"/>
      <c r="K1452" s="118"/>
      <c r="L1452" s="22"/>
      <c r="M1452" s="22"/>
    </row>
    <row r="1453" spans="1:13" s="11" customFormat="1" hidden="1" outlineLevel="2" x14ac:dyDescent="0.2">
      <c r="A1453" s="22"/>
      <c r="B1453" s="149"/>
      <c r="C1453" s="22"/>
      <c r="D1453" s="22"/>
      <c r="E1453" s="22"/>
      <c r="F1453" s="118"/>
      <c r="G1453" s="118"/>
      <c r="H1453" s="118"/>
      <c r="I1453" s="118"/>
      <c r="J1453" s="118"/>
      <c r="K1453" s="118"/>
      <c r="L1453" s="22"/>
      <c r="M1453" s="22"/>
    </row>
    <row r="1454" spans="1:13" s="11" customFormat="1" hidden="1" outlineLevel="2" x14ac:dyDescent="0.2">
      <c r="A1454" s="22"/>
      <c r="B1454" s="149"/>
      <c r="C1454" s="22"/>
      <c r="D1454" s="22"/>
      <c r="E1454" s="22"/>
      <c r="F1454" s="118"/>
      <c r="G1454" s="118"/>
      <c r="H1454" s="118"/>
      <c r="I1454" s="118"/>
      <c r="J1454" s="118"/>
      <c r="K1454" s="118"/>
      <c r="L1454" s="22"/>
      <c r="M1454" s="22"/>
    </row>
    <row r="1455" spans="1:13" s="11" customFormat="1" hidden="1" outlineLevel="2" x14ac:dyDescent="0.2">
      <c r="A1455" s="22"/>
      <c r="B1455" s="149"/>
      <c r="C1455" s="22"/>
      <c r="D1455" s="22"/>
      <c r="E1455" s="22"/>
      <c r="F1455" s="118"/>
      <c r="G1455" s="118"/>
      <c r="H1455" s="118"/>
      <c r="I1455" s="118"/>
      <c r="J1455" s="118"/>
      <c r="K1455" s="118"/>
      <c r="L1455" s="22"/>
      <c r="M1455" s="22"/>
    </row>
    <row r="1456" spans="1:13" s="11" customFormat="1" hidden="1" outlineLevel="2" x14ac:dyDescent="0.2">
      <c r="A1456" s="22"/>
      <c r="B1456" s="149"/>
      <c r="C1456" s="22"/>
      <c r="D1456" s="22"/>
      <c r="E1456" s="22"/>
      <c r="F1456" s="118"/>
      <c r="G1456" s="118"/>
      <c r="H1456" s="118"/>
      <c r="I1456" s="118"/>
      <c r="J1456" s="118"/>
      <c r="K1456" s="118"/>
      <c r="L1456" s="22"/>
      <c r="M1456" s="22"/>
    </row>
    <row r="1457" spans="1:13" s="11" customFormat="1" outlineLevel="1" x14ac:dyDescent="0.2">
      <c r="A1457" s="22"/>
      <c r="B1457" s="149"/>
      <c r="C1457" s="22"/>
      <c r="D1457" s="22"/>
      <c r="E1457" s="22"/>
      <c r="F1457" s="118"/>
      <c r="G1457" s="118"/>
      <c r="H1457" s="118"/>
      <c r="I1457" s="118"/>
      <c r="J1457" s="118"/>
      <c r="K1457" s="118"/>
      <c r="L1457" s="22"/>
      <c r="M1457" s="22"/>
    </row>
    <row r="1458" spans="1:13" s="11" customFormat="1" outlineLevel="1" collapsed="1" x14ac:dyDescent="0.2">
      <c r="A1458" s="22" t="str">
        <f ca="1">Language!A$803 &amp; ", " &amp; Проект!CUR_Report</f>
        <v>График: Пассивы проекта, руб.</v>
      </c>
      <c r="B1458" s="149"/>
      <c r="C1458" s="22"/>
      <c r="D1458" s="22"/>
      <c r="E1458" s="22"/>
      <c r="F1458" s="118"/>
      <c r="G1458" s="118"/>
      <c r="H1458" s="118"/>
      <c r="I1458" s="118"/>
      <c r="J1458" s="118"/>
      <c r="K1458" s="118"/>
      <c r="L1458" s="22"/>
      <c r="M1458" s="22"/>
    </row>
    <row r="1459" spans="1:13" s="11" customFormat="1" hidden="1" outlineLevel="2" x14ac:dyDescent="0.2">
      <c r="A1459" s="22"/>
      <c r="B1459" s="149"/>
      <c r="C1459" s="22"/>
      <c r="D1459" s="22"/>
      <c r="E1459" s="22"/>
      <c r="F1459" s="118"/>
      <c r="G1459" s="118"/>
      <c r="H1459" s="118"/>
      <c r="I1459" s="118"/>
      <c r="J1459" s="118"/>
      <c r="K1459" s="118"/>
      <c r="L1459" s="22"/>
      <c r="M1459" s="22"/>
    </row>
    <row r="1460" spans="1:13" s="11" customFormat="1" hidden="1" outlineLevel="2" x14ac:dyDescent="0.2">
      <c r="A1460" s="22"/>
      <c r="B1460" s="149"/>
      <c r="C1460" s="22"/>
      <c r="D1460" s="22"/>
      <c r="E1460" s="22"/>
      <c r="F1460" s="118"/>
      <c r="G1460" s="118"/>
      <c r="H1460" s="118"/>
      <c r="I1460" s="118"/>
      <c r="J1460" s="118"/>
      <c r="K1460" s="118"/>
      <c r="L1460" s="22"/>
      <c r="M1460" s="22"/>
    </row>
    <row r="1461" spans="1:13" s="11" customFormat="1" hidden="1" outlineLevel="2" x14ac:dyDescent="0.2">
      <c r="A1461" s="22"/>
      <c r="B1461" s="149"/>
      <c r="C1461" s="22"/>
      <c r="D1461" s="22"/>
      <c r="E1461" s="22"/>
      <c r="F1461" s="118"/>
      <c r="G1461" s="118"/>
      <c r="H1461" s="118"/>
      <c r="I1461" s="118"/>
      <c r="J1461" s="118"/>
      <c r="K1461" s="118"/>
      <c r="L1461" s="22"/>
      <c r="M1461" s="22"/>
    </row>
    <row r="1462" spans="1:13" s="11" customFormat="1" hidden="1" outlineLevel="2" x14ac:dyDescent="0.2">
      <c r="A1462" s="22"/>
      <c r="B1462" s="149"/>
      <c r="C1462" s="22"/>
      <c r="D1462" s="22"/>
      <c r="E1462" s="22"/>
      <c r="F1462" s="118"/>
      <c r="G1462" s="118"/>
      <c r="H1462" s="118"/>
      <c r="I1462" s="118"/>
      <c r="J1462" s="118"/>
      <c r="K1462" s="118"/>
      <c r="L1462" s="22"/>
      <c r="M1462" s="22"/>
    </row>
    <row r="1463" spans="1:13" s="11" customFormat="1" hidden="1" outlineLevel="2" x14ac:dyDescent="0.2">
      <c r="A1463" s="22"/>
      <c r="B1463" s="149"/>
      <c r="C1463" s="22"/>
      <c r="D1463" s="22"/>
      <c r="E1463" s="22"/>
      <c r="F1463" s="118"/>
      <c r="G1463" s="118"/>
      <c r="H1463" s="118"/>
      <c r="I1463" s="118"/>
      <c r="J1463" s="118"/>
      <c r="K1463" s="118"/>
      <c r="L1463" s="22"/>
      <c r="M1463" s="22"/>
    </row>
    <row r="1464" spans="1:13" s="11" customFormat="1" hidden="1" outlineLevel="2" x14ac:dyDescent="0.2">
      <c r="A1464" s="22"/>
      <c r="B1464" s="149"/>
      <c r="C1464" s="22"/>
      <c r="D1464" s="22"/>
      <c r="E1464" s="22"/>
      <c r="F1464" s="118"/>
      <c r="G1464" s="118"/>
      <c r="H1464" s="118"/>
      <c r="I1464" s="118"/>
      <c r="J1464" s="118"/>
      <c r="K1464" s="118"/>
      <c r="L1464" s="22"/>
      <c r="M1464" s="22"/>
    </row>
    <row r="1465" spans="1:13" s="11" customFormat="1" hidden="1" outlineLevel="2" x14ac:dyDescent="0.2">
      <c r="A1465" s="22"/>
      <c r="B1465" s="149"/>
      <c r="C1465" s="22"/>
      <c r="D1465" s="22"/>
      <c r="E1465" s="22"/>
      <c r="F1465" s="118"/>
      <c r="G1465" s="118"/>
      <c r="H1465" s="118"/>
      <c r="I1465" s="118"/>
      <c r="J1465" s="118"/>
      <c r="K1465" s="118"/>
      <c r="L1465" s="22"/>
      <c r="M1465" s="22"/>
    </row>
    <row r="1466" spans="1:13" s="11" customFormat="1" hidden="1" outlineLevel="2" x14ac:dyDescent="0.2">
      <c r="A1466" s="22"/>
      <c r="B1466" s="149"/>
      <c r="C1466" s="22"/>
      <c r="D1466" s="22"/>
      <c r="E1466" s="22"/>
      <c r="F1466" s="118"/>
      <c r="G1466" s="118"/>
      <c r="H1466" s="118"/>
      <c r="I1466" s="118"/>
      <c r="J1466" s="118"/>
      <c r="K1466" s="118"/>
      <c r="L1466" s="22"/>
      <c r="M1466" s="22"/>
    </row>
    <row r="1467" spans="1:13" s="11" customFormat="1" hidden="1" outlineLevel="2" x14ac:dyDescent="0.2">
      <c r="A1467" s="22"/>
      <c r="B1467" s="149"/>
      <c r="C1467" s="22"/>
      <c r="D1467" s="22"/>
      <c r="E1467" s="22"/>
      <c r="F1467" s="118"/>
      <c r="G1467" s="118"/>
      <c r="H1467" s="118"/>
      <c r="I1467" s="118"/>
      <c r="J1467" s="118"/>
      <c r="K1467" s="118"/>
      <c r="L1467" s="22"/>
      <c r="M1467" s="22"/>
    </row>
    <row r="1468" spans="1:13" s="11" customFormat="1" hidden="1" outlineLevel="2" x14ac:dyDescent="0.2">
      <c r="A1468" s="22"/>
      <c r="B1468" s="149"/>
      <c r="C1468" s="22"/>
      <c r="D1468" s="22"/>
      <c r="E1468" s="22"/>
      <c r="F1468" s="118"/>
      <c r="G1468" s="118"/>
      <c r="H1468" s="118"/>
      <c r="I1468" s="118"/>
      <c r="J1468" s="118"/>
      <c r="K1468" s="118"/>
      <c r="L1468" s="22"/>
      <c r="M1468" s="22"/>
    </row>
    <row r="1469" spans="1:13" s="11" customFormat="1" hidden="1" outlineLevel="2" x14ac:dyDescent="0.2">
      <c r="A1469" s="22"/>
      <c r="B1469" s="149"/>
      <c r="C1469" s="22"/>
      <c r="D1469" s="22"/>
      <c r="E1469" s="22"/>
      <c r="F1469" s="118"/>
      <c r="G1469" s="118"/>
      <c r="H1469" s="118"/>
      <c r="I1469" s="118"/>
      <c r="J1469" s="118"/>
      <c r="K1469" s="118"/>
      <c r="L1469" s="22"/>
      <c r="M1469" s="22"/>
    </row>
    <row r="1470" spans="1:13" s="11" customFormat="1" hidden="1" outlineLevel="2" x14ac:dyDescent="0.2">
      <c r="A1470" s="22"/>
      <c r="B1470" s="149"/>
      <c r="C1470" s="22"/>
      <c r="D1470" s="22"/>
      <c r="E1470" s="22"/>
      <c r="F1470" s="118"/>
      <c r="G1470" s="118"/>
      <c r="H1470" s="118"/>
      <c r="I1470" s="118"/>
      <c r="J1470" s="118"/>
      <c r="K1470" s="118"/>
      <c r="L1470" s="22"/>
      <c r="M1470" s="22"/>
    </row>
    <row r="1471" spans="1:13" s="11" customFormat="1" hidden="1" outlineLevel="2" x14ac:dyDescent="0.2">
      <c r="A1471" s="22"/>
      <c r="B1471" s="149"/>
      <c r="C1471" s="22"/>
      <c r="D1471" s="22"/>
      <c r="E1471" s="22"/>
      <c r="F1471" s="118"/>
      <c r="G1471" s="118"/>
      <c r="H1471" s="118"/>
      <c r="I1471" s="118"/>
      <c r="J1471" s="118"/>
      <c r="K1471" s="118"/>
      <c r="L1471" s="22"/>
      <c r="M1471" s="22"/>
    </row>
    <row r="1472" spans="1:13" s="11" customFormat="1" hidden="1" outlineLevel="2" x14ac:dyDescent="0.2">
      <c r="A1472" s="22"/>
      <c r="B1472" s="149"/>
      <c r="C1472" s="22"/>
      <c r="D1472" s="22"/>
      <c r="E1472" s="22"/>
      <c r="F1472" s="118"/>
      <c r="G1472" s="118"/>
      <c r="H1472" s="118"/>
      <c r="I1472" s="118"/>
      <c r="J1472" s="118"/>
      <c r="K1472" s="118"/>
      <c r="L1472" s="22"/>
      <c r="M1472" s="22"/>
    </row>
    <row r="1473" spans="1:13" s="11" customFormat="1" hidden="1" outlineLevel="2" x14ac:dyDescent="0.2">
      <c r="A1473" s="22"/>
      <c r="B1473" s="149"/>
      <c r="C1473" s="22"/>
      <c r="D1473" s="22"/>
      <c r="E1473" s="22"/>
      <c r="F1473" s="118"/>
      <c r="G1473" s="118"/>
      <c r="H1473" s="118"/>
      <c r="I1473" s="118"/>
      <c r="J1473" s="118"/>
      <c r="K1473" s="118"/>
      <c r="L1473" s="22"/>
      <c r="M1473" s="22"/>
    </row>
    <row r="1474" spans="1:13" s="11" customFormat="1" hidden="1" outlineLevel="2" x14ac:dyDescent="0.2">
      <c r="A1474" s="22"/>
      <c r="B1474" s="149"/>
      <c r="C1474" s="22"/>
      <c r="D1474" s="22"/>
      <c r="E1474" s="22"/>
      <c r="F1474" s="118"/>
      <c r="G1474" s="118"/>
      <c r="H1474" s="118"/>
      <c r="I1474" s="118"/>
      <c r="J1474" s="118"/>
      <c r="K1474" s="118"/>
      <c r="L1474" s="22"/>
      <c r="M1474" s="22"/>
    </row>
    <row r="1475" spans="1:13" s="11" customFormat="1" hidden="1" outlineLevel="2" x14ac:dyDescent="0.2">
      <c r="A1475" s="22"/>
      <c r="B1475" s="149"/>
      <c r="C1475" s="22"/>
      <c r="D1475" s="22"/>
      <c r="E1475" s="22"/>
      <c r="F1475" s="118"/>
      <c r="G1475" s="118"/>
      <c r="H1475" s="118"/>
      <c r="I1475" s="118"/>
      <c r="J1475" s="118"/>
      <c r="K1475" s="118"/>
      <c r="L1475" s="22"/>
      <c r="M1475" s="22"/>
    </row>
    <row r="1476" spans="1:13" s="11" customFormat="1" hidden="1" outlineLevel="2" x14ac:dyDescent="0.2">
      <c r="A1476" s="22"/>
      <c r="B1476" s="149"/>
      <c r="C1476" s="22"/>
      <c r="D1476" s="22"/>
      <c r="E1476" s="22"/>
      <c r="F1476" s="118"/>
      <c r="G1476" s="118"/>
      <c r="H1476" s="118"/>
      <c r="I1476" s="118"/>
      <c r="J1476" s="118"/>
      <c r="K1476" s="118"/>
      <c r="L1476" s="22"/>
      <c r="M1476" s="22"/>
    </row>
    <row r="1477" spans="1:13" s="11" customFormat="1" hidden="1" outlineLevel="2" x14ac:dyDescent="0.2">
      <c r="A1477" s="22"/>
      <c r="B1477" s="149"/>
      <c r="C1477" s="22"/>
      <c r="D1477" s="22"/>
      <c r="E1477" s="22"/>
      <c r="F1477" s="118"/>
      <c r="G1477" s="118"/>
      <c r="H1477" s="118"/>
      <c r="I1477" s="118"/>
      <c r="J1477" s="118"/>
      <c r="K1477" s="118"/>
      <c r="L1477" s="22"/>
      <c r="M1477" s="22"/>
    </row>
    <row r="1478" spans="1:13" s="11" customFormat="1" hidden="1" outlineLevel="2" x14ac:dyDescent="0.2">
      <c r="A1478" s="22"/>
      <c r="B1478" s="149"/>
      <c r="C1478" s="22"/>
      <c r="D1478" s="22"/>
      <c r="E1478" s="22"/>
      <c r="F1478" s="118"/>
      <c r="G1478" s="118"/>
      <c r="H1478" s="118"/>
      <c r="I1478" s="118"/>
      <c r="J1478" s="118"/>
      <c r="K1478" s="118"/>
      <c r="L1478" s="22"/>
      <c r="M1478" s="22"/>
    </row>
    <row r="1479" spans="1:13" s="11" customFormat="1" hidden="1" outlineLevel="2" x14ac:dyDescent="0.2">
      <c r="A1479" s="22"/>
      <c r="B1479" s="149"/>
      <c r="C1479" s="22"/>
      <c r="D1479" s="22"/>
      <c r="E1479" s="22"/>
      <c r="F1479" s="118"/>
      <c r="G1479" s="118"/>
      <c r="H1479" s="118"/>
      <c r="I1479" s="118"/>
      <c r="J1479" s="118"/>
      <c r="K1479" s="118"/>
      <c r="L1479" s="22"/>
      <c r="M1479" s="22"/>
    </row>
    <row r="1480" spans="1:13" s="11" customFormat="1" hidden="1" outlineLevel="2" x14ac:dyDescent="0.2">
      <c r="A1480" s="22"/>
      <c r="B1480" s="149"/>
      <c r="C1480" s="22"/>
      <c r="D1480" s="22"/>
      <c r="E1480" s="22"/>
      <c r="F1480" s="118"/>
      <c r="G1480" s="118"/>
      <c r="H1480" s="118"/>
      <c r="I1480" s="118"/>
      <c r="J1480" s="118"/>
      <c r="K1480" s="118"/>
      <c r="L1480" s="22"/>
      <c r="M1480" s="22"/>
    </row>
    <row r="1481" spans="1:13" s="11" customFormat="1" hidden="1" outlineLevel="2" x14ac:dyDescent="0.2">
      <c r="A1481" s="22"/>
      <c r="B1481" s="149"/>
      <c r="C1481" s="22"/>
      <c r="D1481" s="22"/>
      <c r="E1481" s="22"/>
      <c r="F1481" s="118"/>
      <c r="G1481" s="118"/>
      <c r="H1481" s="118"/>
      <c r="I1481" s="118"/>
      <c r="J1481" s="118"/>
      <c r="K1481" s="118"/>
      <c r="L1481" s="22"/>
      <c r="M1481" s="22"/>
    </row>
    <row r="1482" spans="1:13" s="11" customFormat="1" outlineLevel="1" x14ac:dyDescent="0.2">
      <c r="A1482" s="22"/>
      <c r="B1482" s="149"/>
      <c r="C1482" s="22"/>
      <c r="D1482" s="22"/>
      <c r="E1482" s="22"/>
      <c r="F1482" s="118"/>
      <c r="G1482" s="118"/>
      <c r="H1482" s="118"/>
      <c r="I1482" s="118"/>
      <c r="J1482" s="118"/>
      <c r="K1482" s="118"/>
      <c r="L1482" s="22"/>
      <c r="M1482" s="22"/>
    </row>
    <row r="1483" spans="1:13" s="11" customFormat="1" outlineLevel="1" x14ac:dyDescent="0.2">
      <c r="A1483" s="22"/>
      <c r="B1483" s="149"/>
      <c r="C1483" s="22"/>
      <c r="D1483" s="22"/>
      <c r="E1483" s="22"/>
      <c r="F1483" s="118"/>
      <c r="G1483" s="118"/>
      <c r="H1483" s="118"/>
      <c r="I1483" s="118"/>
      <c r="J1483" s="118"/>
      <c r="K1483" s="118"/>
      <c r="L1483" s="22"/>
      <c r="M1483" s="22"/>
    </row>
    <row r="1484" spans="1:13" s="4" customFormat="1" ht="15.9" customHeight="1" thickBot="1" x14ac:dyDescent="0.25">
      <c r="A1484" s="166" t="str">
        <f ca="1">Language!A$804</f>
        <v xml:space="preserve">         ПОКАЗАТЕЛИ ФИНАНСОВОЙ СОСТОЯТЕЛЬНОСТИ</v>
      </c>
      <c r="B1484" s="166"/>
      <c r="C1484" s="166"/>
      <c r="D1484" s="166"/>
      <c r="E1484" s="166"/>
      <c r="F1484" s="178" t="str">
        <f t="shared" ref="F1484:K1484" si="1133">PeriodTitle</f>
        <v>4/ 2020</v>
      </c>
      <c r="G1484" s="178" t="str">
        <f t="shared" si="1133"/>
        <v>5/ 2020</v>
      </c>
      <c r="H1484" s="178" t="str">
        <f t="shared" si="1133"/>
        <v>6/ 2020</v>
      </c>
      <c r="I1484" s="178" t="str">
        <f t="shared" si="1133"/>
        <v>7/ 2020</v>
      </c>
      <c r="J1484" s="178" t="str">
        <f t="shared" si="1133"/>
        <v>8/ 2020</v>
      </c>
      <c r="K1484" s="178" t="str">
        <f t="shared" si="1133"/>
        <v>9/ 2020</v>
      </c>
      <c r="L1484" s="166"/>
      <c r="M1484" s="38"/>
    </row>
    <row r="1485" spans="1:13" ht="10.8" outlineLevel="1" thickTop="1" x14ac:dyDescent="0.2"/>
    <row r="1486" spans="1:13" outlineLevel="1" x14ac:dyDescent="0.2">
      <c r="A1486" t="str">
        <f ca="1">Language!A$805</f>
        <v>Рентабельность активов</v>
      </c>
      <c r="C1486" s="17" t="s">
        <v>177</v>
      </c>
      <c r="D1486" s="16" t="s">
        <v>176</v>
      </c>
      <c r="F1486" s="158">
        <f t="shared" ref="F1486:K1486" ca="1" si="1134">IF(F1411&gt;0,F1152/IF(F$29=PRJ_Len,F1411,(E1411+F1411)/2)*360/PRJ_Step,"-")</f>
        <v>15.372529885337887</v>
      </c>
      <c r="G1486" s="158">
        <f t="shared" ca="1" si="1134"/>
        <v>12.918386125595019</v>
      </c>
      <c r="H1486" s="158">
        <f t="shared" ca="1" si="1134"/>
        <v>8.0589672893862012</v>
      </c>
      <c r="I1486" s="158">
        <f t="shared" ca="1" si="1134"/>
        <v>4.7465326732908242</v>
      </c>
      <c r="J1486" s="158">
        <f t="shared" ca="1" si="1134"/>
        <v>3.4006825033283516</v>
      </c>
      <c r="K1486" s="158">
        <f t="shared" ca="1" si="1134"/>
        <v>2.3862766660862511</v>
      </c>
    </row>
    <row r="1487" spans="1:13" outlineLevel="1" x14ac:dyDescent="0.2">
      <c r="A1487" t="str">
        <f ca="1">Language!A$806</f>
        <v>Рентабельность собственного капитала</v>
      </c>
      <c r="C1487" s="17" t="s">
        <v>177</v>
      </c>
      <c r="D1487" s="16" t="s">
        <v>176</v>
      </c>
      <c r="F1487" s="158">
        <f t="shared" ref="F1487:K1487" ca="1" si="1135">IF(F1428&gt;0,F1152/IF(F$29=PRJ_Len,F1428,(E1428+F1428)/2)*360/PRJ_Step,"-")</f>
        <v>24</v>
      </c>
      <c r="G1487" s="158">
        <f t="shared" ca="1" si="1135"/>
        <v>16.529068836855267</v>
      </c>
      <c r="H1487" s="158">
        <f t="shared" ca="1" si="1135"/>
        <v>9.4041317835978013</v>
      </c>
      <c r="I1487" s="158">
        <f t="shared" ca="1" si="1135"/>
        <v>5.2678517340104145</v>
      </c>
      <c r="J1487" s="158">
        <f t="shared" ca="1" si="1135"/>
        <v>3.6608040063037786</v>
      </c>
      <c r="K1487" s="158">
        <f t="shared" ca="1" si="1135"/>
        <v>2.5115024071053385</v>
      </c>
    </row>
    <row r="1488" spans="1:13" outlineLevel="1" x14ac:dyDescent="0.2">
      <c r="A1488" t="str">
        <f ca="1">Language!A$807</f>
        <v>Рентабельность внеоборотных активов</v>
      </c>
      <c r="C1488" s="17" t="s">
        <v>177</v>
      </c>
      <c r="D1488" s="16" t="s">
        <v>176</v>
      </c>
      <c r="F1488" s="158">
        <f t="shared" ref="F1488:K1488" ca="1" si="1136">IF(F1409&gt;0,F1152/IF(F$29=PRJ_Len,F1409,(E1409+F1409)/2)*360/PRJ_Step,"-")</f>
        <v>583.44444444444457</v>
      </c>
      <c r="G1488" s="158">
        <f t="shared" ca="1" si="1136"/>
        <v>1244.7407142857144</v>
      </c>
      <c r="H1488" s="158">
        <f t="shared" ca="1" si="1136"/>
        <v>1820.1976859504134</v>
      </c>
      <c r="I1488" s="158">
        <f t="shared" ca="1" si="1136"/>
        <v>1105.5497487437185</v>
      </c>
      <c r="J1488" s="158">
        <f t="shared" ca="1" si="1136"/>
        <v>800.01600000000008</v>
      </c>
      <c r="K1488" s="158">
        <f t="shared" ca="1" si="1136"/>
        <v>775.29049688711382</v>
      </c>
    </row>
    <row r="1489" spans="1:13" outlineLevel="1" x14ac:dyDescent="0.2">
      <c r="A1489" t="str">
        <f ca="1">Language!A$808</f>
        <v>Прямые расходы к выручке от реализации</v>
      </c>
      <c r="C1489" s="17" t="s">
        <v>177</v>
      </c>
      <c r="D1489" s="16" t="s">
        <v>176</v>
      </c>
      <c r="F1489" s="158">
        <f t="shared" ref="F1489:J1489" ca="1" si="1137">IF(F1129&gt;0,F1130/F1129,"-")</f>
        <v>1.8683333333333333E-2</v>
      </c>
      <c r="G1489" s="158">
        <f t="shared" ca="1" si="1137"/>
        <v>9.9071428571428574E-3</v>
      </c>
      <c r="H1489" s="158">
        <f t="shared" ca="1" si="1137"/>
        <v>8.2649999999999998E-3</v>
      </c>
      <c r="I1489" s="158">
        <f t="shared" ca="1" si="1137"/>
        <v>9.0966666666666661E-3</v>
      </c>
      <c r="J1489" s="158">
        <f t="shared" ca="1" si="1137"/>
        <v>9.0966666666666661E-3</v>
      </c>
      <c r="K1489" s="158">
        <f t="shared" ref="K1489" ca="1" si="1138">IF(K1129&gt;0,K1130/K1129,"-")</f>
        <v>9.1063888888888896E-3</v>
      </c>
    </row>
    <row r="1490" spans="1:13" outlineLevel="1" x14ac:dyDescent="0.2">
      <c r="A1490" t="str">
        <f ca="1">Language!A$809</f>
        <v>Прибыльность продаж</v>
      </c>
      <c r="C1490" s="17" t="s">
        <v>177</v>
      </c>
      <c r="D1490" s="16" t="s">
        <v>176</v>
      </c>
      <c r="F1490" s="158">
        <f t="shared" ref="F1490:J1490" ca="1" si="1139">IF(F1129&gt;0,F1152/F1129,"-")</f>
        <v>0.36465277777777777</v>
      </c>
      <c r="G1490" s="158">
        <f t="shared" ca="1" si="1139"/>
        <v>0.69152261904761902</v>
      </c>
      <c r="H1490" s="158">
        <f t="shared" ca="1" si="1139"/>
        <v>0.76473583333333328</v>
      </c>
      <c r="I1490" s="158">
        <f t="shared" ca="1" si="1139"/>
        <v>0.76390416666666672</v>
      </c>
      <c r="J1490" s="158">
        <f t="shared" ca="1" si="1139"/>
        <v>0.76390416666666672</v>
      </c>
      <c r="K1490" s="158">
        <f t="shared" ref="K1490" ca="1" si="1140">IF(K1129&gt;0,K1152/K1129,"-")</f>
        <v>0.76389444444444443</v>
      </c>
    </row>
    <row r="1491" spans="1:13" outlineLevel="1" x14ac:dyDescent="0.2"/>
    <row r="1492" spans="1:13" outlineLevel="1" x14ac:dyDescent="0.2">
      <c r="A1492" s="119" t="str">
        <f ca="1">Language!A$810</f>
        <v>Доля постоянных  затрат</v>
      </c>
      <c r="C1492" s="17" t="s">
        <v>177</v>
      </c>
      <c r="D1492" s="16" t="s">
        <v>176</v>
      </c>
      <c r="F1492" s="291">
        <f t="shared" ref="F1492:J1492" ca="1" si="1141">IF((F1130+F1139+F1140+F1141+F1142+F1144)&gt;0,(F1134+F1135+F1136+F1137+F1139+F1140+F1141+F1142+F1144)/(F1130+F1139+F1140+F1141+F1142+F1144),0)</f>
        <v>1</v>
      </c>
      <c r="G1492" s="291">
        <f t="shared" ca="1" si="1141"/>
        <v>1</v>
      </c>
      <c r="H1492" s="291">
        <f t="shared" ca="1" si="1141"/>
        <v>1</v>
      </c>
      <c r="I1492" s="291">
        <f t="shared" ca="1" si="1141"/>
        <v>1</v>
      </c>
      <c r="J1492" s="291">
        <f t="shared" ca="1" si="1141"/>
        <v>1</v>
      </c>
      <c r="K1492" s="291">
        <f t="shared" ref="K1492" ca="1" si="1142">IF((K1130+K1139+K1140+K1141+K1142+K1144)&gt;0,(K1134+K1135+K1136+K1137+K1139+K1140+K1141+K1142+K1144)/(K1130+K1139+K1140+K1141+K1142+K1144),0)</f>
        <v>1</v>
      </c>
    </row>
    <row r="1493" spans="1:13" outlineLevel="1" x14ac:dyDescent="0.2">
      <c r="A1493" s="119" t="str">
        <f ca="1">Language!A$811</f>
        <v>Точка безубыточности</v>
      </c>
      <c r="C1493" s="5" t="str">
        <f ca="1">CUR_Report</f>
        <v>руб.</v>
      </c>
      <c r="D1493" s="16" t="s">
        <v>176</v>
      </c>
      <c r="F1493" s="144">
        <f t="shared" ref="F1493:J1493" ca="1" si="1143">IF((F1129-(F1130+F1139+F1140+F1141+F1144)*(1-F1492))=0,"-",F1492*(F1130+F1139+F1140+F1141+F1144)/(F1129-(F1130+F1139+F1140+F1141+F1144)*(1-F1492))*F1129)</f>
        <v>20712500</v>
      </c>
      <c r="G1493" s="144">
        <f t="shared" ca="1" si="1143"/>
        <v>20872100</v>
      </c>
      <c r="H1493" s="144">
        <f t="shared" ca="1" si="1143"/>
        <v>21031700</v>
      </c>
      <c r="I1493" s="144">
        <f t="shared" ca="1" si="1143"/>
        <v>21131500</v>
      </c>
      <c r="J1493" s="144">
        <f t="shared" ca="1" si="1143"/>
        <v>21131500</v>
      </c>
      <c r="K1493" s="144">
        <f t="shared" ref="K1493" ca="1" si="1144">IF((K1129-(K1130+K1139+K1140+K1141+K1144)*(1-K1492))=0,"-",K1492*(K1130+K1139+K1140+K1141+K1144)/(K1129-(K1130+K1139+K1140+K1141+K1144)*(1-K1492))*K1129)</f>
        <v>21132666.666666668</v>
      </c>
    </row>
    <row r="1494" spans="1:13" outlineLevel="1" x14ac:dyDescent="0.2">
      <c r="A1494" s="119" t="str">
        <f ca="1">Language!A$812</f>
        <v>"Запас прочности"</v>
      </c>
      <c r="C1494" s="17" t="s">
        <v>177</v>
      </c>
      <c r="D1494" s="16" t="s">
        <v>176</v>
      </c>
      <c r="F1494" s="158">
        <f t="shared" ref="F1494:J1494" ca="1" si="1145">IF(ISERR((F1129-F1493)/F1129),"-",(F1129-F1493)/F1129)</f>
        <v>0.42465277777777777</v>
      </c>
      <c r="G1494" s="158">
        <f t="shared" ca="1" si="1145"/>
        <v>0.75152261904761908</v>
      </c>
      <c r="H1494" s="158">
        <f t="shared" ca="1" si="1145"/>
        <v>0.82473583333333333</v>
      </c>
      <c r="I1494" s="158">
        <f t="shared" ca="1" si="1145"/>
        <v>0.82390416666666666</v>
      </c>
      <c r="J1494" s="158">
        <f t="shared" ca="1" si="1145"/>
        <v>0.82390416666666666</v>
      </c>
      <c r="K1494" s="158">
        <f t="shared" ref="K1494" ca="1" si="1146">IF(ISERR((K1129-K1493)/K1129),"-",(K1129-K1493)/K1129)</f>
        <v>0.82389444444444437</v>
      </c>
      <c r="M1494"/>
    </row>
    <row r="1495" spans="1:13" outlineLevel="1" x14ac:dyDescent="0.2">
      <c r="M1495"/>
    </row>
    <row r="1496" spans="1:13" outlineLevel="1" x14ac:dyDescent="0.2">
      <c r="A1496" t="str">
        <f ca="1">Language!A$813</f>
        <v>Рентабельность по EBITDA</v>
      </c>
      <c r="C1496" s="17" t="s">
        <v>177</v>
      </c>
      <c r="D1496" s="16" t="s">
        <v>176</v>
      </c>
      <c r="F1496" s="61">
        <f t="shared" ref="F1496:J1496" ca="1" si="1147">IF((F1130+F1139+F1140+F1141+F1144)&gt;0,F1215/(F1130+F1139+F1140+F1141+F1144),"-")</f>
        <v>0.73808086904043457</v>
      </c>
      <c r="G1496" s="61">
        <f t="shared" ca="1" si="1147"/>
        <v>3.0245111895784325</v>
      </c>
      <c r="H1496" s="61">
        <f t="shared" ca="1" si="1147"/>
        <v>4.7056728652462709</v>
      </c>
      <c r="I1496" s="61">
        <f t="shared" ca="1" si="1147"/>
        <v>4.6796725267964883</v>
      </c>
      <c r="J1496" s="61">
        <f t="shared" ca="1" si="1147"/>
        <v>4.6796725267964883</v>
      </c>
      <c r="K1496" s="61">
        <f t="shared" ref="K1496" ca="1" si="1148">IF((K1130+K1139+K1140+K1141+K1144)&gt;0,K1215/(K1130+K1139+K1140+K1141+K1144),"-")</f>
        <v>4.6794141771033786</v>
      </c>
      <c r="M1496"/>
    </row>
    <row r="1497" spans="1:13" outlineLevel="1" x14ac:dyDescent="0.2">
      <c r="A1497" t="str">
        <f ca="1">Language!A$814</f>
        <v>Рентабельность по EBIT</v>
      </c>
      <c r="C1497" s="17" t="s">
        <v>177</v>
      </c>
      <c r="D1497" s="16" t="s">
        <v>176</v>
      </c>
      <c r="F1497" s="61">
        <f t="shared" ref="F1497:J1497" ca="1" si="1149">IF((F1130+F1139+F1140+F1141+F1144)&gt;0,F1216/(F1130+F1139+F1140+F1141+F1144),"-")</f>
        <v>0.73808086904043457</v>
      </c>
      <c r="G1497" s="61">
        <f t="shared" ca="1" si="1149"/>
        <v>3.0245111895784325</v>
      </c>
      <c r="H1497" s="61">
        <f t="shared" ca="1" si="1149"/>
        <v>4.7056728652462709</v>
      </c>
      <c r="I1497" s="61">
        <f t="shared" ca="1" si="1149"/>
        <v>4.67872607245108</v>
      </c>
      <c r="J1497" s="61">
        <f t="shared" ca="1" si="1149"/>
        <v>4.67872607245108</v>
      </c>
      <c r="K1497" s="61">
        <f t="shared" ref="K1497" ca="1" si="1150">IF((K1130+K1139+K1140+K1141+K1144)&gt;0,K1216/(K1130+K1139+K1140+K1141+K1144),"-")</f>
        <v>4.6784125682198168</v>
      </c>
      <c r="M1497"/>
    </row>
    <row r="1498" spans="1:13" outlineLevel="1" x14ac:dyDescent="0.2">
      <c r="A1498" t="str">
        <f ca="1">Language!A$815</f>
        <v xml:space="preserve">Рентабельность по чистой прибыли </v>
      </c>
      <c r="C1498" s="17" t="s">
        <v>177</v>
      </c>
      <c r="D1498" s="16" t="s">
        <v>176</v>
      </c>
      <c r="F1498" s="61">
        <f t="shared" ref="F1498:J1498" ca="1" si="1151">IF((F1130+F1139+F1140+F1141+F1144)&gt;0,F1152/(F1130+F1139+F1140+F1141+F1144),"-")</f>
        <v>0.63379601689800846</v>
      </c>
      <c r="G1498" s="61">
        <f t="shared" ca="1" si="1151"/>
        <v>2.7830405182037263</v>
      </c>
      <c r="H1498" s="61">
        <f t="shared" ca="1" si="1151"/>
        <v>4.3633324933314945</v>
      </c>
      <c r="I1498" s="61">
        <f t="shared" ca="1" si="1151"/>
        <v>4.3380025081040152</v>
      </c>
      <c r="J1498" s="61">
        <f t="shared" ca="1" si="1151"/>
        <v>4.3380025081040152</v>
      </c>
      <c r="K1498" s="61">
        <f t="shared" ref="K1498" ca="1" si="1152">IF((K1130+K1139+K1140+K1141+K1144)&gt;0,K1152/(K1130+K1139+K1140+K1141+K1144),"-")</f>
        <v>4.3377078141266283</v>
      </c>
      <c r="M1498"/>
    </row>
    <row r="1499" spans="1:13" outlineLevel="1" x14ac:dyDescent="0.2">
      <c r="M1499"/>
    </row>
    <row r="1500" spans="1:13" outlineLevel="1" x14ac:dyDescent="0.2">
      <c r="A1500" t="str">
        <f ca="1">Language!A$816</f>
        <v>Эффективная ставка налога на прибыль</v>
      </c>
      <c r="B1500" s="156"/>
      <c r="C1500" s="5" t="s">
        <v>177</v>
      </c>
      <c r="D1500" s="16" t="s">
        <v>176</v>
      </c>
      <c r="F1500" s="163">
        <f t="shared" ref="F1500:J1500" ca="1" si="1153">IF(F1150&gt;0,F1151/F1150,0)</f>
        <v>0.14129190515126738</v>
      </c>
      <c r="G1500" s="163">
        <f t="shared" ca="1" si="1153"/>
        <v>7.9837916357109934E-2</v>
      </c>
      <c r="H1500" s="163">
        <f t="shared" ca="1" si="1153"/>
        <v>7.2750567605991009E-2</v>
      </c>
      <c r="I1500" s="163">
        <f t="shared" ca="1" si="1153"/>
        <v>7.2824003600742399E-2</v>
      </c>
      <c r="J1500" s="163">
        <f t="shared" ca="1" si="1153"/>
        <v>7.2824003600742399E-2</v>
      </c>
      <c r="K1500" s="163">
        <f t="shared" ref="K1500" ca="1" si="1154">IF(K1150&gt;0,K1151/K1150,0)</f>
        <v>7.2824862947653765E-2</v>
      </c>
      <c r="M1500"/>
    </row>
    <row r="1501" spans="1:13" outlineLevel="1" x14ac:dyDescent="0.2">
      <c r="M1501"/>
    </row>
    <row r="1502" spans="1:13" outlineLevel="1" x14ac:dyDescent="0.2">
      <c r="A1502" t="str">
        <f ca="1">Language!A$817</f>
        <v>Коэффициент общей ликвидности</v>
      </c>
      <c r="C1502" s="5" t="str">
        <f ca="1">Language!A$197</f>
        <v>разы</v>
      </c>
      <c r="D1502" s="16" t="s">
        <v>176</v>
      </c>
      <c r="F1502" s="164">
        <f t="shared" ref="F1502:J1502" ca="1" si="1155">IF(F1421&gt;0,F1400/F1421,"-")</f>
        <v>2.7085171360705802</v>
      </c>
      <c r="G1502" s="164">
        <f t="shared" ca="1" si="1155"/>
        <v>5.3585148985271163</v>
      </c>
      <c r="H1502" s="164">
        <f t="shared" ca="1" si="1155"/>
        <v>8.0942971627827696</v>
      </c>
      <c r="I1502" s="164">
        <f t="shared" ca="1" si="1155"/>
        <v>12.020130957819401</v>
      </c>
      <c r="J1502" s="164">
        <f t="shared" ca="1" si="1155"/>
        <v>16.007100437251189</v>
      </c>
      <c r="K1502" s="164">
        <f t="shared" ref="K1502" ca="1" si="1156">IF(K1421&gt;0,K1400/K1421,"-")</f>
        <v>19.994069916682982</v>
      </c>
      <c r="M1502"/>
    </row>
    <row r="1503" spans="1:13" outlineLevel="1" x14ac:dyDescent="0.2">
      <c r="A1503" t="str">
        <f ca="1">Language!A$818</f>
        <v>Чистый оборотный капитал</v>
      </c>
      <c r="C1503" s="5" t="str">
        <f ca="1">CUR_Report</f>
        <v>руб.</v>
      </c>
      <c r="D1503" s="16" t="s">
        <v>176</v>
      </c>
      <c r="F1503" s="131">
        <f t="shared" ref="F1503:J1503" ca="1" si="1157">F1400-F1421</f>
        <v>12587500</v>
      </c>
      <c r="G1503" s="131">
        <f t="shared" ca="1" si="1157"/>
        <v>70635400</v>
      </c>
      <c r="H1503" s="131">
        <f t="shared" ca="1" si="1157"/>
        <v>162353699.99999997</v>
      </c>
      <c r="I1503" s="131">
        <f t="shared" ca="1" si="1157"/>
        <v>253292200</v>
      </c>
      <c r="J1503" s="131">
        <f t="shared" ca="1" si="1157"/>
        <v>344930700</v>
      </c>
      <c r="K1503" s="131">
        <f t="shared" ref="K1503" ca="1" si="1158">K1400-K1421</f>
        <v>436569200</v>
      </c>
      <c r="M1503"/>
    </row>
    <row r="1504" spans="1:13" outlineLevel="1" x14ac:dyDescent="0.2">
      <c r="M1504"/>
    </row>
    <row r="1505" spans="1:13" outlineLevel="1" x14ac:dyDescent="0.2">
      <c r="A1505" t="str">
        <f ca="1">Language!A$819</f>
        <v>Коэффициент общей платежеспособности</v>
      </c>
      <c r="C1505" s="5" t="str">
        <f ca="1">Language!A$197</f>
        <v>разы</v>
      </c>
      <c r="D1505" s="16" t="s">
        <v>176</v>
      </c>
      <c r="F1505" s="164">
        <f t="shared" ref="F1505:J1505" ca="1" si="1159">IF(F1430&gt;0,F1428/F1430,"-")</f>
        <v>0.64052207855574528</v>
      </c>
      <c r="G1505" s="164">
        <f t="shared" ca="1" si="1159"/>
        <v>0.81461925357205367</v>
      </c>
      <c r="H1505" s="164">
        <f t="shared" ca="1" si="1159"/>
        <v>0.87687497847944351</v>
      </c>
      <c r="I1505" s="164">
        <f t="shared" ca="1" si="1159"/>
        <v>0.91721375452164644</v>
      </c>
      <c r="J1505" s="164">
        <f t="shared" ca="1" si="1159"/>
        <v>0.93776285847044671</v>
      </c>
      <c r="K1505" s="164">
        <f t="shared" ref="K1505" ca="1" si="1160">IF(K1430&gt;0,K1428/K1430,"-")</f>
        <v>0.95013911168677001</v>
      </c>
      <c r="M1505"/>
    </row>
    <row r="1506" spans="1:13" outlineLevel="1" x14ac:dyDescent="0.2">
      <c r="A1506" t="str">
        <f ca="1">Language!A$820</f>
        <v>Коэффициент автономии</v>
      </c>
      <c r="C1506" s="5" t="str">
        <f ca="1">Language!A$197</f>
        <v>разы</v>
      </c>
      <c r="D1506" s="16" t="s">
        <v>176</v>
      </c>
      <c r="F1506" s="164">
        <f t="shared" ref="F1506:J1506" ca="1" si="1161">IF((F1421+F1423)&gt;0,F1428/(F1421+F1423),"-")</f>
        <v>1.7818120122158128</v>
      </c>
      <c r="G1506" s="164">
        <f t="shared" ca="1" si="1161"/>
        <v>4.3943034498929432</v>
      </c>
      <c r="H1506" s="164">
        <f t="shared" ca="1" si="1161"/>
        <v>7.1218259915840436</v>
      </c>
      <c r="I1506" s="164">
        <f t="shared" ca="1" si="1161"/>
        <v>11.079301268245992</v>
      </c>
      <c r="J1506" s="164">
        <f t="shared" ca="1" si="1161"/>
        <v>15.067575975113664</v>
      </c>
      <c r="K1506" s="164">
        <f t="shared" ref="K1506" ca="1" si="1162">IF((K1421+K1423)&gt;0,K1428/(K1421+K1423),"-")</f>
        <v>19.055799923136604</v>
      </c>
      <c r="M1506"/>
    </row>
    <row r="1507" spans="1:13" outlineLevel="1" x14ac:dyDescent="0.2">
      <c r="A1507" t="str">
        <f ca="1">Language!A$821</f>
        <v>Доля долгосрочных кредитов в валюте баланса</v>
      </c>
      <c r="C1507" s="5" t="s">
        <v>177</v>
      </c>
      <c r="D1507" s="16" t="s">
        <v>176</v>
      </c>
      <c r="F1507" s="61">
        <f t="shared" ref="F1507:J1507" ca="1" si="1163">IF(F1430&gt;0,F1423/F1430,"-")</f>
        <v>0</v>
      </c>
      <c r="G1507" s="61">
        <f t="shared" ca="1" si="1163"/>
        <v>0</v>
      </c>
      <c r="H1507" s="61">
        <f t="shared" ca="1" si="1163"/>
        <v>0</v>
      </c>
      <c r="I1507" s="61">
        <f t="shared" ca="1" si="1163"/>
        <v>0</v>
      </c>
      <c r="J1507" s="61">
        <f t="shared" ca="1" si="1163"/>
        <v>0</v>
      </c>
      <c r="K1507" s="61">
        <f t="shared" ref="K1507" ca="1" si="1164">IF(K1430&gt;0,K1423/K1430,"-")</f>
        <v>0</v>
      </c>
      <c r="M1507"/>
    </row>
    <row r="1508" spans="1:13" outlineLevel="1" x14ac:dyDescent="0.2">
      <c r="A1508" t="str">
        <f ca="1">Language!A$822</f>
        <v>Общий коэффициент покрытия долга</v>
      </c>
      <c r="C1508" s="5" t="str">
        <f ca="1">Language!A$197</f>
        <v>разы</v>
      </c>
      <c r="D1508" s="16" t="s">
        <v>176</v>
      </c>
      <c r="F1508" s="164" t="str">
        <f t="shared" ref="F1508:J1508" si="1165">IF((-F1278-F1257)&gt;0,(F1284-F1278-F1257)/(-F1278-F1257),"-")</f>
        <v>-</v>
      </c>
      <c r="G1508" s="164" t="str">
        <f t="shared" si="1165"/>
        <v>-</v>
      </c>
      <c r="H1508" s="164" t="str">
        <f t="shared" si="1165"/>
        <v>-</v>
      </c>
      <c r="I1508" s="164" t="str">
        <f t="shared" si="1165"/>
        <v>-</v>
      </c>
      <c r="J1508" s="164" t="str">
        <f t="shared" si="1165"/>
        <v>-</v>
      </c>
      <c r="K1508" s="164" t="str">
        <f t="shared" ref="K1508" si="1166">IF((-K1278-K1257)&gt;0,(K1284-K1278-K1257)/(-K1278-K1257),"-")</f>
        <v>-</v>
      </c>
      <c r="M1508"/>
    </row>
    <row r="1509" spans="1:13" outlineLevel="1" x14ac:dyDescent="0.2">
      <c r="A1509" t="str">
        <f ca="1">Language!A$823</f>
        <v>Покрытие процентов по кредитам</v>
      </c>
      <c r="C1509" s="5" t="str">
        <f ca="1">Language!A$197</f>
        <v>разы</v>
      </c>
      <c r="D1509" s="16" t="s">
        <v>176</v>
      </c>
      <c r="F1509" s="213" t="str">
        <f t="shared" ref="F1509:J1509" ca="1" si="1167">IF(F1142&gt;0,(F1150+F1142)/F1142,"-")</f>
        <v>-</v>
      </c>
      <c r="G1509" s="213" t="str">
        <f t="shared" ca="1" si="1167"/>
        <v>-</v>
      </c>
      <c r="H1509" s="213" t="str">
        <f t="shared" ca="1" si="1167"/>
        <v>-</v>
      </c>
      <c r="I1509" s="213" t="str">
        <f t="shared" ca="1" si="1167"/>
        <v>-</v>
      </c>
      <c r="J1509" s="213" t="str">
        <f t="shared" ca="1" si="1167"/>
        <v>-</v>
      </c>
      <c r="K1509" s="213" t="str">
        <f t="shared" ref="K1509" ca="1" si="1168">IF(K1142&gt;0,(K1150+K1142)/K1142,"-")</f>
        <v>-</v>
      </c>
      <c r="M1509"/>
    </row>
    <row r="1510" spans="1:13" outlineLevel="1" x14ac:dyDescent="0.2">
      <c r="A1510" s="63"/>
      <c r="B1510" s="63"/>
      <c r="C1510" s="63"/>
      <c r="D1510" s="63"/>
      <c r="E1510" s="63"/>
      <c r="F1510" s="63"/>
      <c r="G1510" s="63"/>
      <c r="H1510" s="63"/>
      <c r="I1510" s="63"/>
      <c r="J1510" s="63"/>
      <c r="K1510" s="63"/>
      <c r="L1510" s="63"/>
      <c r="M1510"/>
    </row>
    <row r="1511" spans="1:13" outlineLevel="1" collapsed="1" x14ac:dyDescent="0.2">
      <c r="A1511" s="22" t="str">
        <f ca="1">Language!A$824</f>
        <v>График: Рентабельность активов</v>
      </c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/>
    </row>
    <row r="1512" spans="1:13" hidden="1" outlineLevel="2" x14ac:dyDescent="0.2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/>
    </row>
    <row r="1513" spans="1:13" hidden="1" outlineLevel="2" x14ac:dyDescent="0.2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/>
    </row>
    <row r="1514" spans="1:13" hidden="1" outlineLevel="2" x14ac:dyDescent="0.2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/>
    </row>
    <row r="1515" spans="1:13" hidden="1" outlineLevel="2" x14ac:dyDescent="0.2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/>
    </row>
    <row r="1516" spans="1:13" hidden="1" outlineLevel="2" x14ac:dyDescent="0.2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/>
    </row>
    <row r="1517" spans="1:13" hidden="1" outlineLevel="2" x14ac:dyDescent="0.2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/>
    </row>
    <row r="1518" spans="1:13" hidden="1" outlineLevel="2" x14ac:dyDescent="0.2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/>
    </row>
    <row r="1519" spans="1:13" hidden="1" outlineLevel="2" x14ac:dyDescent="0.2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/>
    </row>
    <row r="1520" spans="1:13" hidden="1" outlineLevel="2" x14ac:dyDescent="0.2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/>
    </row>
    <row r="1521" spans="1:13" hidden="1" outlineLevel="2" x14ac:dyDescent="0.2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/>
    </row>
    <row r="1522" spans="1:13" hidden="1" outlineLevel="2" x14ac:dyDescent="0.2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/>
    </row>
    <row r="1523" spans="1:13" hidden="1" outlineLevel="2" x14ac:dyDescent="0.2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/>
    </row>
    <row r="1524" spans="1:13" hidden="1" outlineLevel="2" x14ac:dyDescent="0.2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/>
    </row>
    <row r="1525" spans="1:13" hidden="1" outlineLevel="2" x14ac:dyDescent="0.2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/>
    </row>
    <row r="1526" spans="1:13" hidden="1" outlineLevel="2" x14ac:dyDescent="0.2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/>
    </row>
    <row r="1527" spans="1:13" hidden="1" outlineLevel="2" x14ac:dyDescent="0.2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/>
    </row>
    <row r="1528" spans="1:13" hidden="1" outlineLevel="2" x14ac:dyDescent="0.2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/>
    </row>
    <row r="1529" spans="1:13" hidden="1" outlineLevel="2" x14ac:dyDescent="0.2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/>
    </row>
    <row r="1530" spans="1:13" hidden="1" outlineLevel="2" x14ac:dyDescent="0.2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/>
    </row>
    <row r="1531" spans="1:13" hidden="1" outlineLevel="2" x14ac:dyDescent="0.2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/>
    </row>
    <row r="1532" spans="1:13" hidden="1" outlineLevel="2" x14ac:dyDescent="0.2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/>
    </row>
    <row r="1533" spans="1:13" hidden="1" outlineLevel="2" x14ac:dyDescent="0.2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/>
    </row>
    <row r="1534" spans="1:13" hidden="1" outlineLevel="2" x14ac:dyDescent="0.2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/>
    </row>
    <row r="1535" spans="1:13" outlineLevel="1" x14ac:dyDescent="0.2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/>
    </row>
    <row r="1536" spans="1:13" outlineLevel="1" collapsed="1" x14ac:dyDescent="0.2">
      <c r="A1536" s="22" t="str">
        <f ca="1">Language!A$825</f>
        <v>График: Прибыльность продаж</v>
      </c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/>
    </row>
    <row r="1537" spans="1:13" hidden="1" outlineLevel="2" x14ac:dyDescent="0.2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/>
    </row>
    <row r="1538" spans="1:13" hidden="1" outlineLevel="2" x14ac:dyDescent="0.2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/>
    </row>
    <row r="1539" spans="1:13" hidden="1" outlineLevel="2" x14ac:dyDescent="0.2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/>
    </row>
    <row r="1540" spans="1:13" hidden="1" outlineLevel="2" x14ac:dyDescent="0.2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/>
    </row>
    <row r="1541" spans="1:13" hidden="1" outlineLevel="2" x14ac:dyDescent="0.2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/>
    </row>
    <row r="1542" spans="1:13" hidden="1" outlineLevel="2" x14ac:dyDescent="0.2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/>
    </row>
    <row r="1543" spans="1:13" hidden="1" outlineLevel="2" x14ac:dyDescent="0.2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/>
    </row>
    <row r="1544" spans="1:13" hidden="1" outlineLevel="2" x14ac:dyDescent="0.2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/>
    </row>
    <row r="1545" spans="1:13" hidden="1" outlineLevel="2" x14ac:dyDescent="0.2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/>
    </row>
    <row r="1546" spans="1:13" hidden="1" outlineLevel="2" x14ac:dyDescent="0.2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/>
    </row>
    <row r="1547" spans="1:13" hidden="1" outlineLevel="2" x14ac:dyDescent="0.2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/>
    </row>
    <row r="1548" spans="1:13" hidden="1" outlineLevel="2" x14ac:dyDescent="0.2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/>
    </row>
    <row r="1549" spans="1:13" hidden="1" outlineLevel="2" x14ac:dyDescent="0.2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/>
    </row>
    <row r="1550" spans="1:13" hidden="1" outlineLevel="2" x14ac:dyDescent="0.2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/>
    </row>
    <row r="1551" spans="1:13" hidden="1" outlineLevel="2" x14ac:dyDescent="0.2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/>
    </row>
    <row r="1552" spans="1:13" hidden="1" outlineLevel="2" x14ac:dyDescent="0.2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/>
    </row>
    <row r="1553" spans="1:13" hidden="1" outlineLevel="2" x14ac:dyDescent="0.2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/>
    </row>
    <row r="1554" spans="1:13" hidden="1" outlineLevel="2" x14ac:dyDescent="0.2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/>
    </row>
    <row r="1555" spans="1:13" hidden="1" outlineLevel="2" x14ac:dyDescent="0.2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/>
    </row>
    <row r="1556" spans="1:13" hidden="1" outlineLevel="2" x14ac:dyDescent="0.2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/>
    </row>
    <row r="1557" spans="1:13" hidden="1" outlineLevel="2" x14ac:dyDescent="0.2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/>
    </row>
    <row r="1558" spans="1:13" hidden="1" outlineLevel="2" x14ac:dyDescent="0.2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/>
    </row>
    <row r="1559" spans="1:13" hidden="1" outlineLevel="2" x14ac:dyDescent="0.2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/>
    </row>
    <row r="1560" spans="1:13" outlineLevel="1" x14ac:dyDescent="0.2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/>
    </row>
    <row r="1561" spans="1:13" outlineLevel="1" collapsed="1" x14ac:dyDescent="0.2">
      <c r="A1561" s="22" t="str">
        <f ca="1">Language!A$826</f>
        <v>График: Рентабельность по EBITDA</v>
      </c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/>
    </row>
    <row r="1562" spans="1:13" hidden="1" outlineLevel="2" x14ac:dyDescent="0.2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/>
    </row>
    <row r="1563" spans="1:13" hidden="1" outlineLevel="2" x14ac:dyDescent="0.2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/>
    </row>
    <row r="1564" spans="1:13" hidden="1" outlineLevel="2" x14ac:dyDescent="0.2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/>
    </row>
    <row r="1565" spans="1:13" hidden="1" outlineLevel="2" x14ac:dyDescent="0.2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/>
    </row>
    <row r="1566" spans="1:13" hidden="1" outlineLevel="2" x14ac:dyDescent="0.2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/>
    </row>
    <row r="1567" spans="1:13" hidden="1" outlineLevel="2" x14ac:dyDescent="0.2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/>
    </row>
    <row r="1568" spans="1:13" hidden="1" outlineLevel="2" x14ac:dyDescent="0.2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/>
    </row>
    <row r="1569" spans="1:13" hidden="1" outlineLevel="2" x14ac:dyDescent="0.2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/>
    </row>
    <row r="1570" spans="1:13" hidden="1" outlineLevel="2" x14ac:dyDescent="0.2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/>
    </row>
    <row r="1571" spans="1:13" hidden="1" outlineLevel="2" x14ac:dyDescent="0.2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/>
    </row>
    <row r="1572" spans="1:13" hidden="1" outlineLevel="2" x14ac:dyDescent="0.2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/>
    </row>
    <row r="1573" spans="1:13" hidden="1" outlineLevel="2" x14ac:dyDescent="0.2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/>
    </row>
    <row r="1574" spans="1:13" hidden="1" outlineLevel="2" x14ac:dyDescent="0.2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</row>
    <row r="1575" spans="1:13" hidden="1" outlineLevel="2" x14ac:dyDescent="0.2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</row>
    <row r="1576" spans="1:13" hidden="1" outlineLevel="2" x14ac:dyDescent="0.2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</row>
    <row r="1577" spans="1:13" hidden="1" outlineLevel="2" x14ac:dyDescent="0.2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</row>
    <row r="1578" spans="1:13" hidden="1" outlineLevel="2" x14ac:dyDescent="0.2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</row>
    <row r="1579" spans="1:13" hidden="1" outlineLevel="2" x14ac:dyDescent="0.2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</row>
    <row r="1580" spans="1:13" hidden="1" outlineLevel="2" x14ac:dyDescent="0.2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</row>
    <row r="1581" spans="1:13" hidden="1" outlineLevel="2" x14ac:dyDescent="0.2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</row>
    <row r="1582" spans="1:13" hidden="1" outlineLevel="2" x14ac:dyDescent="0.2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</row>
    <row r="1583" spans="1:13" hidden="1" outlineLevel="2" x14ac:dyDescent="0.2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</row>
    <row r="1584" spans="1:13" hidden="1" outlineLevel="2" x14ac:dyDescent="0.2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</row>
    <row r="1585" spans="1:13" outlineLevel="1" x14ac:dyDescent="0.2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</row>
    <row r="1586" spans="1:13" outlineLevel="1" x14ac:dyDescent="0.2"/>
    <row r="1587" spans="1:13" s="4" customFormat="1" ht="15.9" customHeight="1" thickBot="1" x14ac:dyDescent="0.25">
      <c r="A1587" s="166" t="str">
        <f ca="1">Language!A$827</f>
        <v xml:space="preserve">         ЭФФЕКТИВНОСТЬ ПОЛНЫХ ИНВЕСТИЦИОННЫХ ЗАТРАТ</v>
      </c>
      <c r="B1587" s="166"/>
      <c r="C1587" s="166"/>
      <c r="D1587" s="166"/>
      <c r="E1587" s="166"/>
      <c r="F1587" s="178" t="str">
        <f t="shared" ref="F1587:K1587" si="1169">PeriodTitle</f>
        <v>4/ 2020</v>
      </c>
      <c r="G1587" s="178" t="str">
        <f t="shared" si="1169"/>
        <v>5/ 2020</v>
      </c>
      <c r="H1587" s="178" t="str">
        <f t="shared" si="1169"/>
        <v>6/ 2020</v>
      </c>
      <c r="I1587" s="178" t="str">
        <f t="shared" si="1169"/>
        <v>7/ 2020</v>
      </c>
      <c r="J1587" s="178" t="str">
        <f t="shared" si="1169"/>
        <v>8/ 2020</v>
      </c>
      <c r="K1587" s="178" t="str">
        <f t="shared" si="1169"/>
        <v>9/ 2020</v>
      </c>
      <c r="L1587" s="166"/>
      <c r="M1587" s="167" t="str">
        <f ca="1">Language!A$371</f>
        <v>ИТОГО</v>
      </c>
    </row>
    <row r="1588" spans="1:13" ht="10.8" outlineLevel="1" thickTop="1" x14ac:dyDescent="0.2"/>
    <row r="1589" spans="1:13" outlineLevel="1" x14ac:dyDescent="0.2">
      <c r="A1589" t="str">
        <f ca="1">Language!A$833</f>
        <v>Учитывать ранее осуществленные инвестиции</v>
      </c>
      <c r="B1589" s="255">
        <v>2</v>
      </c>
      <c r="C1589" s="36" t="str">
        <f ca="1">CHOOSE(B1589,Language!A828,Language!A829)</f>
        <v>Нет</v>
      </c>
    </row>
    <row r="1590" spans="1:13" outlineLevel="1" x14ac:dyDescent="0.2">
      <c r="A1590" t="str">
        <f ca="1">Language!A$834</f>
        <v>Учитывать остаточную стоимость проекта</v>
      </c>
      <c r="B1590" s="255">
        <v>1</v>
      </c>
      <c r="C1590" s="36" t="str">
        <f ca="1">CHOOSE(B1590,Language!A828,Language!A829)</f>
        <v>Да</v>
      </c>
    </row>
    <row r="1591" spans="1:13" outlineLevel="1" x14ac:dyDescent="0.2">
      <c r="A1591" t="str">
        <f ca="1">Language!A$835</f>
        <v>Валюта расчетов:</v>
      </c>
      <c r="B1591" s="255">
        <v>1</v>
      </c>
      <c r="C1591" s="17" t="str">
        <f ca="1">CHOOSE(B1591,CUR_Main,CUR_Foreign)</f>
        <v>руб.</v>
      </c>
    </row>
    <row r="1592" spans="1:13" outlineLevel="1" collapsed="1" x14ac:dyDescent="0.2">
      <c r="A1592" t="str">
        <f ca="1">Language!A$836</f>
        <v>Годовая ставка дисконтирования:</v>
      </c>
      <c r="B1592" s="273">
        <v>0.25</v>
      </c>
      <c r="C1592" s="5" t="s">
        <v>177</v>
      </c>
      <c r="D1592" s="16" t="s">
        <v>176</v>
      </c>
      <c r="F1592" s="135">
        <f>$B$1592</f>
        <v>0.25</v>
      </c>
      <c r="G1592" s="135">
        <f t="shared" ref="G1592:K1592" si="1170">F1592</f>
        <v>0.25</v>
      </c>
      <c r="H1592" s="135">
        <f t="shared" si="1170"/>
        <v>0.25</v>
      </c>
      <c r="I1592" s="135">
        <f t="shared" si="1170"/>
        <v>0.25</v>
      </c>
      <c r="J1592" s="135">
        <f t="shared" si="1170"/>
        <v>0.25</v>
      </c>
      <c r="K1592" s="135">
        <f t="shared" si="1170"/>
        <v>0.25</v>
      </c>
    </row>
    <row r="1593" spans="1:13" hidden="1" outlineLevel="2" x14ac:dyDescent="0.2">
      <c r="A1593" t="str">
        <f ca="1">Language!A$837</f>
        <v xml:space="preserve">    ставка дисконтирования на расчетный период</v>
      </c>
      <c r="D1593" s="16" t="s">
        <v>176</v>
      </c>
      <c r="F1593" s="135">
        <f t="shared" ref="F1593:K1593" si="1171">POWER(1+F1592,PRJ_Step/360)-1-IF(CalcMethod=1,IF($B$1591=1,F$81,F$92),0)</f>
        <v>1.3115119734100844E-2</v>
      </c>
      <c r="G1593" s="135">
        <f t="shared" si="1171"/>
        <v>1.3115119734100844E-2</v>
      </c>
      <c r="H1593" s="135">
        <f t="shared" si="1171"/>
        <v>1.3115119734100844E-2</v>
      </c>
      <c r="I1593" s="135">
        <f t="shared" si="1171"/>
        <v>1.3115119734100844E-2</v>
      </c>
      <c r="J1593" s="135">
        <f t="shared" si="1171"/>
        <v>1.3115119734100844E-2</v>
      </c>
      <c r="K1593" s="135">
        <f t="shared" si="1171"/>
        <v>1.3115119734100844E-2</v>
      </c>
    </row>
    <row r="1594" spans="1:13" hidden="1" outlineLevel="2" x14ac:dyDescent="0.2">
      <c r="A1594" t="str">
        <f ca="1">Language!A$838</f>
        <v xml:space="preserve">    коэффициент дисконта для потока на начало периода</v>
      </c>
      <c r="D1594" s="16" t="s">
        <v>176</v>
      </c>
      <c r="F1594" s="136">
        <v>1</v>
      </c>
      <c r="G1594" s="136">
        <f t="shared" ref="G1594:K1594" si="1172">F1594*(1+F1593)</f>
        <v>1.0131151197341008</v>
      </c>
      <c r="H1594" s="136">
        <f t="shared" si="1172"/>
        <v>1.0264022458338415</v>
      </c>
      <c r="I1594" s="136">
        <f t="shared" si="1172"/>
        <v>1.0398636341833023</v>
      </c>
      <c r="J1594" s="136">
        <f t="shared" si="1172"/>
        <v>1.0535015702527535</v>
      </c>
      <c r="K1594" s="136">
        <f t="shared" si="1172"/>
        <v>1.0673183694866817</v>
      </c>
    </row>
    <row r="1595" spans="1:13" outlineLevel="1" collapsed="1" x14ac:dyDescent="0.2">
      <c r="F1595" s="136"/>
    </row>
    <row r="1596" spans="1:13" hidden="1" outlineLevel="2" x14ac:dyDescent="0.2">
      <c r="A1596" s="23" t="str">
        <f ca="1">Language!A$840</f>
        <v>Учитываемые денежные потоки проекта:</v>
      </c>
    </row>
    <row r="1597" spans="1:13" hidden="1" outlineLevel="2" x14ac:dyDescent="0.2">
      <c r="A1597" t="str">
        <f ca="1">Language!A$841</f>
        <v>Денежные потоки от операционной деятельности</v>
      </c>
      <c r="B1597" s="36" t="str">
        <f ca="1">Language!A$828</f>
        <v>Да</v>
      </c>
      <c r="C1597" s="5" t="str">
        <f ca="1">C1591</f>
        <v>руб.</v>
      </c>
      <c r="F1597" s="84">
        <f t="shared" ref="F1597:K1597" ca="1" si="1173">(F1261+F1276)*IF(CUR_I_Report&lt;&gt;$B$1591,IF(CUR_I_Report=2,F$88,1/F$88),1)</f>
        <v>13127500</v>
      </c>
      <c r="G1597" s="84">
        <f t="shared" ca="1" si="1173"/>
        <v>58087900</v>
      </c>
      <c r="H1597" s="84">
        <f t="shared" ca="1" si="1173"/>
        <v>91768300</v>
      </c>
      <c r="I1597" s="84">
        <f t="shared" ca="1" si="1173"/>
        <v>91688500</v>
      </c>
      <c r="J1597" s="84">
        <f t="shared" ca="1" si="1173"/>
        <v>91688500</v>
      </c>
      <c r="K1597" s="84">
        <f t="shared" ca="1" si="1173"/>
        <v>91688500</v>
      </c>
      <c r="M1597" s="54">
        <f ca="1">SUM(F1597:K1597)</f>
        <v>438049200</v>
      </c>
    </row>
    <row r="1598" spans="1:13" hidden="1" outlineLevel="2" x14ac:dyDescent="0.2">
      <c r="A1598" t="str">
        <f ca="1">Language!A$842</f>
        <v xml:space="preserve">    за исключением процентов по кредитам</v>
      </c>
      <c r="B1598" s="36" t="str">
        <f ca="1">Language!A$828</f>
        <v>Да</v>
      </c>
      <c r="C1598" s="5" t="str">
        <f ca="1">C1591</f>
        <v>руб.</v>
      </c>
      <c r="D1598" s="5"/>
      <c r="F1598" s="53">
        <f t="shared" ref="F1598:K1598" si="1174">-F1257*IF(CUR_I_Report&lt;&gt;$B$1591,IF(CUR_I_Report=2,F$88,1/F$88),1)</f>
        <v>0</v>
      </c>
      <c r="G1598" s="53">
        <f t="shared" si="1174"/>
        <v>0</v>
      </c>
      <c r="H1598" s="53">
        <f t="shared" si="1174"/>
        <v>0</v>
      </c>
      <c r="I1598" s="53">
        <f t="shared" si="1174"/>
        <v>0</v>
      </c>
      <c r="J1598" s="53">
        <f t="shared" si="1174"/>
        <v>0</v>
      </c>
      <c r="K1598" s="53">
        <f t="shared" si="1174"/>
        <v>0</v>
      </c>
      <c r="M1598" s="54">
        <f>SUM(F1598:K1598)</f>
        <v>0</v>
      </c>
    </row>
    <row r="1599" spans="1:13" hidden="1" outlineLevel="2" x14ac:dyDescent="0.2">
      <c r="A1599" t="str">
        <f ca="1">Language!A$843</f>
        <v>Денежные потоки от инвестиционной деятельности</v>
      </c>
      <c r="B1599" s="36" t="str">
        <f ca="1">Language!A$828</f>
        <v>Да</v>
      </c>
      <c r="C1599" s="5" t="str">
        <f ca="1">C1591</f>
        <v>руб.</v>
      </c>
      <c r="D1599" s="5"/>
      <c r="F1599" s="53">
        <f t="shared" ref="F1599:K1599" ca="1" si="1175">F1272*IF(CUR_I_Report&lt;&gt;$B$1591,IF(CUR_I_Report=2,F$88,1/F$88),1)</f>
        <v>1994583.333333333</v>
      </c>
      <c r="G1599" s="53">
        <f t="shared" ca="1" si="1175"/>
        <v>8761560</v>
      </c>
      <c r="H1599" s="53">
        <f t="shared" ca="1" si="1175"/>
        <v>6591560</v>
      </c>
      <c r="I1599" s="53">
        <f t="shared" ca="1" si="1175"/>
        <v>-669220</v>
      </c>
      <c r="J1599" s="53">
        <f t="shared" ca="1" si="1175"/>
        <v>-50000</v>
      </c>
      <c r="K1599" s="53">
        <f t="shared" ca="1" si="1175"/>
        <v>-50000</v>
      </c>
      <c r="M1599" s="54">
        <f ca="1">SUM(F1599:K1599)</f>
        <v>16578483.333333332</v>
      </c>
    </row>
    <row r="1600" spans="1:13" hidden="1" outlineLevel="2" x14ac:dyDescent="0.2">
      <c r="A1600" t="str">
        <f ca="1">Language!A$844</f>
        <v>Поступления собственного капитала</v>
      </c>
      <c r="B1600" s="36" t="str">
        <f ca="1">Language!A$829</f>
        <v>Нет</v>
      </c>
      <c r="C1600" s="5" t="str">
        <f ca="1">C1591</f>
        <v>руб.</v>
      </c>
      <c r="D1600" s="5"/>
    </row>
    <row r="1601" spans="1:13" hidden="1" outlineLevel="2" x14ac:dyDescent="0.2">
      <c r="A1601" t="str">
        <f ca="1">Language!A$845</f>
        <v>Поступления целевого финансирования</v>
      </c>
      <c r="B1601" s="36" t="str">
        <f ca="1">Language!A$829</f>
        <v>Нет</v>
      </c>
      <c r="C1601" s="5" t="str">
        <f ca="1">C1591</f>
        <v>руб.</v>
      </c>
      <c r="D1601" s="5"/>
    </row>
    <row r="1602" spans="1:13" hidden="1" outlineLevel="2" x14ac:dyDescent="0.2">
      <c r="A1602" t="str">
        <f ca="1">Language!A$846</f>
        <v>Поступления кредитов</v>
      </c>
      <c r="B1602" s="36" t="str">
        <f ca="1">Language!A$829</f>
        <v>Нет</v>
      </c>
      <c r="C1602" s="5" t="str">
        <f ca="1">C1591</f>
        <v>руб.</v>
      </c>
      <c r="D1602" s="5"/>
    </row>
    <row r="1603" spans="1:13" hidden="1" outlineLevel="2" x14ac:dyDescent="0.2">
      <c r="A1603" t="str">
        <f ca="1">Language!A$847</f>
        <v>Возврат кредитов</v>
      </c>
      <c r="B1603" s="36" t="str">
        <f ca="1">Language!A$829</f>
        <v>Нет</v>
      </c>
      <c r="C1603" s="5" t="str">
        <f ca="1">C1591</f>
        <v>руб.</v>
      </c>
      <c r="D1603" s="5"/>
    </row>
    <row r="1604" spans="1:13" hidden="1" outlineLevel="2" x14ac:dyDescent="0.2">
      <c r="A1604" t="str">
        <f ca="1">Language!A$848</f>
        <v>Лизинговые платежи</v>
      </c>
      <c r="B1604" s="36" t="str">
        <f ca="1">Language!A$828</f>
        <v>Да</v>
      </c>
      <c r="C1604" s="5" t="str">
        <f ca="1">C1591</f>
        <v>руб.</v>
      </c>
      <c r="D1604" s="5"/>
      <c r="F1604" s="53">
        <f t="shared" ref="F1604:K1604" ca="1" si="1176">F1279*IF(CUR_I_Report&lt;&gt;$B$1591,IF(CUR_I_Report=2,F$88,1/F$88),1)</f>
        <v>0</v>
      </c>
      <c r="G1604" s="53">
        <f t="shared" ca="1" si="1176"/>
        <v>0</v>
      </c>
      <c r="H1604" s="53">
        <f t="shared" ca="1" si="1176"/>
        <v>0</v>
      </c>
      <c r="I1604" s="53">
        <f t="shared" ca="1" si="1176"/>
        <v>0</v>
      </c>
      <c r="J1604" s="53">
        <f t="shared" ca="1" si="1176"/>
        <v>0</v>
      </c>
      <c r="K1604" s="53">
        <f t="shared" ca="1" si="1176"/>
        <v>0</v>
      </c>
      <c r="M1604" s="54">
        <f ca="1">SUM(F1604:K1604)</f>
        <v>0</v>
      </c>
    </row>
    <row r="1605" spans="1:13" hidden="1" outlineLevel="2" x14ac:dyDescent="0.2">
      <c r="A1605" t="str">
        <f ca="1">Language!A$849</f>
        <v>Выплата дивидендов</v>
      </c>
      <c r="B1605" s="36" t="str">
        <f ca="1">Language!A$829</f>
        <v>Нет</v>
      </c>
      <c r="C1605" s="5" t="str">
        <f ca="1">C1591</f>
        <v>руб.</v>
      </c>
      <c r="D1605" s="5"/>
    </row>
    <row r="1606" spans="1:13" hidden="1" outlineLevel="2" x14ac:dyDescent="0.2">
      <c r="A1606" t="str">
        <f ca="1">Language!A$850</f>
        <v>Ранее осуществленные инвестиции</v>
      </c>
      <c r="B1606" s="36" t="str">
        <f ca="1">CHOOSE(B1589,Language!A828,Language!A829)</f>
        <v>Нет</v>
      </c>
      <c r="C1606" s="5" t="str">
        <f ca="1">C1591</f>
        <v>руб.</v>
      </c>
      <c r="D1606" s="5"/>
      <c r="F1606" s="53">
        <f>IF($B1589=1,-$B$470/IF($B$1591=2,F$88,1),0)</f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M1606" s="54">
        <f>SUM(F1606:K1606)</f>
        <v>0</v>
      </c>
    </row>
    <row r="1607" spans="1:13" hidden="1" outlineLevel="2" x14ac:dyDescent="0.2">
      <c r="A1607" t="str">
        <f ca="1">Language!A$851</f>
        <v>Остаточная стоимость проекта</v>
      </c>
      <c r="B1607" s="36" t="str">
        <f ca="1">CHOOSE(B1590,Language!A828,Language!A829)</f>
        <v>Да</v>
      </c>
      <c r="C1607" s="5" t="str">
        <f ca="1">C1591</f>
        <v>руб.</v>
      </c>
      <c r="D1607" s="5"/>
      <c r="F1607" s="111">
        <f t="shared" ref="F1607:K1607" si="1177">IF($B1590=1,IF(F$29=PRJ_Len,(F$1428-F$1391)*IF(CUR_I_Report&lt;&gt;$B$1591,IF(CUR_I_Report=2,F$88,1/F$88),1),0),0)</f>
        <v>0</v>
      </c>
      <c r="G1607" s="111">
        <f t="shared" si="1177"/>
        <v>0</v>
      </c>
      <c r="H1607" s="111">
        <f t="shared" si="1177"/>
        <v>0</v>
      </c>
      <c r="I1607" s="111">
        <f t="shared" si="1177"/>
        <v>0</v>
      </c>
      <c r="J1607" s="111">
        <f t="shared" si="1177"/>
        <v>0</v>
      </c>
      <c r="K1607" s="111">
        <f t="shared" ca="1" si="1177"/>
        <v>-21565666.666666687</v>
      </c>
      <c r="M1607" s="54">
        <f ca="1">SUM(F1607:K1607)</f>
        <v>-21565666.666666687</v>
      </c>
    </row>
    <row r="1608" spans="1:13" hidden="1" outlineLevel="2" x14ac:dyDescent="0.2">
      <c r="A1608" s="63"/>
      <c r="B1608" s="63"/>
      <c r="C1608" s="67"/>
      <c r="D1608" s="67"/>
      <c r="E1608" s="63"/>
      <c r="F1608" s="140"/>
      <c r="G1608" s="140"/>
      <c r="H1608" s="140"/>
      <c r="I1608" s="140"/>
      <c r="J1608" s="140"/>
      <c r="K1608" s="140"/>
      <c r="L1608" s="140"/>
      <c r="M1608" s="161"/>
    </row>
    <row r="1609" spans="1:13" outlineLevel="1" x14ac:dyDescent="0.2">
      <c r="A1609" s="24" t="str">
        <f ca="1">Language!A$852</f>
        <v>Чистый денежный поток</v>
      </c>
      <c r="B1609" s="24"/>
      <c r="C1609" s="115" t="str">
        <f ca="1">C1591</f>
        <v>руб.</v>
      </c>
      <c r="D1609" s="115"/>
      <c r="E1609" s="24"/>
      <c r="F1609" s="162">
        <f t="shared" ref="F1609:J1609" ca="1" si="1178">SUM(F1597:F1607)</f>
        <v>15122083.333333332</v>
      </c>
      <c r="G1609" s="162">
        <f t="shared" ca="1" si="1178"/>
        <v>66849460</v>
      </c>
      <c r="H1609" s="162">
        <f t="shared" ca="1" si="1178"/>
        <v>98359860</v>
      </c>
      <c r="I1609" s="162">
        <f t="shared" ca="1" si="1178"/>
        <v>91019280</v>
      </c>
      <c r="J1609" s="162">
        <f t="shared" ca="1" si="1178"/>
        <v>91638500</v>
      </c>
      <c r="K1609" s="162">
        <f t="shared" ref="K1609" ca="1" si="1179">SUM(K1597:K1607)</f>
        <v>70072833.333333313</v>
      </c>
      <c r="L1609" s="24"/>
      <c r="M1609" s="54">
        <f ca="1">SUM(F1609:K1609)</f>
        <v>433062016.66666663</v>
      </c>
    </row>
    <row r="1610" spans="1:13" outlineLevel="1" x14ac:dyDescent="0.2">
      <c r="A1610" t="str">
        <f ca="1">Language!A$853</f>
        <v>Дисконтированный чистый денежный поток</v>
      </c>
      <c r="C1610" s="5" t="str">
        <f ca="1">C1591</f>
        <v>руб.</v>
      </c>
      <c r="D1610" s="5"/>
      <c r="F1610" s="53">
        <f t="shared" ref="F1610:J1610" ca="1" si="1180">F1609/F1594</f>
        <v>15122083.333333332</v>
      </c>
      <c r="G1610" s="53">
        <f t="shared" ca="1" si="1180"/>
        <v>65984071.008184254</v>
      </c>
      <c r="H1610" s="53">
        <f t="shared" ca="1" si="1180"/>
        <v>95829739.655424446</v>
      </c>
      <c r="I1610" s="53">
        <f t="shared" ca="1" si="1180"/>
        <v>87530015.482737377</v>
      </c>
      <c r="J1610" s="53">
        <f t="shared" ca="1" si="1180"/>
        <v>86984682.878084674</v>
      </c>
      <c r="K1610" s="53">
        <f t="shared" ref="K1610" ca="1" si="1181">K1609/K1594</f>
        <v>65653169.041805483</v>
      </c>
      <c r="M1610" s="54">
        <f ca="1">SUM(F1610:K1610)</f>
        <v>417103761.39956957</v>
      </c>
    </row>
    <row r="1611" spans="1:13" outlineLevel="1" x14ac:dyDescent="0.2">
      <c r="A1611" t="str">
        <f ca="1">Language!A$854</f>
        <v>Дисконтированный поток нарастающим итогом</v>
      </c>
      <c r="C1611" s="5" t="str">
        <f ca="1">C1591</f>
        <v>руб.</v>
      </c>
      <c r="D1611" s="16" t="s">
        <v>384</v>
      </c>
      <c r="F1611" s="106">
        <f t="shared" ref="F1611:K1611" ca="1" si="1182">E1611+F1610</f>
        <v>15122083.333333332</v>
      </c>
      <c r="G1611" s="106">
        <f t="shared" ca="1" si="1182"/>
        <v>81106154.341517583</v>
      </c>
      <c r="H1611" s="106">
        <f t="shared" ca="1" si="1182"/>
        <v>176935893.99694204</v>
      </c>
      <c r="I1611" s="106">
        <f t="shared" ca="1" si="1182"/>
        <v>264465909.47967941</v>
      </c>
      <c r="J1611" s="106">
        <f t="shared" ca="1" si="1182"/>
        <v>351450592.35776407</v>
      </c>
      <c r="K1611" s="106">
        <f t="shared" ca="1" si="1182"/>
        <v>417103761.39956957</v>
      </c>
    </row>
    <row r="1612" spans="1:13" outlineLevel="1" x14ac:dyDescent="0.2"/>
    <row r="1613" spans="1:13" outlineLevel="1" collapsed="1" x14ac:dyDescent="0.2">
      <c r="A1613" s="23" t="str">
        <f ca="1">Language!A$855</f>
        <v>Простой срок окупаемости</v>
      </c>
      <c r="B1613" s="164" t="str">
        <f ca="1">IF(ISERROR(E1615),Language!A$829,IF(E1615&gt;=PRJ_Len,Language!A$829,IF(OR(E1615=0),E1615*PRJ_Step/360,(E1615-OFFSET(F1614,0,E1615-1)/(-OFFSET(F1614,0,E1615-1)+OFFSET(F1614,0,E1615)))*PRJ_Step/360)))</f>
        <v>Нет</v>
      </c>
      <c r="C1613" s="17" t="str">
        <f ca="1">IF(B1613=0,Language!A$33,IF(OR(B1613&lt;1,AND(B1613&gt;1,B1613&lt;5)),Language!A$830,IF(B1613=1,Language!A$37,Language!A$33)))</f>
        <v>лет</v>
      </c>
    </row>
    <row r="1614" spans="1:13" hidden="1" outlineLevel="2" x14ac:dyDescent="0.2">
      <c r="A1614" t="str">
        <f ca="1">Language!A$856</f>
        <v xml:space="preserve">    недисконтированный поток нарастающим итогом</v>
      </c>
      <c r="D1614" s="16" t="s">
        <v>384</v>
      </c>
      <c r="F1614" s="53">
        <f t="shared" ref="F1614:K1614" ca="1" si="1183">E1614+F1609</f>
        <v>15122083.333333332</v>
      </c>
      <c r="G1614" s="53">
        <f t="shared" ca="1" si="1183"/>
        <v>81971543.333333328</v>
      </c>
      <c r="H1614" s="53">
        <f t="shared" ca="1" si="1183"/>
        <v>180331403.33333331</v>
      </c>
      <c r="I1614" s="53">
        <f t="shared" ca="1" si="1183"/>
        <v>271350683.33333331</v>
      </c>
      <c r="J1614" s="53">
        <f t="shared" ca="1" si="1183"/>
        <v>362989183.33333331</v>
      </c>
      <c r="K1614" s="53">
        <f t="shared" ca="1" si="1183"/>
        <v>433062016.66666663</v>
      </c>
    </row>
    <row r="1615" spans="1:13" hidden="1" outlineLevel="2" x14ac:dyDescent="0.2">
      <c r="A1615" t="str">
        <f ca="1">Language!A$857</f>
        <v xml:space="preserve">    знак остатка денежных средств</v>
      </c>
      <c r="D1615" s="16" t="s">
        <v>384</v>
      </c>
      <c r="E1615" s="101" t="e">
        <f ca="1">PRJ_Len+1-(MATCH(-1,F1616:L1616,0))</f>
        <v>#N/A</v>
      </c>
      <c r="F1615" s="16">
        <f t="shared" ref="F1615:J1615" ca="1" si="1184">SIGN(F1614)</f>
        <v>1</v>
      </c>
      <c r="G1615" s="16">
        <f t="shared" ca="1" si="1184"/>
        <v>1</v>
      </c>
      <c r="H1615" s="16">
        <f t="shared" ca="1" si="1184"/>
        <v>1</v>
      </c>
      <c r="I1615" s="16">
        <f t="shared" ca="1" si="1184"/>
        <v>1</v>
      </c>
      <c r="J1615" s="16">
        <f t="shared" ca="1" si="1184"/>
        <v>1</v>
      </c>
      <c r="K1615" s="16">
        <f t="shared" ref="K1615" ca="1" si="1185">SIGN(K1614)</f>
        <v>1</v>
      </c>
    </row>
    <row r="1616" spans="1:13" hidden="1" outlineLevel="2" x14ac:dyDescent="0.2">
      <c r="A1616" t="str">
        <f ca="1">Language!A$858</f>
        <v xml:space="preserve">    знак остатка денежных средств (с конца)</v>
      </c>
      <c r="D1616" s="16" t="s">
        <v>384</v>
      </c>
      <c r="E1616" s="48"/>
      <c r="F1616" s="101">
        <f t="shared" ref="F1616:J1616" ca="1" si="1186">OFFSET(F1615,0,PRJ_Len-F$29-F$29+1)</f>
        <v>1</v>
      </c>
      <c r="G1616" s="101">
        <f t="shared" ca="1" si="1186"/>
        <v>1</v>
      </c>
      <c r="H1616" s="101">
        <f t="shared" ca="1" si="1186"/>
        <v>1</v>
      </c>
      <c r="I1616" s="101">
        <f t="shared" ca="1" si="1186"/>
        <v>1</v>
      </c>
      <c r="J1616" s="101">
        <f t="shared" ca="1" si="1186"/>
        <v>1</v>
      </c>
      <c r="K1616" s="101">
        <f t="shared" ref="K1616" ca="1" si="1187">OFFSET(K1615,0,PRJ_Len-K$29-K$29+1)</f>
        <v>1</v>
      </c>
    </row>
    <row r="1617" spans="1:13" outlineLevel="1" x14ac:dyDescent="0.2">
      <c r="E1617" s="48"/>
    </row>
    <row r="1618" spans="1:13" outlineLevel="1" x14ac:dyDescent="0.2">
      <c r="A1618" s="35" t="str">
        <f ca="1">Language!A$859</f>
        <v>Чистая приведенная стоимость (NPV)</v>
      </c>
      <c r="B1618" s="151">
        <f ca="1">M1610</f>
        <v>417103761.39956957</v>
      </c>
      <c r="C1618" s="5" t="str">
        <f ca="1">C1591</f>
        <v>руб.</v>
      </c>
      <c r="E1618" s="48"/>
    </row>
    <row r="1619" spans="1:13" outlineLevel="1" collapsed="1" x14ac:dyDescent="0.2">
      <c r="A1619" s="35" t="str">
        <f ca="1">Language!A$860</f>
        <v>Дисконтированный срок окупаемости (PBP)</v>
      </c>
      <c r="B1619" s="150" t="str">
        <f ca="1">IF(ISERROR(E1620),Language!A$829,IF(E1620&gt;=PRJ_Len,Language!A$829,IF(OR(E1620=0),E1620*PRJ_Step/360,(E1620-OFFSET(F1611,0,E1620-1)/(-OFFSET(F1611,0,E1620-1)+OFFSET(F1611,0,E1620)))*PRJ_Step/360)))</f>
        <v>Нет</v>
      </c>
      <c r="C1619" s="17" t="str">
        <f ca="1">IF(B1619=0,Language!A$33,IF(OR(B1619&lt;1,AND(B1619&gt;1,B1619&lt;5)),Language!A$830,IF(B1619=1,Language!A$37,Language!A$33)))</f>
        <v>лет</v>
      </c>
      <c r="E1619" s="48"/>
    </row>
    <row r="1620" spans="1:13" hidden="1" outlineLevel="2" x14ac:dyDescent="0.2">
      <c r="A1620" s="180" t="str">
        <f ca="1">Language!A$861</f>
        <v xml:space="preserve">    знак остатка дисконтированных денежных средств</v>
      </c>
      <c r="B1620" s="180"/>
      <c r="D1620" s="16" t="s">
        <v>384</v>
      </c>
      <c r="E1620" s="101" t="e">
        <f ca="1">PRJ_Len+1-(MATCH(-1,F1621:L1621,0))</f>
        <v>#N/A</v>
      </c>
      <c r="F1620" s="16">
        <f t="shared" ref="F1620:J1620" ca="1" si="1188">SIGN(F1611)</f>
        <v>1</v>
      </c>
      <c r="G1620" s="16">
        <f t="shared" ca="1" si="1188"/>
        <v>1</v>
      </c>
      <c r="H1620" s="16">
        <f t="shared" ca="1" si="1188"/>
        <v>1</v>
      </c>
      <c r="I1620" s="16">
        <f t="shared" ca="1" si="1188"/>
        <v>1</v>
      </c>
      <c r="J1620" s="16">
        <f t="shared" ca="1" si="1188"/>
        <v>1</v>
      </c>
      <c r="K1620" s="16">
        <f t="shared" ref="K1620" ca="1" si="1189">SIGN(K1611)</f>
        <v>1</v>
      </c>
    </row>
    <row r="1621" spans="1:13" hidden="1" outlineLevel="2" x14ac:dyDescent="0.2">
      <c r="A1621" s="180" t="str">
        <f ca="1">Language!A$862</f>
        <v xml:space="preserve">    знак остатка дисконтированных денежных средств (с конца)</v>
      </c>
      <c r="B1621" s="180"/>
      <c r="D1621" s="16" t="s">
        <v>384</v>
      </c>
      <c r="E1621" s="48"/>
      <c r="F1621" s="101">
        <f t="shared" ref="F1621:J1621" ca="1" si="1190">OFFSET(F1620,0,PRJ_Len-F$29-F$29+1)</f>
        <v>1</v>
      </c>
      <c r="G1621" s="101">
        <f t="shared" ca="1" si="1190"/>
        <v>1</v>
      </c>
      <c r="H1621" s="101">
        <f t="shared" ca="1" si="1190"/>
        <v>1</v>
      </c>
      <c r="I1621" s="101">
        <f t="shared" ca="1" si="1190"/>
        <v>1</v>
      </c>
      <c r="J1621" s="101">
        <f t="shared" ca="1" si="1190"/>
        <v>1</v>
      </c>
      <c r="K1621" s="101">
        <f t="shared" ref="K1621" ca="1" si="1191">OFFSET(K1620,0,PRJ_Len-K$29-K$29+1)</f>
        <v>1</v>
      </c>
    </row>
    <row r="1622" spans="1:13" outlineLevel="1" collapsed="1" x14ac:dyDescent="0.2">
      <c r="A1622" s="130" t="str">
        <f ca="1">Language!A$863</f>
        <v>Внутренняя норма рентабельности (IRR)</v>
      </c>
      <c r="B1622" s="152" t="str">
        <f ca="1">IF(ISERROR(E1622),Language!A$829,IF(AND(E1622&gt;0,E1622&lt;100),E1622,Language!A$829))</f>
        <v>Нет</v>
      </c>
      <c r="C1622" s="107" t="str">
        <f ca="1">IF(CalcMethod=1,Language!A$831,Language!A$832)</f>
        <v>(реальная - без учета инфляции)</v>
      </c>
      <c r="E1622" s="16" t="e">
        <f ca="1">(POWER(1+IRR(F1623:K1623,0.2*PRJ_Step/360),360/PRJ_Step)-1)</f>
        <v>#NUM!</v>
      </c>
    </row>
    <row r="1623" spans="1:13" s="48" customFormat="1" hidden="1" outlineLevel="2" x14ac:dyDescent="0.2">
      <c r="A1623" s="24" t="str">
        <f ca="1">Language!A$852</f>
        <v>Чистый денежный поток</v>
      </c>
      <c r="B1623" s="223"/>
      <c r="C1623" s="216"/>
      <c r="E1623" s="101"/>
      <c r="F1623" s="65">
        <f t="shared" ref="F1623:J1623" ca="1" si="1192">F1609</f>
        <v>15122083.333333332</v>
      </c>
      <c r="G1623" s="65">
        <f t="shared" ca="1" si="1192"/>
        <v>66849460</v>
      </c>
      <c r="H1623" s="65">
        <f t="shared" ca="1" si="1192"/>
        <v>98359860</v>
      </c>
      <c r="I1623" s="65">
        <f t="shared" ca="1" si="1192"/>
        <v>91019280</v>
      </c>
      <c r="J1623" s="65">
        <f t="shared" ca="1" si="1192"/>
        <v>91638500</v>
      </c>
      <c r="K1623" s="65">
        <f t="shared" ref="K1623" ca="1" si="1193">K1609</f>
        <v>70072833.333333313</v>
      </c>
      <c r="M1623" s="41"/>
    </row>
    <row r="1624" spans="1:13" outlineLevel="1" collapsed="1" x14ac:dyDescent="0.2">
      <c r="A1624" s="23" t="str">
        <f ca="1">Language!A$864</f>
        <v>Норма доходности дисконтированных затрат (PI)</v>
      </c>
      <c r="B1624" s="309" t="str">
        <f ca="1">IF(M1628&lt;0,M1626/-M1628,Language!A$829)</f>
        <v>Нет</v>
      </c>
      <c r="C1624" s="5" t="str">
        <f ca="1">Language!A$197</f>
        <v>разы</v>
      </c>
    </row>
    <row r="1625" spans="1:13" hidden="1" outlineLevel="2" x14ac:dyDescent="0.2">
      <c r="A1625" t="str">
        <f ca="1">Language!A$865</f>
        <v xml:space="preserve">    притоки</v>
      </c>
      <c r="C1625" s="5" t="str">
        <f ca="1">C1591</f>
        <v>руб.</v>
      </c>
      <c r="F1625" s="43">
        <f t="shared" ref="F1625:J1625" ca="1" si="1194">MAX(0,F1609)</f>
        <v>15122083.333333332</v>
      </c>
      <c r="G1625" s="43">
        <f t="shared" ca="1" si="1194"/>
        <v>66849460</v>
      </c>
      <c r="H1625" s="43">
        <f t="shared" ca="1" si="1194"/>
        <v>98359860</v>
      </c>
      <c r="I1625" s="43">
        <f t="shared" ca="1" si="1194"/>
        <v>91019280</v>
      </c>
      <c r="J1625" s="43">
        <f t="shared" ca="1" si="1194"/>
        <v>91638500</v>
      </c>
      <c r="K1625" s="43">
        <f t="shared" ref="K1625" ca="1" si="1195">MAX(0,K1609)</f>
        <v>70072833.333333313</v>
      </c>
      <c r="M1625" s="54">
        <f ca="1">SUM(F1625:K1625)</f>
        <v>433062016.66666663</v>
      </c>
    </row>
    <row r="1626" spans="1:13" hidden="1" outlineLevel="2" x14ac:dyDescent="0.2">
      <c r="A1626" t="str">
        <f ca="1">Language!A$866</f>
        <v xml:space="preserve">    дисконтированные притоки</v>
      </c>
      <c r="C1626" s="5" t="str">
        <f ca="1">C1591</f>
        <v>руб.</v>
      </c>
      <c r="F1626" s="43">
        <f t="shared" ref="F1626:J1626" ca="1" si="1196">F1625/F1594</f>
        <v>15122083.333333332</v>
      </c>
      <c r="G1626" s="43">
        <f t="shared" ca="1" si="1196"/>
        <v>65984071.008184254</v>
      </c>
      <c r="H1626" s="43">
        <f t="shared" ca="1" si="1196"/>
        <v>95829739.655424446</v>
      </c>
      <c r="I1626" s="43">
        <f t="shared" ca="1" si="1196"/>
        <v>87530015.482737377</v>
      </c>
      <c r="J1626" s="43">
        <f t="shared" ca="1" si="1196"/>
        <v>86984682.878084674</v>
      </c>
      <c r="K1626" s="43">
        <f t="shared" ref="K1626" ca="1" si="1197">K1625/K1594</f>
        <v>65653169.041805483</v>
      </c>
      <c r="M1626" s="54">
        <f ca="1">SUM(F1626:K1626)</f>
        <v>417103761.39956957</v>
      </c>
    </row>
    <row r="1627" spans="1:13" hidden="1" outlineLevel="2" x14ac:dyDescent="0.2">
      <c r="A1627" t="str">
        <f ca="1">Language!A$867</f>
        <v xml:space="preserve">    оттоки</v>
      </c>
      <c r="C1627" s="5" t="str">
        <f ca="1">C1591</f>
        <v>руб.</v>
      </c>
      <c r="F1627" s="43">
        <f t="shared" ref="F1627:J1627" ca="1" si="1198">MIN(0,F1609)</f>
        <v>0</v>
      </c>
      <c r="G1627" s="43">
        <f t="shared" ca="1" si="1198"/>
        <v>0</v>
      </c>
      <c r="H1627" s="43">
        <f t="shared" ca="1" si="1198"/>
        <v>0</v>
      </c>
      <c r="I1627" s="43">
        <f t="shared" ca="1" si="1198"/>
        <v>0</v>
      </c>
      <c r="J1627" s="43">
        <f t="shared" ca="1" si="1198"/>
        <v>0</v>
      </c>
      <c r="K1627" s="43">
        <f t="shared" ref="K1627" ca="1" si="1199">MIN(0,K1609)</f>
        <v>0</v>
      </c>
      <c r="M1627" s="54">
        <f ca="1">SUM(F1627:K1627)</f>
        <v>0</v>
      </c>
    </row>
    <row r="1628" spans="1:13" hidden="1" outlineLevel="2" x14ac:dyDescent="0.2">
      <c r="A1628" t="str">
        <f ca="1">Language!A$868</f>
        <v xml:space="preserve">    дисконтированные оттоки</v>
      </c>
      <c r="C1628" s="5" t="str">
        <f ca="1">C1591</f>
        <v>руб.</v>
      </c>
      <c r="F1628" s="43">
        <f t="shared" ref="F1628:J1628" ca="1" si="1200">F1627/F1594</f>
        <v>0</v>
      </c>
      <c r="G1628" s="43">
        <f t="shared" ca="1" si="1200"/>
        <v>0</v>
      </c>
      <c r="H1628" s="43">
        <f t="shared" ca="1" si="1200"/>
        <v>0</v>
      </c>
      <c r="I1628" s="43">
        <f t="shared" ca="1" si="1200"/>
        <v>0</v>
      </c>
      <c r="J1628" s="43">
        <f t="shared" ca="1" si="1200"/>
        <v>0</v>
      </c>
      <c r="K1628" s="43">
        <f t="shared" ref="K1628" ca="1" si="1201">K1627/K1594</f>
        <v>0</v>
      </c>
      <c r="M1628" s="54">
        <f ca="1">SUM(F1628:K1628)</f>
        <v>0</v>
      </c>
    </row>
    <row r="1629" spans="1:13" outlineLevel="1" x14ac:dyDescent="0.2">
      <c r="F1629" s="43"/>
      <c r="G1629" s="43"/>
      <c r="H1629" s="43"/>
      <c r="I1629" s="43"/>
      <c r="J1629" s="43"/>
      <c r="K1629" s="43"/>
    </row>
    <row r="1630" spans="1:13" outlineLevel="1" x14ac:dyDescent="0.2">
      <c r="A1630" s="23" t="str">
        <f ca="1">Language!A$869</f>
        <v>Модифицированная IRR (MIRR)</v>
      </c>
      <c r="B1630" s="310" t="str">
        <f ca="1">IF(ISERROR(E1630),Language!A$829,E1630)</f>
        <v>Нет</v>
      </c>
      <c r="E1630" s="153" t="e">
        <f ca="1">(POWER(1+MIRR(F1609:L1609,POWER(1+B1632,PRJ_Step/360)-1,POWER(1+B1631,PRJ_Step/360)-1),360/PRJ_Step)-1)</f>
        <v>#DIV/0!</v>
      </c>
      <c r="F1630" s="43"/>
      <c r="G1630" s="43"/>
      <c r="H1630" s="43"/>
      <c r="I1630" s="43"/>
      <c r="J1630" s="43"/>
      <c r="K1630" s="43"/>
    </row>
    <row r="1631" spans="1:13" outlineLevel="1" x14ac:dyDescent="0.2">
      <c r="A1631" t="str">
        <f ca="1">Language!A$870</f>
        <v>Ставка реинвестирования доходов</v>
      </c>
      <c r="B1631" s="273">
        <f>B1592</f>
        <v>0.25</v>
      </c>
    </row>
    <row r="1632" spans="1:13" outlineLevel="1" x14ac:dyDescent="0.2">
      <c r="A1632" t="str">
        <f ca="1">Language!A$871</f>
        <v>Ставка дисконтирования инвестиционных затрат</v>
      </c>
      <c r="B1632" s="273">
        <f>B1592</f>
        <v>0.25</v>
      </c>
    </row>
    <row r="1633" spans="1:13" outlineLevel="1" x14ac:dyDescent="0.2">
      <c r="A1633" s="63"/>
      <c r="B1633" s="63"/>
      <c r="C1633" s="63"/>
      <c r="D1633" s="63"/>
      <c r="E1633" s="63"/>
      <c r="F1633" s="63"/>
      <c r="G1633" s="63"/>
      <c r="H1633" s="63"/>
      <c r="I1633" s="63"/>
      <c r="J1633" s="63"/>
      <c r="K1633" s="63"/>
      <c r="L1633" s="63"/>
      <c r="M1633" s="64"/>
    </row>
    <row r="1634" spans="1:13" outlineLevel="1" x14ac:dyDescent="0.2">
      <c r="A1634" s="22" t="str">
        <f ca="1">Language!A$872 &amp; ", " &amp; Проект!CUR_Report</f>
        <v>График: Окупаемость проекта (для полных инвестиционных затрат), руб.</v>
      </c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22"/>
    </row>
    <row r="1635" spans="1:13" outlineLevel="2" x14ac:dyDescent="0.2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22"/>
    </row>
    <row r="1636" spans="1:13" outlineLevel="2" x14ac:dyDescent="0.2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22"/>
    </row>
    <row r="1637" spans="1:13" outlineLevel="2" x14ac:dyDescent="0.2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22"/>
    </row>
    <row r="1638" spans="1:13" outlineLevel="2" x14ac:dyDescent="0.2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22"/>
    </row>
    <row r="1639" spans="1:13" outlineLevel="2" x14ac:dyDescent="0.2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22"/>
    </row>
    <row r="1640" spans="1:13" outlineLevel="2" x14ac:dyDescent="0.2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22"/>
    </row>
    <row r="1641" spans="1:13" outlineLevel="2" x14ac:dyDescent="0.2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22"/>
    </row>
    <row r="1642" spans="1:13" outlineLevel="2" x14ac:dyDescent="0.2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22"/>
    </row>
    <row r="1643" spans="1:13" outlineLevel="2" x14ac:dyDescent="0.2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22"/>
    </row>
    <row r="1644" spans="1:13" outlineLevel="2" x14ac:dyDescent="0.2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22"/>
    </row>
    <row r="1645" spans="1:13" outlineLevel="2" x14ac:dyDescent="0.2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22"/>
    </row>
    <row r="1646" spans="1:13" outlineLevel="2" x14ac:dyDescent="0.2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22"/>
    </row>
    <row r="1647" spans="1:13" outlineLevel="2" x14ac:dyDescent="0.2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22"/>
    </row>
    <row r="1648" spans="1:13" outlineLevel="2" x14ac:dyDescent="0.2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22"/>
    </row>
    <row r="1649" spans="1:13" outlineLevel="2" x14ac:dyDescent="0.2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22"/>
    </row>
    <row r="1650" spans="1:13" outlineLevel="2" x14ac:dyDescent="0.2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22"/>
    </row>
    <row r="1651" spans="1:13" outlineLevel="2" x14ac:dyDescent="0.2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22"/>
    </row>
    <row r="1652" spans="1:13" outlineLevel="2" x14ac:dyDescent="0.2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22"/>
    </row>
    <row r="1653" spans="1:13" outlineLevel="2" x14ac:dyDescent="0.2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22"/>
    </row>
    <row r="1654" spans="1:13" outlineLevel="2" x14ac:dyDescent="0.2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22"/>
    </row>
    <row r="1655" spans="1:13" outlineLevel="2" x14ac:dyDescent="0.2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22"/>
    </row>
    <row r="1656" spans="1:13" outlineLevel="2" x14ac:dyDescent="0.2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22"/>
    </row>
    <row r="1657" spans="1:13" outlineLevel="2" x14ac:dyDescent="0.2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22"/>
    </row>
    <row r="1658" spans="1:13" outlineLevel="1" x14ac:dyDescent="0.2"/>
    <row r="1659" spans="1:13" outlineLevel="1" x14ac:dyDescent="0.2"/>
    <row r="1660" spans="1:13" s="4" customFormat="1" ht="15.9" customHeight="1" thickBot="1" x14ac:dyDescent="0.25">
      <c r="A1660" s="166" t="str">
        <f ca="1">Language!A873</f>
        <v xml:space="preserve">         ЭФФЕКТИВНОСТЬ ДЛЯ СОБСТВЕННОГО КАПИТАЛА</v>
      </c>
      <c r="B1660" s="166"/>
      <c r="C1660" s="166"/>
      <c r="D1660" s="166"/>
      <c r="E1660" s="166"/>
      <c r="F1660" s="178" t="str">
        <f t="shared" ref="F1660:K1660" si="1202">PeriodTitle</f>
        <v>4/ 2020</v>
      </c>
      <c r="G1660" s="178" t="str">
        <f t="shared" si="1202"/>
        <v>5/ 2020</v>
      </c>
      <c r="H1660" s="178" t="str">
        <f t="shared" si="1202"/>
        <v>6/ 2020</v>
      </c>
      <c r="I1660" s="178" t="str">
        <f t="shared" si="1202"/>
        <v>7/ 2020</v>
      </c>
      <c r="J1660" s="178" t="str">
        <f t="shared" si="1202"/>
        <v>8/ 2020</v>
      </c>
      <c r="K1660" s="178" t="str">
        <f t="shared" si="1202"/>
        <v>9/ 2020</v>
      </c>
      <c r="L1660" s="166"/>
      <c r="M1660" s="167" t="str">
        <f ca="1">Language!A$371</f>
        <v>ИТОГО</v>
      </c>
    </row>
    <row r="1661" spans="1:13" ht="10.8" outlineLevel="1" thickTop="1" x14ac:dyDescent="0.2"/>
    <row r="1662" spans="1:13" outlineLevel="1" x14ac:dyDescent="0.2">
      <c r="A1662" t="str">
        <f ca="1">Language!A$833</f>
        <v>Учитывать ранее осуществленные инвестиции</v>
      </c>
      <c r="B1662" s="255">
        <v>1</v>
      </c>
      <c r="C1662" s="36" t="str">
        <f ca="1">CHOOSE(B1662,Language!A828,Language!A829)</f>
        <v>Да</v>
      </c>
    </row>
    <row r="1663" spans="1:13" outlineLevel="1" x14ac:dyDescent="0.2">
      <c r="A1663" t="str">
        <f ca="1">Language!A$834</f>
        <v>Учитывать остаточную стоимость проекта</v>
      </c>
      <c r="B1663" s="255">
        <v>1</v>
      </c>
      <c r="C1663" s="36" t="str">
        <f ca="1">CHOOSE(B1663,Language!A828,Language!A829)</f>
        <v>Да</v>
      </c>
    </row>
    <row r="1664" spans="1:13" outlineLevel="1" x14ac:dyDescent="0.2">
      <c r="A1664" t="str">
        <f ca="1">Language!A$835</f>
        <v>Валюта расчетов:</v>
      </c>
      <c r="B1664" s="255">
        <v>1</v>
      </c>
      <c r="C1664" s="17" t="str">
        <f ca="1">CHOOSE(B1664,CUR_Main,CUR_Foreign)</f>
        <v>руб.</v>
      </c>
    </row>
    <row r="1665" spans="1:13" outlineLevel="1" collapsed="1" x14ac:dyDescent="0.2">
      <c r="A1665" t="str">
        <f ca="1">Language!A$836</f>
        <v>Годовая ставка дисконтирования:</v>
      </c>
      <c r="B1665" s="273">
        <f>SENS_Discount</f>
        <v>0.25</v>
      </c>
      <c r="C1665" s="5" t="s">
        <v>177</v>
      </c>
      <c r="D1665" s="16" t="s">
        <v>176</v>
      </c>
      <c r="F1665" s="135">
        <f>$B$1665</f>
        <v>0.25</v>
      </c>
      <c r="G1665" s="135">
        <f t="shared" ref="G1665:K1665" si="1203">F1665</f>
        <v>0.25</v>
      </c>
      <c r="H1665" s="135">
        <f t="shared" si="1203"/>
        <v>0.25</v>
      </c>
      <c r="I1665" s="135">
        <f t="shared" si="1203"/>
        <v>0.25</v>
      </c>
      <c r="J1665" s="135">
        <f t="shared" si="1203"/>
        <v>0.25</v>
      </c>
      <c r="K1665" s="135">
        <f t="shared" si="1203"/>
        <v>0.25</v>
      </c>
    </row>
    <row r="1666" spans="1:13" hidden="1" outlineLevel="2" x14ac:dyDescent="0.2">
      <c r="A1666" t="str">
        <f ca="1">Language!A$837</f>
        <v xml:space="preserve">    ставка дисконтирования на расчетный период</v>
      </c>
      <c r="D1666" s="16" t="s">
        <v>176</v>
      </c>
      <c r="F1666" s="135">
        <f t="shared" ref="F1666:K1666" si="1204">POWER(1+F1665,PRJ_Step/360)-1-IF(CalcMethod=1,IF($B$1664=1,F$81,F$92),0)</f>
        <v>1.3115119734100844E-2</v>
      </c>
      <c r="G1666" s="135">
        <f t="shared" si="1204"/>
        <v>1.3115119734100844E-2</v>
      </c>
      <c r="H1666" s="135">
        <f t="shared" si="1204"/>
        <v>1.3115119734100844E-2</v>
      </c>
      <c r="I1666" s="135">
        <f t="shared" si="1204"/>
        <v>1.3115119734100844E-2</v>
      </c>
      <c r="J1666" s="135">
        <f t="shared" si="1204"/>
        <v>1.3115119734100844E-2</v>
      </c>
      <c r="K1666" s="135">
        <f t="shared" si="1204"/>
        <v>1.3115119734100844E-2</v>
      </c>
    </row>
    <row r="1667" spans="1:13" hidden="1" outlineLevel="2" x14ac:dyDescent="0.2">
      <c r="A1667" t="str">
        <f ca="1">Language!A$838</f>
        <v xml:space="preserve">    коэффициент дисконта для потока на начало периода</v>
      </c>
      <c r="D1667" s="16" t="s">
        <v>176</v>
      </c>
      <c r="F1667" s="136">
        <v>1</v>
      </c>
      <c r="G1667" s="136">
        <f t="shared" ref="G1667:K1667" si="1205">F1667*(1+F1666)</f>
        <v>1.0131151197341008</v>
      </c>
      <c r="H1667" s="136">
        <f t="shared" si="1205"/>
        <v>1.0264022458338415</v>
      </c>
      <c r="I1667" s="136">
        <f t="shared" si="1205"/>
        <v>1.0398636341833023</v>
      </c>
      <c r="J1667" s="136">
        <f t="shared" si="1205"/>
        <v>1.0535015702527535</v>
      </c>
      <c r="K1667" s="136">
        <f t="shared" si="1205"/>
        <v>1.0673183694866817</v>
      </c>
    </row>
    <row r="1668" spans="1:13" outlineLevel="1" collapsed="1" x14ac:dyDescent="0.2"/>
    <row r="1669" spans="1:13" hidden="1" outlineLevel="2" x14ac:dyDescent="0.2">
      <c r="A1669" s="23" t="str">
        <f ca="1">Language!A$840</f>
        <v>Учитываемые денежные потоки проекта:</v>
      </c>
    </row>
    <row r="1670" spans="1:13" hidden="1" outlineLevel="2" x14ac:dyDescent="0.2">
      <c r="A1670" t="str">
        <f ca="1">Language!A$841</f>
        <v>Денежные потоки от операционной деятельности</v>
      </c>
      <c r="B1670" s="36" t="str">
        <f ca="1">Language!A$828</f>
        <v>Да</v>
      </c>
      <c r="C1670" s="5" t="str">
        <f ca="1">C1664</f>
        <v>руб.</v>
      </c>
      <c r="F1670" s="84">
        <f t="shared" ref="F1670:K1670" ca="1" si="1206">F1261*IF(CUR_I_Report&lt;&gt;$B$1664,IF(CUR_I_Report=2,F$88,1/F$88),1)</f>
        <v>13127500</v>
      </c>
      <c r="G1670" s="84">
        <f t="shared" ca="1" si="1206"/>
        <v>58087900</v>
      </c>
      <c r="H1670" s="84">
        <f t="shared" ca="1" si="1206"/>
        <v>91768300</v>
      </c>
      <c r="I1670" s="84">
        <f t="shared" ca="1" si="1206"/>
        <v>91688500</v>
      </c>
      <c r="J1670" s="84">
        <f t="shared" ca="1" si="1206"/>
        <v>91688500</v>
      </c>
      <c r="K1670" s="84">
        <f t="shared" ca="1" si="1206"/>
        <v>91688500</v>
      </c>
      <c r="L1670" s="43"/>
      <c r="M1670" s="54">
        <f ca="1">SUM(F1670:K1670)</f>
        <v>438049200</v>
      </c>
    </row>
    <row r="1671" spans="1:13" hidden="1" outlineLevel="2" x14ac:dyDescent="0.2">
      <c r="A1671" t="str">
        <f ca="1">Language!A$842</f>
        <v xml:space="preserve">    за исключением процентов по кредитам</v>
      </c>
      <c r="B1671" s="36" t="str">
        <f ca="1">Language!A$829</f>
        <v>Нет</v>
      </c>
      <c r="C1671" s="5" t="str">
        <f ca="1">C1664</f>
        <v>руб.</v>
      </c>
      <c r="D1671" s="5"/>
      <c r="F1671" s="43"/>
      <c r="G1671" s="43"/>
      <c r="H1671" s="43"/>
      <c r="I1671" s="43"/>
      <c r="J1671" s="43"/>
      <c r="K1671" s="43"/>
      <c r="L1671" s="43"/>
      <c r="M1671" s="54"/>
    </row>
    <row r="1672" spans="1:13" hidden="1" outlineLevel="2" x14ac:dyDescent="0.2">
      <c r="A1672" t="str">
        <f ca="1">Language!A$843</f>
        <v>Денежные потоки от инвестиционной деятельности</v>
      </c>
      <c r="B1672" s="36" t="str">
        <f ca="1">Language!A$828</f>
        <v>Да</v>
      </c>
      <c r="C1672" s="5" t="str">
        <f ca="1">C1664</f>
        <v>руб.</v>
      </c>
      <c r="D1672" s="5"/>
      <c r="F1672" s="43">
        <f t="shared" ref="F1672:K1672" ca="1" si="1207">F1272*IF(CUR_I_Report&lt;&gt;$B$1664,IF(CUR_I_Report=2,F$88,1/F$88),1)</f>
        <v>1994583.333333333</v>
      </c>
      <c r="G1672" s="43">
        <f t="shared" ca="1" si="1207"/>
        <v>8761560</v>
      </c>
      <c r="H1672" s="43">
        <f t="shared" ca="1" si="1207"/>
        <v>6591560</v>
      </c>
      <c r="I1672" s="43">
        <f t="shared" ca="1" si="1207"/>
        <v>-669220</v>
      </c>
      <c r="J1672" s="43">
        <f t="shared" ca="1" si="1207"/>
        <v>-50000</v>
      </c>
      <c r="K1672" s="43">
        <f t="shared" ca="1" si="1207"/>
        <v>-50000</v>
      </c>
      <c r="L1672" s="43"/>
      <c r="M1672" s="54">
        <f ca="1">SUM(F1672:K1672)</f>
        <v>16578483.333333332</v>
      </c>
    </row>
    <row r="1673" spans="1:13" hidden="1" outlineLevel="2" x14ac:dyDescent="0.2">
      <c r="A1673" t="str">
        <f ca="1">Language!A$844</f>
        <v>Поступления собственного капитала</v>
      </c>
      <c r="B1673" s="36" t="str">
        <f ca="1">Language!A$829</f>
        <v>Нет</v>
      </c>
      <c r="C1673" s="5" t="str">
        <f ca="1">C1664</f>
        <v>руб.</v>
      </c>
      <c r="D1673" s="5"/>
      <c r="F1673" s="43"/>
      <c r="G1673" s="43"/>
      <c r="H1673" s="43"/>
      <c r="I1673" s="43"/>
      <c r="J1673" s="43"/>
      <c r="K1673" s="43"/>
      <c r="L1673" s="43"/>
      <c r="M1673" s="54"/>
    </row>
    <row r="1674" spans="1:13" hidden="1" outlineLevel="2" x14ac:dyDescent="0.2">
      <c r="A1674" t="str">
        <f ca="1">Language!A$845</f>
        <v>Поступления целевого финансирования</v>
      </c>
      <c r="B1674" s="36" t="str">
        <f ca="1">Language!A$828</f>
        <v>Да</v>
      </c>
      <c r="C1674" s="5" t="str">
        <f ca="1">C1664</f>
        <v>руб.</v>
      </c>
      <c r="D1674" s="5"/>
      <c r="F1674" s="53">
        <f t="shared" ref="F1674:K1674" si="1208">(F1275+F1276)*IF(CUR_I_Report&lt;&gt;$B$1664,IF(CUR_I_Report=2,F$88,1/F$88),1)</f>
        <v>0</v>
      </c>
      <c r="G1674" s="53">
        <f t="shared" si="1208"/>
        <v>0</v>
      </c>
      <c r="H1674" s="53">
        <f t="shared" si="1208"/>
        <v>0</v>
      </c>
      <c r="I1674" s="53">
        <f t="shared" si="1208"/>
        <v>0</v>
      </c>
      <c r="J1674" s="53">
        <f t="shared" si="1208"/>
        <v>0</v>
      </c>
      <c r="K1674" s="53">
        <f t="shared" si="1208"/>
        <v>0</v>
      </c>
      <c r="L1674" s="43"/>
      <c r="M1674" s="54">
        <f>SUM(F1674:K1674)</f>
        <v>0</v>
      </c>
    </row>
    <row r="1675" spans="1:13" hidden="1" outlineLevel="2" x14ac:dyDescent="0.2">
      <c r="A1675" t="str">
        <f ca="1">Language!A$846</f>
        <v>Поступления кредитов</v>
      </c>
      <c r="B1675" s="36" t="str">
        <f ca="1">Language!A$828</f>
        <v>Да</v>
      </c>
      <c r="C1675" s="5" t="str">
        <f ca="1">C1664</f>
        <v>руб.</v>
      </c>
      <c r="D1675" s="5"/>
      <c r="F1675" s="53">
        <f>F1277*IF(CUR_I_Report&lt;&gt;$B$1664,IF(CUR_I_Report=2,F$88,1/F$88),1)</f>
        <v>0</v>
      </c>
      <c r="G1675" s="53">
        <f>G1277*IF(CUR_I_Report&lt;&gt;$B$1664,IF(CUR_I_Report=2,G$88,1/G$88),1)</f>
        <v>0</v>
      </c>
      <c r="H1675" s="53">
        <f>H1277*IF(CUR_I_Report&lt;&gt;$B$1664,IF(CUR_I_Report=2,H$88,1/H$88),1)</f>
        <v>0</v>
      </c>
      <c r="I1675" s="53">
        <f>I1277*IF(CUR_I_Report&lt;&gt;$B$1664,IF(CUR_I_Report=2,I$88,1/I$88),1)</f>
        <v>0</v>
      </c>
      <c r="J1675" s="53">
        <f>J1277*IF(CUR_I_Report&lt;&gt;$B$1664,IF(CUR_I_Report=2,J$88,1/J$88),1)</f>
        <v>0</v>
      </c>
      <c r="K1675" s="53">
        <f>K1277*IF(CUR_I_Report&lt;&gt;$B$1664,IF(CUR_I_Report=2,K$88,1/K$88),1)</f>
        <v>0</v>
      </c>
      <c r="L1675" s="43"/>
      <c r="M1675" s="54">
        <f>SUM(F1675:K1675)</f>
        <v>0</v>
      </c>
    </row>
    <row r="1676" spans="1:13" hidden="1" outlineLevel="2" x14ac:dyDescent="0.2">
      <c r="A1676" t="str">
        <f ca="1">Language!A$847</f>
        <v>Возврат кредитов</v>
      </c>
      <c r="B1676" s="36" t="str">
        <f ca="1">Language!A$828</f>
        <v>Да</v>
      </c>
      <c r="C1676" s="5" t="str">
        <f ca="1">C1664</f>
        <v>руб.</v>
      </c>
      <c r="D1676" s="5"/>
      <c r="F1676" s="53">
        <f>F1278*IF(CUR_I_Report&lt;&gt;$B$1664,IF(CUR_I_Report=2,F$88,1/F$88),1)</f>
        <v>0</v>
      </c>
      <c r="G1676" s="53">
        <f>G1278*IF(CUR_I_Report&lt;&gt;$B$1664,IF(CUR_I_Report=2,G$88,1/G$88),1)</f>
        <v>0</v>
      </c>
      <c r="H1676" s="53">
        <f>H1278*IF(CUR_I_Report&lt;&gt;$B$1664,IF(CUR_I_Report=2,H$88,1/H$88),1)</f>
        <v>0</v>
      </c>
      <c r="I1676" s="53">
        <f>I1278*IF(CUR_I_Report&lt;&gt;$B$1664,IF(CUR_I_Report=2,I$88,1/I$88),1)</f>
        <v>0</v>
      </c>
      <c r="J1676" s="53">
        <f>J1278*IF(CUR_I_Report&lt;&gt;$B$1664,IF(CUR_I_Report=2,J$88,1/J$88),1)</f>
        <v>0</v>
      </c>
      <c r="K1676" s="53">
        <f>K1278*IF(CUR_I_Report&lt;&gt;$B$1664,IF(CUR_I_Report=2,K$88,1/K$88),1)</f>
        <v>0</v>
      </c>
      <c r="L1676" s="43"/>
      <c r="M1676" s="54">
        <f>SUM(F1676:K1676)</f>
        <v>0</v>
      </c>
    </row>
    <row r="1677" spans="1:13" hidden="1" outlineLevel="2" x14ac:dyDescent="0.2">
      <c r="A1677" t="str">
        <f ca="1">Language!A$848</f>
        <v>Лизинговые платежи</v>
      </c>
      <c r="B1677" s="36" t="str">
        <f ca="1">Language!A$828</f>
        <v>Да</v>
      </c>
      <c r="C1677" s="5" t="str">
        <f ca="1">C1664</f>
        <v>руб.</v>
      </c>
      <c r="D1677" s="5"/>
      <c r="F1677" s="43">
        <f ca="1">F1279*IF(CUR_I_Report&lt;&gt;$B$1664,IF(CUR_I_Report=2,F$88,1/F$88),1)</f>
        <v>0</v>
      </c>
      <c r="G1677" s="43">
        <f ca="1">G1279*IF(CUR_I_Report&lt;&gt;$B$1664,IF(CUR_I_Report=2,G$88,1/G$88),1)</f>
        <v>0</v>
      </c>
      <c r="H1677" s="43">
        <f ca="1">H1279*IF(CUR_I_Report&lt;&gt;$B$1664,IF(CUR_I_Report=2,H$88,1/H$88),1)</f>
        <v>0</v>
      </c>
      <c r="I1677" s="43">
        <f ca="1">I1279*IF(CUR_I_Report&lt;&gt;$B$1664,IF(CUR_I_Report=2,I$88,1/I$88),1)</f>
        <v>0</v>
      </c>
      <c r="J1677" s="43">
        <f ca="1">J1279*IF(CUR_I_Report&lt;&gt;$B$1664,IF(CUR_I_Report=2,J$88,1/J$88),1)</f>
        <v>0</v>
      </c>
      <c r="K1677" s="43">
        <f ca="1">K1279*IF(CUR_I_Report&lt;&gt;$B$1664,IF(CUR_I_Report=2,K$88,1/K$88),1)</f>
        <v>0</v>
      </c>
      <c r="L1677" s="43"/>
      <c r="M1677" s="54">
        <f ca="1">SUM(F1677:K1677)</f>
        <v>0</v>
      </c>
    </row>
    <row r="1678" spans="1:13" hidden="1" outlineLevel="2" x14ac:dyDescent="0.2">
      <c r="A1678" t="str">
        <f ca="1">Language!A$849</f>
        <v>Выплата дивидендов</v>
      </c>
      <c r="B1678" s="36" t="str">
        <f ca="1">Language!A$829</f>
        <v>Нет</v>
      </c>
      <c r="C1678" s="5" t="str">
        <f ca="1">C1664</f>
        <v>руб.</v>
      </c>
      <c r="D1678" s="5"/>
      <c r="F1678" s="43"/>
      <c r="G1678" s="43"/>
      <c r="H1678" s="43"/>
      <c r="I1678" s="43"/>
      <c r="J1678" s="43"/>
      <c r="K1678" s="43"/>
      <c r="L1678" s="43"/>
      <c r="M1678" s="54"/>
    </row>
    <row r="1679" spans="1:13" hidden="1" outlineLevel="2" x14ac:dyDescent="0.2">
      <c r="A1679" t="str">
        <f ca="1">Language!A$850</f>
        <v>Ранее осуществленные инвестиции</v>
      </c>
      <c r="B1679" s="36" t="str">
        <f ca="1">CHOOSE(B1662,Language!A828,Language!A829)</f>
        <v>Да</v>
      </c>
      <c r="C1679" s="5" t="str">
        <f ca="1">C1664</f>
        <v>руб.</v>
      </c>
      <c r="D1679" s="5"/>
      <c r="F1679" s="53">
        <f>IF($B1662=1,-$B$470/IF($B$1664=2,F$88,1),0)</f>
        <v>0</v>
      </c>
      <c r="G1679" s="43">
        <v>0</v>
      </c>
      <c r="H1679" s="43">
        <v>0</v>
      </c>
      <c r="I1679" s="43">
        <v>0</v>
      </c>
      <c r="J1679" s="43">
        <v>0</v>
      </c>
      <c r="K1679" s="43">
        <v>0</v>
      </c>
      <c r="L1679" s="43"/>
      <c r="M1679" s="54">
        <f>SUM(F1679:K1679)</f>
        <v>0</v>
      </c>
    </row>
    <row r="1680" spans="1:13" hidden="1" outlineLevel="2" x14ac:dyDescent="0.2">
      <c r="A1680" t="str">
        <f ca="1">Language!A$851</f>
        <v>Остаточная стоимость проекта</v>
      </c>
      <c r="B1680" s="36" t="str">
        <f ca="1">CHOOSE(B1663,Language!A828,Language!A829)</f>
        <v>Да</v>
      </c>
      <c r="C1680" s="5" t="str">
        <f ca="1">C1664</f>
        <v>руб.</v>
      </c>
      <c r="D1680" s="5"/>
      <c r="F1680" s="111">
        <f t="shared" ref="F1680:K1680" si="1209">IF($B1663=1,IF(F$29=PRJ_Len,(F$1428-F$1391)*IF(CUR_I_Report&lt;&gt;$B$1664,IF(CUR_I_Report=2,F$88,1/F$88),1),0),0)</f>
        <v>0</v>
      </c>
      <c r="G1680" s="111">
        <f t="shared" si="1209"/>
        <v>0</v>
      </c>
      <c r="H1680" s="111">
        <f t="shared" si="1209"/>
        <v>0</v>
      </c>
      <c r="I1680" s="111">
        <f t="shared" si="1209"/>
        <v>0</v>
      </c>
      <c r="J1680" s="111">
        <f t="shared" si="1209"/>
        <v>0</v>
      </c>
      <c r="K1680" s="111">
        <f t="shared" ca="1" si="1209"/>
        <v>-21565666.666666687</v>
      </c>
      <c r="L1680" s="43"/>
      <c r="M1680" s="54">
        <f ca="1">SUM(F1680:K1680)</f>
        <v>-21565666.666666687</v>
      </c>
    </row>
    <row r="1681" spans="1:13" hidden="1" outlineLevel="2" x14ac:dyDescent="0.2">
      <c r="A1681" s="63"/>
      <c r="B1681" s="63"/>
      <c r="C1681" s="67"/>
      <c r="D1681" s="67"/>
      <c r="E1681" s="63"/>
      <c r="F1681" s="121"/>
      <c r="G1681" s="121"/>
      <c r="H1681" s="121"/>
      <c r="I1681" s="121"/>
      <c r="J1681" s="121"/>
      <c r="K1681" s="121"/>
      <c r="L1681" s="121"/>
      <c r="M1681" s="122"/>
    </row>
    <row r="1682" spans="1:13" outlineLevel="1" x14ac:dyDescent="0.2">
      <c r="A1682" s="24" t="str">
        <f ca="1">Language!A$852</f>
        <v>Чистый денежный поток</v>
      </c>
      <c r="B1682" s="19"/>
      <c r="C1682" s="26" t="str">
        <f ca="1">C1664</f>
        <v>руб.</v>
      </c>
      <c r="D1682" s="26"/>
      <c r="E1682" s="19"/>
      <c r="F1682" s="65">
        <f t="shared" ref="F1682:J1682" ca="1" si="1210">F1672+F1679+F1674+F1675+F1676+F1680+F1670+F1671+F1677</f>
        <v>15122083.333333332</v>
      </c>
      <c r="G1682" s="65">
        <f t="shared" ca="1" si="1210"/>
        <v>66849460</v>
      </c>
      <c r="H1682" s="65">
        <f t="shared" ca="1" si="1210"/>
        <v>98359860</v>
      </c>
      <c r="I1682" s="65">
        <f t="shared" ca="1" si="1210"/>
        <v>91019280</v>
      </c>
      <c r="J1682" s="65">
        <f t="shared" ca="1" si="1210"/>
        <v>91638500</v>
      </c>
      <c r="K1682" s="65">
        <f t="shared" ref="K1682" ca="1" si="1211">K1672+K1679+K1674+K1675+K1676+K1680+K1670+K1671+K1677</f>
        <v>70072833.333333313</v>
      </c>
      <c r="L1682" s="65"/>
      <c r="M1682" s="54">
        <f ca="1">SUM(F1682:K1682)</f>
        <v>433062016.66666663</v>
      </c>
    </row>
    <row r="1683" spans="1:13" outlineLevel="1" x14ac:dyDescent="0.2">
      <c r="A1683" t="str">
        <f ca="1">Language!A$853</f>
        <v>Дисконтированный чистый денежный поток</v>
      </c>
      <c r="B1683" s="19"/>
      <c r="C1683" s="26" t="str">
        <f ca="1">C1664</f>
        <v>руб.</v>
      </c>
      <c r="D1683" s="26"/>
      <c r="E1683" s="19"/>
      <c r="F1683" s="53">
        <f t="shared" ref="F1683:J1683" ca="1" si="1212">F1682/F1667</f>
        <v>15122083.333333332</v>
      </c>
      <c r="G1683" s="53">
        <f t="shared" ca="1" si="1212"/>
        <v>65984071.008184254</v>
      </c>
      <c r="H1683" s="53">
        <f t="shared" ca="1" si="1212"/>
        <v>95829739.655424446</v>
      </c>
      <c r="I1683" s="53">
        <f t="shared" ca="1" si="1212"/>
        <v>87530015.482737377</v>
      </c>
      <c r="J1683" s="53">
        <f t="shared" ca="1" si="1212"/>
        <v>86984682.878084674</v>
      </c>
      <c r="K1683" s="53">
        <f t="shared" ref="K1683" ca="1" si="1213">K1682/K1667</f>
        <v>65653169.041805483</v>
      </c>
      <c r="L1683" s="65"/>
      <c r="M1683" s="54">
        <f ca="1">SUM(F1683:K1683)</f>
        <v>417103761.39956957</v>
      </c>
    </row>
    <row r="1684" spans="1:13" outlineLevel="1" x14ac:dyDescent="0.2">
      <c r="A1684" t="str">
        <f ca="1">Language!A$854</f>
        <v>Дисконтированный поток нарастающим итогом</v>
      </c>
      <c r="C1684" s="5" t="str">
        <f ca="1">C1664</f>
        <v>руб.</v>
      </c>
      <c r="D1684" s="16" t="s">
        <v>384</v>
      </c>
      <c r="F1684" s="43">
        <f t="shared" ref="F1684:K1684" ca="1" si="1214">E1684+F1683</f>
        <v>15122083.333333332</v>
      </c>
      <c r="G1684" s="43">
        <f t="shared" ca="1" si="1214"/>
        <v>81106154.341517583</v>
      </c>
      <c r="H1684" s="43">
        <f t="shared" ca="1" si="1214"/>
        <v>176935893.99694204</v>
      </c>
      <c r="I1684" s="43">
        <f t="shared" ca="1" si="1214"/>
        <v>264465909.47967941</v>
      </c>
      <c r="J1684" s="43">
        <f t="shared" ca="1" si="1214"/>
        <v>351450592.35776407</v>
      </c>
      <c r="K1684" s="43">
        <f t="shared" ca="1" si="1214"/>
        <v>417103761.39956957</v>
      </c>
      <c r="L1684" s="43"/>
      <c r="M1684" s="54"/>
    </row>
    <row r="1685" spans="1:13" outlineLevel="1" x14ac:dyDescent="0.2">
      <c r="F1685" s="43"/>
      <c r="G1685" s="43"/>
      <c r="H1685" s="43"/>
      <c r="I1685" s="43"/>
      <c r="J1685" s="43"/>
      <c r="K1685" s="43"/>
      <c r="L1685" s="43"/>
      <c r="M1685" s="54"/>
    </row>
    <row r="1686" spans="1:13" outlineLevel="1" collapsed="1" x14ac:dyDescent="0.2">
      <c r="A1686" s="23" t="str">
        <f ca="1">Language!A$855</f>
        <v>Простой срок окупаемости</v>
      </c>
      <c r="B1686" s="164" t="str">
        <f ca="1">IF(ISERROR(E1688),Language!A$829,IF(E1688&gt;=PRJ_Len,Language!A$829,IF(OR(E1688=0),E1688*PRJ_Step/360,(E1688-OFFSET(F1687,0,E1688-1)/(-OFFSET(F1687,0,E1688-1)+OFFSET(F1687,0,E1688)))*PRJ_Step/360)))</f>
        <v>Нет</v>
      </c>
      <c r="C1686" s="17" t="str">
        <f ca="1">IF(B1686=0,Language!A$33,IF(OR(B1686&lt;1,AND(B1686&gt;1,B1686&lt;5)),Language!A$830,IF(B1686=1,Language!A$37,Language!A$33)))</f>
        <v>лет</v>
      </c>
    </row>
    <row r="1687" spans="1:13" hidden="1" outlineLevel="2" x14ac:dyDescent="0.2">
      <c r="A1687" t="str">
        <f ca="1">Language!A$856</f>
        <v xml:space="preserve">    недисконтированный поток нарастающим итогом</v>
      </c>
      <c r="D1687" s="16" t="s">
        <v>384</v>
      </c>
      <c r="F1687" s="53">
        <f t="shared" ref="F1687:K1687" ca="1" si="1215">E1687+F1682</f>
        <v>15122083.333333332</v>
      </c>
      <c r="G1687" s="53">
        <f t="shared" ca="1" si="1215"/>
        <v>81971543.333333328</v>
      </c>
      <c r="H1687" s="53">
        <f t="shared" ca="1" si="1215"/>
        <v>180331403.33333331</v>
      </c>
      <c r="I1687" s="53">
        <f t="shared" ca="1" si="1215"/>
        <v>271350683.33333331</v>
      </c>
      <c r="J1687" s="53">
        <f t="shared" ca="1" si="1215"/>
        <v>362989183.33333331</v>
      </c>
      <c r="K1687" s="53">
        <f t="shared" ca="1" si="1215"/>
        <v>433062016.66666663</v>
      </c>
    </row>
    <row r="1688" spans="1:13" hidden="1" outlineLevel="2" x14ac:dyDescent="0.2">
      <c r="A1688" t="str">
        <f ca="1">Language!A$857</f>
        <v xml:space="preserve">    знак остатка денежных средств</v>
      </c>
      <c r="D1688" s="16" t="s">
        <v>384</v>
      </c>
      <c r="E1688" s="101" t="e">
        <f ca="1">PRJ_Len+1-(MATCH(-1,F1689:L1689,0))</f>
        <v>#N/A</v>
      </c>
      <c r="F1688" s="16">
        <f t="shared" ref="F1688:J1688" ca="1" si="1216">SIGN(F1687)</f>
        <v>1</v>
      </c>
      <c r="G1688" s="16">
        <f t="shared" ca="1" si="1216"/>
        <v>1</v>
      </c>
      <c r="H1688" s="16">
        <f t="shared" ca="1" si="1216"/>
        <v>1</v>
      </c>
      <c r="I1688" s="16">
        <f t="shared" ca="1" si="1216"/>
        <v>1</v>
      </c>
      <c r="J1688" s="16">
        <f t="shared" ca="1" si="1216"/>
        <v>1</v>
      </c>
      <c r="K1688" s="16">
        <f t="shared" ref="K1688" ca="1" si="1217">SIGN(K1687)</f>
        <v>1</v>
      </c>
    </row>
    <row r="1689" spans="1:13" hidden="1" outlineLevel="2" x14ac:dyDescent="0.2">
      <c r="A1689" t="str">
        <f ca="1">Language!A$858</f>
        <v xml:space="preserve">    знак остатка денежных средств (с конца)</v>
      </c>
      <c r="D1689" s="16" t="s">
        <v>384</v>
      </c>
      <c r="F1689" s="101">
        <f t="shared" ref="F1689:J1689" ca="1" si="1218">OFFSET(F1688,0,PRJ_Len-F$29-F$29+1)</f>
        <v>1</v>
      </c>
      <c r="G1689" s="101">
        <f t="shared" ca="1" si="1218"/>
        <v>1</v>
      </c>
      <c r="H1689" s="101">
        <f t="shared" ca="1" si="1218"/>
        <v>1</v>
      </c>
      <c r="I1689" s="101">
        <f t="shared" ca="1" si="1218"/>
        <v>1</v>
      </c>
      <c r="J1689" s="101">
        <f t="shared" ca="1" si="1218"/>
        <v>1</v>
      </c>
      <c r="K1689" s="101">
        <f t="shared" ref="K1689" ca="1" si="1219">OFFSET(K1688,0,PRJ_Len-K$29-K$29+1)</f>
        <v>1</v>
      </c>
    </row>
    <row r="1690" spans="1:13" outlineLevel="1" x14ac:dyDescent="0.2"/>
    <row r="1691" spans="1:13" outlineLevel="1" x14ac:dyDescent="0.2">
      <c r="A1691" s="35" t="str">
        <f ca="1">Language!A$859</f>
        <v>Чистая приведенная стоимость (NPV)</v>
      </c>
      <c r="B1691" s="151">
        <f ca="1">M1683</f>
        <v>417103761.39956957</v>
      </c>
      <c r="C1691" s="5" t="str">
        <f ca="1">C1664</f>
        <v>руб.</v>
      </c>
    </row>
    <row r="1692" spans="1:13" outlineLevel="1" collapsed="1" x14ac:dyDescent="0.2">
      <c r="A1692" s="35" t="str">
        <f ca="1">Language!A$860</f>
        <v>Дисконтированный срок окупаемости (PBP)</v>
      </c>
      <c r="B1692" s="150" t="str">
        <f ca="1">IF(ISERROR(E1693),Language!A$829,IF(E1693&gt;=PRJ_Len,Language!A$829,IF(OR(E1693=0),E1693*PRJ_Step/360,(E1693-OFFSET(F1684,0,E1693-1)/(-OFFSET(F1684,0,E1693-1)+OFFSET(F1684,0,E1693)))*PRJ_Step/360)))</f>
        <v>Нет</v>
      </c>
      <c r="C1692" s="17" t="str">
        <f ca="1">IF(B1692=0,Language!A$33,IF(OR(B1692&lt;1,AND(B1692&gt;1,B1692&lt;5)),Language!A$830,IF(B1692=1,Language!A$37,Language!A$33)))</f>
        <v>лет</v>
      </c>
    </row>
    <row r="1693" spans="1:13" hidden="1" outlineLevel="2" x14ac:dyDescent="0.2">
      <c r="A1693" s="180" t="str">
        <f ca="1">Language!A$861</f>
        <v xml:space="preserve">    знак остатка дисконтированных денежных средств</v>
      </c>
      <c r="B1693" s="180"/>
      <c r="D1693" s="16" t="s">
        <v>384</v>
      </c>
      <c r="E1693" s="101" t="e">
        <f ca="1">PRJ_Len+1-(MATCH(-1,F1694:L1694,0))</f>
        <v>#N/A</v>
      </c>
      <c r="F1693" s="16">
        <f t="shared" ref="F1693:J1693" ca="1" si="1220">SIGN(F1684)</f>
        <v>1</v>
      </c>
      <c r="G1693" s="16">
        <f t="shared" ca="1" si="1220"/>
        <v>1</v>
      </c>
      <c r="H1693" s="16">
        <f t="shared" ca="1" si="1220"/>
        <v>1</v>
      </c>
      <c r="I1693" s="16">
        <f t="shared" ca="1" si="1220"/>
        <v>1</v>
      </c>
      <c r="J1693" s="16">
        <f t="shared" ca="1" si="1220"/>
        <v>1</v>
      </c>
      <c r="K1693" s="16">
        <f t="shared" ref="K1693" ca="1" si="1221">SIGN(K1684)</f>
        <v>1</v>
      </c>
    </row>
    <row r="1694" spans="1:13" hidden="1" outlineLevel="2" x14ac:dyDescent="0.2">
      <c r="A1694" s="180" t="str">
        <f ca="1">Language!A$862</f>
        <v xml:space="preserve">    знак остатка дисконтированных денежных средств (с конца)</v>
      </c>
      <c r="B1694" s="180"/>
      <c r="D1694" s="16" t="s">
        <v>384</v>
      </c>
      <c r="F1694" s="101">
        <f t="shared" ref="F1694:J1694" ca="1" si="1222">OFFSET(F1693,0,PRJ_Len-F$29-F$29+1)</f>
        <v>1</v>
      </c>
      <c r="G1694" s="101">
        <f t="shared" ca="1" si="1222"/>
        <v>1</v>
      </c>
      <c r="H1694" s="101">
        <f t="shared" ca="1" si="1222"/>
        <v>1</v>
      </c>
      <c r="I1694" s="101">
        <f t="shared" ca="1" si="1222"/>
        <v>1</v>
      </c>
      <c r="J1694" s="101">
        <f t="shared" ca="1" si="1222"/>
        <v>1</v>
      </c>
      <c r="K1694" s="101">
        <f t="shared" ref="K1694" ca="1" si="1223">OFFSET(K1693,0,PRJ_Len-K$29-K$29+1)</f>
        <v>1</v>
      </c>
    </row>
    <row r="1695" spans="1:13" outlineLevel="1" collapsed="1" x14ac:dyDescent="0.2">
      <c r="A1695" s="130" t="str">
        <f ca="1">Language!A$863</f>
        <v>Внутренняя норма рентабельности (IRR)</v>
      </c>
      <c r="B1695" s="152" t="str">
        <f ca="1">IF(ISERROR(E1695),Language!A$829,IF(AND(E1695&gt;0,E1695&lt;100),E1695,Language!A$829))</f>
        <v>Нет</v>
      </c>
      <c r="C1695" s="107" t="str">
        <f ca="1">IF(CalcMethod=1,Language!A$831,Language!A$832)</f>
        <v>(реальная - без учета инфляции)</v>
      </c>
      <c r="E1695" s="16" t="e">
        <f ca="1">(POWER(1+IRR(F1696:K1696,0.2*PRJ_Step/360),360/PRJ_Step)-1)</f>
        <v>#NUM!</v>
      </c>
    </row>
    <row r="1696" spans="1:13" s="48" customFormat="1" hidden="1" outlineLevel="2" x14ac:dyDescent="0.2">
      <c r="A1696" s="24" t="str">
        <f ca="1">Language!A$852</f>
        <v>Чистый денежный поток</v>
      </c>
      <c r="B1696" s="223"/>
      <c r="C1696" s="216"/>
      <c r="E1696" s="101"/>
      <c r="F1696" s="65">
        <f t="shared" ref="F1696:J1696" ca="1" si="1224">F1682</f>
        <v>15122083.333333332</v>
      </c>
      <c r="G1696" s="65">
        <f t="shared" ca="1" si="1224"/>
        <v>66849460</v>
      </c>
      <c r="H1696" s="65">
        <f t="shared" ca="1" si="1224"/>
        <v>98359860</v>
      </c>
      <c r="I1696" s="65">
        <f t="shared" ca="1" si="1224"/>
        <v>91019280</v>
      </c>
      <c r="J1696" s="65">
        <f t="shared" ca="1" si="1224"/>
        <v>91638500</v>
      </c>
      <c r="K1696" s="65">
        <f t="shared" ref="K1696" ca="1" si="1225">K1682</f>
        <v>70072833.333333313</v>
      </c>
      <c r="M1696" s="41"/>
    </row>
    <row r="1697" spans="1:13" outlineLevel="1" collapsed="1" x14ac:dyDescent="0.2">
      <c r="A1697" s="23" t="str">
        <f ca="1">Language!A$864</f>
        <v>Норма доходности дисконтированных затрат (PI)</v>
      </c>
      <c r="B1697" s="309" t="str">
        <f ca="1">IF(M1701&lt;0,M1699/-M1701,Language!A$829)</f>
        <v>Нет</v>
      </c>
      <c r="C1697" s="5" t="str">
        <f ca="1">Language!A$197</f>
        <v>разы</v>
      </c>
    </row>
    <row r="1698" spans="1:13" hidden="1" outlineLevel="2" x14ac:dyDescent="0.2">
      <c r="A1698" t="str">
        <f ca="1">Language!A$865</f>
        <v xml:space="preserve">    притоки</v>
      </c>
      <c r="C1698" s="5" t="str">
        <f ca="1">C1664</f>
        <v>руб.</v>
      </c>
      <c r="F1698" s="43">
        <f t="shared" ref="F1698:J1698" ca="1" si="1226">MAX(0,F1682)</f>
        <v>15122083.333333332</v>
      </c>
      <c r="G1698" s="43">
        <f t="shared" ca="1" si="1226"/>
        <v>66849460</v>
      </c>
      <c r="H1698" s="43">
        <f t="shared" ca="1" si="1226"/>
        <v>98359860</v>
      </c>
      <c r="I1698" s="43">
        <f t="shared" ca="1" si="1226"/>
        <v>91019280</v>
      </c>
      <c r="J1698" s="43">
        <f t="shared" ca="1" si="1226"/>
        <v>91638500</v>
      </c>
      <c r="K1698" s="43">
        <f t="shared" ref="K1698" ca="1" si="1227">MAX(0,K1682)</f>
        <v>70072833.333333313</v>
      </c>
      <c r="M1698" s="54">
        <f ca="1">SUM(F1698:K1698)</f>
        <v>433062016.66666663</v>
      </c>
    </row>
    <row r="1699" spans="1:13" hidden="1" outlineLevel="2" x14ac:dyDescent="0.2">
      <c r="A1699" t="str">
        <f ca="1">Language!A$866</f>
        <v xml:space="preserve">    дисконтированные притоки</v>
      </c>
      <c r="C1699" s="5" t="str">
        <f ca="1">C1664</f>
        <v>руб.</v>
      </c>
      <c r="F1699" s="43">
        <f t="shared" ref="F1699:J1699" ca="1" si="1228">F1698/F1667</f>
        <v>15122083.333333332</v>
      </c>
      <c r="G1699" s="43">
        <f t="shared" ca="1" si="1228"/>
        <v>65984071.008184254</v>
      </c>
      <c r="H1699" s="43">
        <f t="shared" ca="1" si="1228"/>
        <v>95829739.655424446</v>
      </c>
      <c r="I1699" s="43">
        <f t="shared" ca="1" si="1228"/>
        <v>87530015.482737377</v>
      </c>
      <c r="J1699" s="43">
        <f t="shared" ca="1" si="1228"/>
        <v>86984682.878084674</v>
      </c>
      <c r="K1699" s="43">
        <f t="shared" ref="K1699" ca="1" si="1229">K1698/K1667</f>
        <v>65653169.041805483</v>
      </c>
      <c r="M1699" s="54">
        <f ca="1">SUM(F1699:K1699)</f>
        <v>417103761.39956957</v>
      </c>
    </row>
    <row r="1700" spans="1:13" hidden="1" outlineLevel="2" x14ac:dyDescent="0.2">
      <c r="A1700" t="str">
        <f ca="1">Language!A$867</f>
        <v xml:space="preserve">    оттоки</v>
      </c>
      <c r="C1700" s="5" t="str">
        <f ca="1">C1664</f>
        <v>руб.</v>
      </c>
      <c r="F1700" s="43">
        <f t="shared" ref="F1700:J1700" ca="1" si="1230">MIN(0,F1682)</f>
        <v>0</v>
      </c>
      <c r="G1700" s="43">
        <f t="shared" ca="1" si="1230"/>
        <v>0</v>
      </c>
      <c r="H1700" s="43">
        <f t="shared" ca="1" si="1230"/>
        <v>0</v>
      </c>
      <c r="I1700" s="43">
        <f t="shared" ca="1" si="1230"/>
        <v>0</v>
      </c>
      <c r="J1700" s="43">
        <f t="shared" ca="1" si="1230"/>
        <v>0</v>
      </c>
      <c r="K1700" s="43">
        <f t="shared" ref="K1700" ca="1" si="1231">MIN(0,K1682)</f>
        <v>0</v>
      </c>
      <c r="M1700" s="54">
        <f ca="1">SUM(F1700:K1700)</f>
        <v>0</v>
      </c>
    </row>
    <row r="1701" spans="1:13" hidden="1" outlineLevel="2" x14ac:dyDescent="0.2">
      <c r="A1701" t="str">
        <f ca="1">Language!A$868</f>
        <v xml:space="preserve">    дисконтированные оттоки</v>
      </c>
      <c r="C1701" s="5" t="str">
        <f ca="1">C1664</f>
        <v>руб.</v>
      </c>
      <c r="F1701" s="43">
        <f t="shared" ref="F1701:J1701" ca="1" si="1232">F1700/F1667</f>
        <v>0</v>
      </c>
      <c r="G1701" s="43">
        <f t="shared" ca="1" si="1232"/>
        <v>0</v>
      </c>
      <c r="H1701" s="43">
        <f t="shared" ca="1" si="1232"/>
        <v>0</v>
      </c>
      <c r="I1701" s="43">
        <f t="shared" ca="1" si="1232"/>
        <v>0</v>
      </c>
      <c r="J1701" s="43">
        <f t="shared" ca="1" si="1232"/>
        <v>0</v>
      </c>
      <c r="K1701" s="43">
        <f t="shared" ref="K1701" ca="1" si="1233">K1700/K1667</f>
        <v>0</v>
      </c>
      <c r="M1701" s="54">
        <f ca="1">SUM(F1701:K1701)</f>
        <v>0</v>
      </c>
    </row>
    <row r="1702" spans="1:13" outlineLevel="1" x14ac:dyDescent="0.2">
      <c r="F1702" s="43"/>
      <c r="G1702" s="43"/>
      <c r="H1702" s="43"/>
      <c r="I1702" s="43"/>
      <c r="J1702" s="43"/>
      <c r="K1702" s="43"/>
    </row>
    <row r="1703" spans="1:13" outlineLevel="1" x14ac:dyDescent="0.2">
      <c r="A1703" s="23" t="str">
        <f ca="1">Language!A$869</f>
        <v>Модифицированная IRR (MIRR)</v>
      </c>
      <c r="B1703" s="310" t="str">
        <f ca="1">IF(ISERROR(E1703),Language!A$829,E1703)</f>
        <v>Нет</v>
      </c>
      <c r="E1703" s="153" t="e">
        <f ca="1">(POWER(1+MIRR(F1682:L1682,POWER(1+B1705,PRJ_Step/360)-1,POWER(1+B1704,PRJ_Step/360)-1),360/PRJ_Step)-1)</f>
        <v>#DIV/0!</v>
      </c>
      <c r="F1703" s="43"/>
      <c r="G1703" s="43"/>
      <c r="H1703" s="43"/>
      <c r="I1703" s="43"/>
      <c r="J1703" s="43"/>
      <c r="K1703" s="43"/>
    </row>
    <row r="1704" spans="1:13" outlineLevel="1" x14ac:dyDescent="0.2">
      <c r="A1704" t="str">
        <f ca="1">Language!A$870</f>
        <v>Ставка реинвестирования доходов</v>
      </c>
      <c r="B1704" s="273">
        <f>B1665</f>
        <v>0.25</v>
      </c>
    </row>
    <row r="1705" spans="1:13" outlineLevel="1" x14ac:dyDescent="0.2">
      <c r="A1705" t="str">
        <f ca="1">Language!A$871</f>
        <v>Ставка дисконтирования инвестиционных затрат</v>
      </c>
      <c r="B1705" s="273">
        <f>B1665</f>
        <v>0.25</v>
      </c>
    </row>
    <row r="1706" spans="1:13" outlineLevel="1" x14ac:dyDescent="0.2">
      <c r="A1706" s="63"/>
      <c r="B1706" s="63"/>
      <c r="C1706" s="63"/>
      <c r="D1706" s="63"/>
      <c r="E1706" s="63"/>
      <c r="F1706" s="63"/>
      <c r="G1706" s="63"/>
      <c r="H1706" s="63"/>
      <c r="I1706" s="63"/>
      <c r="J1706" s="63"/>
      <c r="K1706" s="63"/>
      <c r="L1706" s="63"/>
      <c r="M1706" s="64"/>
    </row>
    <row r="1707" spans="1:13" outlineLevel="1" x14ac:dyDescent="0.2">
      <c r="A1707" s="22" t="str">
        <f ca="1">Language!A$874 &amp; ", " &amp; Проект!CUR_Report</f>
        <v>График: Окупаемость проекта (для собственного капитала), руб.</v>
      </c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22"/>
    </row>
    <row r="1708" spans="1:13" outlineLevel="2" x14ac:dyDescent="0.2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22"/>
    </row>
    <row r="1709" spans="1:13" outlineLevel="2" x14ac:dyDescent="0.2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22"/>
    </row>
    <row r="1710" spans="1:13" outlineLevel="2" x14ac:dyDescent="0.2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22"/>
    </row>
    <row r="1711" spans="1:13" outlineLevel="2" x14ac:dyDescent="0.2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22"/>
    </row>
    <row r="1712" spans="1:13" outlineLevel="2" x14ac:dyDescent="0.2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22"/>
    </row>
    <row r="1713" spans="1:13" outlineLevel="2" x14ac:dyDescent="0.2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22"/>
    </row>
    <row r="1714" spans="1:13" outlineLevel="2" x14ac:dyDescent="0.2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22"/>
    </row>
    <row r="1715" spans="1:13" outlineLevel="2" x14ac:dyDescent="0.2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22"/>
    </row>
    <row r="1716" spans="1:13" outlineLevel="2" x14ac:dyDescent="0.2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22"/>
    </row>
    <row r="1717" spans="1:13" outlineLevel="2" x14ac:dyDescent="0.2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22"/>
    </row>
    <row r="1718" spans="1:13" outlineLevel="2" x14ac:dyDescent="0.2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22"/>
    </row>
    <row r="1719" spans="1:13" outlineLevel="2" x14ac:dyDescent="0.2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22"/>
    </row>
    <row r="1720" spans="1:13" outlineLevel="2" x14ac:dyDescent="0.2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22"/>
    </row>
    <row r="1721" spans="1:13" outlineLevel="2" x14ac:dyDescent="0.2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22"/>
    </row>
    <row r="1722" spans="1:13" outlineLevel="2" x14ac:dyDescent="0.2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22"/>
    </row>
    <row r="1723" spans="1:13" outlineLevel="2" x14ac:dyDescent="0.2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22"/>
    </row>
    <row r="1724" spans="1:13" outlineLevel="2" x14ac:dyDescent="0.2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22"/>
    </row>
    <row r="1725" spans="1:13" outlineLevel="2" x14ac:dyDescent="0.2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22"/>
    </row>
    <row r="1726" spans="1:13" outlineLevel="2" x14ac:dyDescent="0.2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22"/>
    </row>
    <row r="1727" spans="1:13" outlineLevel="2" x14ac:dyDescent="0.2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22"/>
    </row>
    <row r="1728" spans="1:13" outlineLevel="2" x14ac:dyDescent="0.2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22"/>
    </row>
    <row r="1729" spans="1:13" outlineLevel="2" x14ac:dyDescent="0.2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22"/>
    </row>
    <row r="1730" spans="1:13" outlineLevel="2" x14ac:dyDescent="0.2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22"/>
    </row>
    <row r="1731" spans="1:13" outlineLevel="1" x14ac:dyDescent="0.2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22"/>
    </row>
    <row r="1732" spans="1:13" outlineLevel="1" x14ac:dyDescent="0.2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22"/>
    </row>
    <row r="1733" spans="1:13" s="4" customFormat="1" ht="15.9" customHeight="1" thickBot="1" x14ac:dyDescent="0.25">
      <c r="A1733" s="166" t="str">
        <f ca="1">Language!A875</f>
        <v xml:space="preserve">         ЭФФЕКТИВНОСТЬ ДЛЯ БАНКА</v>
      </c>
      <c r="B1733" s="166"/>
      <c r="C1733" s="166"/>
      <c r="D1733" s="166"/>
      <c r="E1733" s="166"/>
      <c r="F1733" s="178" t="str">
        <f t="shared" ref="F1733:K1733" si="1234">PeriodTitle</f>
        <v>4/ 2020</v>
      </c>
      <c r="G1733" s="178" t="str">
        <f t="shared" si="1234"/>
        <v>5/ 2020</v>
      </c>
      <c r="H1733" s="178" t="str">
        <f t="shared" si="1234"/>
        <v>6/ 2020</v>
      </c>
      <c r="I1733" s="178" t="str">
        <f t="shared" si="1234"/>
        <v>7/ 2020</v>
      </c>
      <c r="J1733" s="178" t="str">
        <f t="shared" si="1234"/>
        <v>8/ 2020</v>
      </c>
      <c r="K1733" s="178" t="str">
        <f t="shared" si="1234"/>
        <v>9/ 2020</v>
      </c>
      <c r="L1733" s="166"/>
      <c r="M1733" s="167" t="str">
        <f ca="1">Language!A$371</f>
        <v>ИТОГО</v>
      </c>
    </row>
    <row r="1734" spans="1:13" ht="10.8" outlineLevel="1" thickTop="1" x14ac:dyDescent="0.2"/>
    <row r="1735" spans="1:13" outlineLevel="1" x14ac:dyDescent="0.2">
      <c r="A1735" t="str">
        <f ca="1">Language!A$835</f>
        <v>Валюта расчетов:</v>
      </c>
      <c r="B1735" s="255">
        <v>1</v>
      </c>
      <c r="C1735" s="17" t="str">
        <f ca="1">CHOOSE(B1735,CUR_Main,CUR_Foreign)</f>
        <v>руб.</v>
      </c>
    </row>
    <row r="1736" spans="1:13" outlineLevel="1" collapsed="1" x14ac:dyDescent="0.2">
      <c r="A1736" t="str">
        <f ca="1">Language!A$836</f>
        <v>Годовая ставка дисконтирования:</v>
      </c>
      <c r="B1736" s="273">
        <f>SENS_Discount</f>
        <v>0.25</v>
      </c>
      <c r="C1736" s="5" t="s">
        <v>177</v>
      </c>
      <c r="D1736" s="16" t="s">
        <v>176</v>
      </c>
      <c r="F1736" s="135">
        <f>$B$1736</f>
        <v>0.25</v>
      </c>
      <c r="G1736" s="135">
        <f t="shared" ref="G1736:K1736" si="1235">F1736</f>
        <v>0.25</v>
      </c>
      <c r="H1736" s="135">
        <f t="shared" si="1235"/>
        <v>0.25</v>
      </c>
      <c r="I1736" s="135">
        <f t="shared" si="1235"/>
        <v>0.25</v>
      </c>
      <c r="J1736" s="135">
        <f t="shared" si="1235"/>
        <v>0.25</v>
      </c>
      <c r="K1736" s="135">
        <f t="shared" si="1235"/>
        <v>0.25</v>
      </c>
    </row>
    <row r="1737" spans="1:13" hidden="1" outlineLevel="2" x14ac:dyDescent="0.2">
      <c r="A1737" t="str">
        <f ca="1">Language!A$837</f>
        <v xml:space="preserve">    ставка дисконтирования на расчетный период</v>
      </c>
      <c r="D1737" s="16" t="s">
        <v>176</v>
      </c>
      <c r="F1737" s="135">
        <f t="shared" ref="F1737:K1737" si="1236">POWER(1+F1736,PRJ_Step/360)-1-IF(CalcMethod=1,IF($B$1735=1,F$81,F$92),0)</f>
        <v>1.3115119734100844E-2</v>
      </c>
      <c r="G1737" s="135">
        <f t="shared" si="1236"/>
        <v>1.3115119734100844E-2</v>
      </c>
      <c r="H1737" s="135">
        <f t="shared" si="1236"/>
        <v>1.3115119734100844E-2</v>
      </c>
      <c r="I1737" s="135">
        <f t="shared" si="1236"/>
        <v>1.3115119734100844E-2</v>
      </c>
      <c r="J1737" s="135">
        <f t="shared" si="1236"/>
        <v>1.3115119734100844E-2</v>
      </c>
      <c r="K1737" s="135">
        <f t="shared" si="1236"/>
        <v>1.3115119734100844E-2</v>
      </c>
    </row>
    <row r="1738" spans="1:13" hidden="1" outlineLevel="2" x14ac:dyDescent="0.2">
      <c r="A1738" t="str">
        <f ca="1">Language!A$838</f>
        <v xml:space="preserve">    коэффициент дисконта для потока на начало периода</v>
      </c>
      <c r="D1738" s="16" t="s">
        <v>176</v>
      </c>
      <c r="F1738" s="136">
        <v>1</v>
      </c>
      <c r="G1738" s="136">
        <f t="shared" ref="G1738:K1738" si="1237">F1738*(1+F1737)</f>
        <v>1.0131151197341008</v>
      </c>
      <c r="H1738" s="136">
        <f t="shared" si="1237"/>
        <v>1.0264022458338415</v>
      </c>
      <c r="I1738" s="136">
        <f t="shared" si="1237"/>
        <v>1.0398636341833023</v>
      </c>
      <c r="J1738" s="136">
        <f t="shared" si="1237"/>
        <v>1.0535015702527535</v>
      </c>
      <c r="K1738" s="136">
        <f t="shared" si="1237"/>
        <v>1.0673183694866817</v>
      </c>
    </row>
    <row r="1739" spans="1:13" outlineLevel="1" collapsed="1" x14ac:dyDescent="0.2"/>
    <row r="1740" spans="1:13" hidden="1" outlineLevel="2" x14ac:dyDescent="0.2">
      <c r="A1740" s="23" t="str">
        <f ca="1">Language!A$840</f>
        <v>Учитываемые денежные потоки проекта:</v>
      </c>
    </row>
    <row r="1741" spans="1:13" hidden="1" outlineLevel="2" x14ac:dyDescent="0.2">
      <c r="A1741" t="str">
        <f ca="1">Language!A$841</f>
        <v>Денежные потоки от операционной деятельности</v>
      </c>
      <c r="B1741" s="36" t="str">
        <f ca="1">Language!A$828</f>
        <v>Да</v>
      </c>
      <c r="C1741" s="5" t="str">
        <f ca="1">C1735</f>
        <v>руб.</v>
      </c>
      <c r="F1741" s="43">
        <f t="shared" ref="F1741:K1741" ca="1" si="1238">F1261*IF(CUR_I_Report&lt;&gt;$B$1735,IF(CUR_I_Report=2,F$88,1/F$88),1)</f>
        <v>13127500</v>
      </c>
      <c r="G1741" s="43">
        <f t="shared" ca="1" si="1238"/>
        <v>58087900</v>
      </c>
      <c r="H1741" s="43">
        <f t="shared" ca="1" si="1238"/>
        <v>91768300</v>
      </c>
      <c r="I1741" s="43">
        <f t="shared" ca="1" si="1238"/>
        <v>91688500</v>
      </c>
      <c r="J1741" s="43">
        <f t="shared" ca="1" si="1238"/>
        <v>91688500</v>
      </c>
      <c r="K1741" s="43">
        <f t="shared" ca="1" si="1238"/>
        <v>91688500</v>
      </c>
      <c r="L1741" s="43"/>
      <c r="M1741" s="54">
        <f ca="1">SUM(F1741:K1741)</f>
        <v>438049200</v>
      </c>
    </row>
    <row r="1742" spans="1:13" hidden="1" outlineLevel="2" x14ac:dyDescent="0.2">
      <c r="A1742" t="str">
        <f ca="1">Language!A$842</f>
        <v xml:space="preserve">    за исключением процентов по кредитам</v>
      </c>
      <c r="B1742" s="36" t="str">
        <f ca="1">Language!A$828</f>
        <v>Да</v>
      </c>
      <c r="C1742" s="5" t="str">
        <f ca="1">C1735</f>
        <v>руб.</v>
      </c>
      <c r="D1742" s="5"/>
      <c r="F1742" s="43">
        <f t="shared" ref="F1742:K1742" si="1239">-F1257*IF(CUR_I_Report&lt;&gt;$B$1735,IF(CUR_I_Report=2,F$88,1/F$88),1)</f>
        <v>0</v>
      </c>
      <c r="G1742" s="43">
        <f t="shared" si="1239"/>
        <v>0</v>
      </c>
      <c r="H1742" s="43">
        <f t="shared" si="1239"/>
        <v>0</v>
      </c>
      <c r="I1742" s="43">
        <f t="shared" si="1239"/>
        <v>0</v>
      </c>
      <c r="J1742" s="43">
        <f t="shared" si="1239"/>
        <v>0</v>
      </c>
      <c r="K1742" s="43">
        <f t="shared" si="1239"/>
        <v>0</v>
      </c>
      <c r="L1742" s="43"/>
      <c r="M1742" s="54">
        <f>SUM(F1742:K1742)</f>
        <v>0</v>
      </c>
    </row>
    <row r="1743" spans="1:13" hidden="1" outlineLevel="2" x14ac:dyDescent="0.2">
      <c r="A1743" t="str">
        <f ca="1">Language!A$843</f>
        <v>Денежные потоки от инвестиционной деятельности</v>
      </c>
      <c r="B1743" s="36" t="str">
        <f ca="1">Language!A$828</f>
        <v>Да</v>
      </c>
      <c r="C1743" s="5" t="str">
        <f ca="1">C1735</f>
        <v>руб.</v>
      </c>
      <c r="D1743" s="5"/>
      <c r="F1743" s="43">
        <f t="shared" ref="F1743:K1743" ca="1" si="1240">F1272*IF(CUR_I_Report&lt;&gt;$B$1735,IF(CUR_I_Report=2,F$88,1/F$88),1)</f>
        <v>1994583.333333333</v>
      </c>
      <c r="G1743" s="43">
        <f t="shared" ca="1" si="1240"/>
        <v>8761560</v>
      </c>
      <c r="H1743" s="43">
        <f t="shared" ca="1" si="1240"/>
        <v>6591560</v>
      </c>
      <c r="I1743" s="43">
        <f t="shared" ca="1" si="1240"/>
        <v>-669220</v>
      </c>
      <c r="J1743" s="43">
        <f t="shared" ca="1" si="1240"/>
        <v>-50000</v>
      </c>
      <c r="K1743" s="43">
        <f t="shared" ca="1" si="1240"/>
        <v>-50000</v>
      </c>
      <c r="L1743" s="43"/>
      <c r="M1743" s="54">
        <f ca="1">SUM(F1743:K1743)</f>
        <v>16578483.333333332</v>
      </c>
    </row>
    <row r="1744" spans="1:13" hidden="1" outlineLevel="2" x14ac:dyDescent="0.2">
      <c r="A1744" t="str">
        <f ca="1">Language!A$844</f>
        <v>Поступления собственного капитала</v>
      </c>
      <c r="B1744" s="36" t="str">
        <f ca="1">Language!A$828</f>
        <v>Да</v>
      </c>
      <c r="C1744" s="5" t="str">
        <f ca="1">C1735</f>
        <v>руб.</v>
      </c>
      <c r="D1744" s="5"/>
      <c r="F1744" s="53">
        <f t="shared" ref="F1744:K1744" si="1241">F1274*IF(CUR_I_Report&lt;&gt;$B$1735,IF(CUR_I_Report=2,F$88,1/F$88),1)</f>
        <v>0</v>
      </c>
      <c r="G1744" s="53">
        <f t="shared" si="1241"/>
        <v>0</v>
      </c>
      <c r="H1744" s="53">
        <f t="shared" si="1241"/>
        <v>0</v>
      </c>
      <c r="I1744" s="53">
        <f t="shared" si="1241"/>
        <v>0</v>
      </c>
      <c r="J1744" s="53">
        <f t="shared" si="1241"/>
        <v>0</v>
      </c>
      <c r="K1744" s="53">
        <f t="shared" si="1241"/>
        <v>0</v>
      </c>
      <c r="L1744" s="43"/>
      <c r="M1744" s="54">
        <f>SUM(F1744:K1744)</f>
        <v>0</v>
      </c>
    </row>
    <row r="1745" spans="1:13" hidden="1" outlineLevel="2" x14ac:dyDescent="0.2">
      <c r="A1745" t="str">
        <f ca="1">Language!A$845</f>
        <v>Поступления целевого финансирования</v>
      </c>
      <c r="B1745" s="36" t="str">
        <f ca="1">Language!A$828</f>
        <v>Да</v>
      </c>
      <c r="C1745" s="5" t="str">
        <f ca="1">C1735</f>
        <v>руб.</v>
      </c>
      <c r="D1745" s="5"/>
      <c r="F1745" s="43">
        <f t="shared" ref="F1745:K1745" si="1242">(F1275+F1276)*IF(CUR_I_Report&lt;&gt;$B$1735,IF(CUR_I_Report=2,F$88,1/F$88),1)</f>
        <v>0</v>
      </c>
      <c r="G1745" s="43">
        <f t="shared" si="1242"/>
        <v>0</v>
      </c>
      <c r="H1745" s="43">
        <f t="shared" si="1242"/>
        <v>0</v>
      </c>
      <c r="I1745" s="43">
        <f t="shared" si="1242"/>
        <v>0</v>
      </c>
      <c r="J1745" s="43">
        <f t="shared" si="1242"/>
        <v>0</v>
      </c>
      <c r="K1745" s="43">
        <f t="shared" si="1242"/>
        <v>0</v>
      </c>
      <c r="L1745" s="43"/>
      <c r="M1745" s="54">
        <f>SUM(F1745:K1745)</f>
        <v>0</v>
      </c>
    </row>
    <row r="1746" spans="1:13" hidden="1" outlineLevel="2" x14ac:dyDescent="0.2">
      <c r="A1746" t="str">
        <f ca="1">Language!A$846</f>
        <v>Поступления кредитов</v>
      </c>
      <c r="B1746" s="36" t="str">
        <f ca="1">Language!A$829</f>
        <v>Нет</v>
      </c>
      <c r="C1746" s="5" t="str">
        <f ca="1">C1735</f>
        <v>руб.</v>
      </c>
      <c r="D1746" s="5"/>
      <c r="F1746" s="43"/>
      <c r="G1746" s="43"/>
      <c r="H1746" s="43"/>
      <c r="I1746" s="43"/>
      <c r="J1746" s="43"/>
      <c r="K1746" s="43"/>
      <c r="L1746" s="43"/>
      <c r="M1746" s="54"/>
    </row>
    <row r="1747" spans="1:13" hidden="1" outlineLevel="2" x14ac:dyDescent="0.2">
      <c r="A1747" t="str">
        <f ca="1">Language!A$847</f>
        <v>Возврат кредитов</v>
      </c>
      <c r="B1747" s="36" t="str">
        <f ca="1">Language!A$829</f>
        <v>Нет</v>
      </c>
      <c r="C1747" s="5" t="str">
        <f ca="1">C1735</f>
        <v>руб.</v>
      </c>
      <c r="D1747" s="5"/>
      <c r="F1747" s="43"/>
      <c r="G1747" s="43"/>
      <c r="H1747" s="43"/>
      <c r="I1747" s="43"/>
      <c r="J1747" s="43"/>
      <c r="K1747" s="43"/>
      <c r="L1747" s="43"/>
      <c r="M1747" s="54"/>
    </row>
    <row r="1748" spans="1:13" hidden="1" outlineLevel="2" x14ac:dyDescent="0.2">
      <c r="A1748" t="str">
        <f ca="1">Language!A$848</f>
        <v>Лизинговые платежи</v>
      </c>
      <c r="B1748" s="36" t="str">
        <f ca="1">Language!A$828</f>
        <v>Да</v>
      </c>
      <c r="C1748" s="5" t="str">
        <f ca="1">C1735</f>
        <v>руб.</v>
      </c>
      <c r="D1748" s="5"/>
      <c r="F1748" s="43">
        <f ca="1">F1279*IF(CUR_I_Report&lt;&gt;$B$1735,IF(CUR_I_Report=2,F$88,1/F$88),1)</f>
        <v>0</v>
      </c>
      <c r="G1748" s="43">
        <f ca="1">G1279*IF(CUR_I_Report&lt;&gt;$B$1735,IF(CUR_I_Report=2,G$88,1/G$88),1)</f>
        <v>0</v>
      </c>
      <c r="H1748" s="43">
        <f ca="1">H1279*IF(CUR_I_Report&lt;&gt;$B$1735,IF(CUR_I_Report=2,H$88,1/H$88),1)</f>
        <v>0</v>
      </c>
      <c r="I1748" s="43">
        <f ca="1">I1279*IF(CUR_I_Report&lt;&gt;$B$1735,IF(CUR_I_Report=2,I$88,1/I$88),1)</f>
        <v>0</v>
      </c>
      <c r="J1748" s="43">
        <f ca="1">J1279*IF(CUR_I_Report&lt;&gt;$B$1735,IF(CUR_I_Report=2,J$88,1/J$88),1)</f>
        <v>0</v>
      </c>
      <c r="K1748" s="43">
        <f ca="1">K1279*IF(CUR_I_Report&lt;&gt;$B$1735,IF(CUR_I_Report=2,K$88,1/K$88),1)</f>
        <v>0</v>
      </c>
      <c r="L1748" s="43"/>
      <c r="M1748" s="54">
        <f ca="1">SUM(F1748:K1748)</f>
        <v>0</v>
      </c>
    </row>
    <row r="1749" spans="1:13" hidden="1" outlineLevel="2" x14ac:dyDescent="0.2">
      <c r="A1749" t="str">
        <f ca="1">Language!A$849</f>
        <v>Выплата дивидендов</v>
      </c>
      <c r="B1749" s="36" t="str">
        <f ca="1">Language!A$828</f>
        <v>Да</v>
      </c>
      <c r="C1749" s="5" t="str">
        <f ca="1">C1735</f>
        <v>руб.</v>
      </c>
      <c r="D1749" s="5"/>
      <c r="F1749" s="53">
        <f ca="1">F1280*IF(CUR_I_Report&lt;&gt;$B$1735,IF(CUR_I_Report=2,F$88,1/F$88),1)</f>
        <v>0</v>
      </c>
      <c r="G1749" s="53">
        <f ca="1">G1280*IF(CUR_I_Report&lt;&gt;$B$1735,IF(CUR_I_Report=2,G$88,1/G$88),1)</f>
        <v>0</v>
      </c>
      <c r="H1749" s="53">
        <f ca="1">H1280*IF(CUR_I_Report&lt;&gt;$B$1735,IF(CUR_I_Report=2,H$88,1/H$88),1)</f>
        <v>0</v>
      </c>
      <c r="I1749" s="53">
        <f ca="1">I1280*IF(CUR_I_Report&lt;&gt;$B$1735,IF(CUR_I_Report=2,I$88,1/I$88),1)</f>
        <v>0</v>
      </c>
      <c r="J1749" s="53">
        <f ca="1">J1280*IF(CUR_I_Report&lt;&gt;$B$1735,IF(CUR_I_Report=2,J$88,1/J$88),1)</f>
        <v>0</v>
      </c>
      <c r="K1749" s="53">
        <f ca="1">K1280*IF(CUR_I_Report&lt;&gt;$B$1735,IF(CUR_I_Report=2,K$88,1/K$88),1)</f>
        <v>0</v>
      </c>
      <c r="L1749" s="43"/>
      <c r="M1749" s="54">
        <f ca="1">SUM(F1749:K1749)</f>
        <v>0</v>
      </c>
    </row>
    <row r="1750" spans="1:13" hidden="1" outlineLevel="2" x14ac:dyDescent="0.2">
      <c r="A1750" t="str">
        <f ca="1">Language!A$850</f>
        <v>Ранее осуществленные инвестиции</v>
      </c>
      <c r="B1750" s="36" t="str">
        <f ca="1">Language!A$829</f>
        <v>Нет</v>
      </c>
      <c r="C1750" s="5" t="str">
        <f ca="1">C1735</f>
        <v>руб.</v>
      </c>
      <c r="D1750" s="5"/>
      <c r="F1750" s="43"/>
      <c r="G1750" s="43"/>
      <c r="H1750" s="43"/>
      <c r="I1750" s="43"/>
      <c r="J1750" s="43"/>
      <c r="K1750" s="43"/>
      <c r="L1750" s="43"/>
      <c r="M1750" s="54"/>
    </row>
    <row r="1751" spans="1:13" hidden="1" outlineLevel="2" x14ac:dyDescent="0.2">
      <c r="A1751" t="str">
        <f ca="1">Language!A$851</f>
        <v>Остаточная стоимость проекта</v>
      </c>
      <c r="B1751" s="36" t="str">
        <f ca="1">Language!A$829</f>
        <v>Нет</v>
      </c>
      <c r="C1751" s="5" t="str">
        <f ca="1">C1735</f>
        <v>руб.</v>
      </c>
      <c r="D1751" s="5"/>
      <c r="F1751" s="43"/>
      <c r="G1751" s="43"/>
      <c r="H1751" s="43"/>
      <c r="I1751" s="43"/>
      <c r="J1751" s="43"/>
      <c r="K1751" s="43"/>
      <c r="L1751" s="43"/>
      <c r="M1751" s="54"/>
    </row>
    <row r="1752" spans="1:13" hidden="1" outlineLevel="2" x14ac:dyDescent="0.2">
      <c r="A1752" s="63"/>
      <c r="B1752" s="63"/>
      <c r="C1752" s="67"/>
      <c r="D1752" s="67"/>
      <c r="E1752" s="63"/>
      <c r="F1752" s="121"/>
      <c r="G1752" s="121"/>
      <c r="H1752" s="121"/>
      <c r="I1752" s="121"/>
      <c r="J1752" s="121"/>
      <c r="K1752" s="121"/>
      <c r="L1752" s="121"/>
      <c r="M1752" s="122"/>
    </row>
    <row r="1753" spans="1:13" outlineLevel="1" x14ac:dyDescent="0.2">
      <c r="A1753" s="24" t="str">
        <f ca="1">Language!A$852</f>
        <v>Чистый денежный поток</v>
      </c>
      <c r="B1753" s="19"/>
      <c r="C1753" s="26" t="str">
        <f ca="1">C1735</f>
        <v>руб.</v>
      </c>
      <c r="D1753" s="26"/>
      <c r="E1753" s="19"/>
      <c r="F1753" s="65">
        <f t="shared" ref="F1753:J1753" ca="1" si="1243">F1743+F1750+F1745+F1744+F1751+F1741+F1742+F1748+F1749</f>
        <v>15122083.333333332</v>
      </c>
      <c r="G1753" s="65">
        <f t="shared" ca="1" si="1243"/>
        <v>66849460</v>
      </c>
      <c r="H1753" s="65">
        <f t="shared" ca="1" si="1243"/>
        <v>98359860</v>
      </c>
      <c r="I1753" s="65">
        <f t="shared" ca="1" si="1243"/>
        <v>91019280</v>
      </c>
      <c r="J1753" s="65">
        <f t="shared" ca="1" si="1243"/>
        <v>91638500</v>
      </c>
      <c r="K1753" s="65">
        <f t="shared" ref="K1753" ca="1" si="1244">K1743+K1750+K1745+K1744+K1751+K1741+K1742+K1748+K1749</f>
        <v>91638500</v>
      </c>
      <c r="L1753" s="65"/>
      <c r="M1753" s="54">
        <f ca="1">SUM(F1753:K1753)</f>
        <v>454627683.33333331</v>
      </c>
    </row>
    <row r="1754" spans="1:13" outlineLevel="1" x14ac:dyDescent="0.2">
      <c r="A1754" t="str">
        <f ca="1">Language!A$853</f>
        <v>Дисконтированный чистый денежный поток</v>
      </c>
      <c r="C1754" s="5" t="str">
        <f ca="1">C1735</f>
        <v>руб.</v>
      </c>
      <c r="D1754" s="5"/>
      <c r="F1754" s="43">
        <f t="shared" ref="F1754:J1754" ca="1" si="1245">F1753/F1738</f>
        <v>15122083.333333332</v>
      </c>
      <c r="G1754" s="43">
        <f t="shared" ca="1" si="1245"/>
        <v>65984071.008184254</v>
      </c>
      <c r="H1754" s="43">
        <f t="shared" ca="1" si="1245"/>
        <v>95829739.655424446</v>
      </c>
      <c r="I1754" s="43">
        <f t="shared" ca="1" si="1245"/>
        <v>87530015.482737377</v>
      </c>
      <c r="J1754" s="43">
        <f t="shared" ca="1" si="1245"/>
        <v>86984682.878084674</v>
      </c>
      <c r="K1754" s="43">
        <f t="shared" ref="K1754" ca="1" si="1246">K1753/K1738</f>
        <v>85858636.579142556</v>
      </c>
      <c r="L1754" s="43"/>
      <c r="M1754" s="54">
        <f ca="1">SUM(F1754:K1754)</f>
        <v>437309228.93690664</v>
      </c>
    </row>
    <row r="1755" spans="1:13" outlineLevel="1" x14ac:dyDescent="0.2">
      <c r="A1755" t="str">
        <f ca="1">Language!A$854</f>
        <v>Дисконтированный поток нарастающим итогом</v>
      </c>
      <c r="C1755" s="5" t="str">
        <f ca="1">C1735</f>
        <v>руб.</v>
      </c>
      <c r="D1755" s="5"/>
      <c r="F1755" s="43">
        <f t="shared" ref="F1755:K1755" ca="1" si="1247">E1755+F1754</f>
        <v>15122083.333333332</v>
      </c>
      <c r="G1755" s="43">
        <f t="shared" ca="1" si="1247"/>
        <v>81106154.341517583</v>
      </c>
      <c r="H1755" s="43">
        <f t="shared" ca="1" si="1247"/>
        <v>176935893.99694204</v>
      </c>
      <c r="I1755" s="43">
        <f t="shared" ca="1" si="1247"/>
        <v>264465909.47967941</v>
      </c>
      <c r="J1755" s="43">
        <f t="shared" ca="1" si="1247"/>
        <v>351450592.35776407</v>
      </c>
      <c r="K1755" s="43">
        <f t="shared" ca="1" si="1247"/>
        <v>437309228.93690664</v>
      </c>
      <c r="L1755" s="43"/>
      <c r="M1755" s="54"/>
    </row>
    <row r="1756" spans="1:13" outlineLevel="1" x14ac:dyDescent="0.2">
      <c r="F1756" s="43"/>
      <c r="G1756" s="43"/>
      <c r="H1756" s="43"/>
      <c r="I1756" s="43"/>
      <c r="J1756" s="43"/>
      <c r="K1756" s="43"/>
      <c r="L1756" s="43"/>
      <c r="M1756" s="54"/>
    </row>
    <row r="1757" spans="1:13" outlineLevel="1" collapsed="1" x14ac:dyDescent="0.2">
      <c r="A1757" s="23" t="str">
        <f ca="1">Language!A$855</f>
        <v>Простой срок окупаемости</v>
      </c>
      <c r="B1757" s="164" t="str">
        <f ca="1">IF(ISERROR(E1759),Language!A$829,IF(E1759&gt;=PRJ_Len,Language!A$829,IF(OR(E1759=0),E1759*PRJ_Step/360,(E1759-OFFSET(F1758,0,E1759-1)/(-OFFSET(F1758,0,E1759-1)+OFFSET(F1758,0,E1759)))*PRJ_Step/360)))</f>
        <v>Нет</v>
      </c>
      <c r="C1757" s="17" t="str">
        <f ca="1">IF(B1757=0,Language!A$33,IF(OR(B1757&lt;1,AND(B1757&gt;1,B1757&lt;5)),Language!A$830,IF(B1757=1,Language!A$37,Language!A$33)))</f>
        <v>лет</v>
      </c>
    </row>
    <row r="1758" spans="1:13" hidden="1" outlineLevel="2" x14ac:dyDescent="0.2">
      <c r="A1758" t="str">
        <f ca="1">Language!A$856</f>
        <v xml:space="preserve">    недисконтированный поток нарастающим итогом</v>
      </c>
      <c r="D1758" s="16" t="s">
        <v>384</v>
      </c>
      <c r="F1758" s="53">
        <f t="shared" ref="F1758:K1758" ca="1" si="1248">E1758+F1753</f>
        <v>15122083.333333332</v>
      </c>
      <c r="G1758" s="53">
        <f t="shared" ca="1" si="1248"/>
        <v>81971543.333333328</v>
      </c>
      <c r="H1758" s="53">
        <f t="shared" ca="1" si="1248"/>
        <v>180331403.33333331</v>
      </c>
      <c r="I1758" s="53">
        <f t="shared" ca="1" si="1248"/>
        <v>271350683.33333331</v>
      </c>
      <c r="J1758" s="53">
        <f t="shared" ca="1" si="1248"/>
        <v>362989183.33333331</v>
      </c>
      <c r="K1758" s="53">
        <f t="shared" ca="1" si="1248"/>
        <v>454627683.33333331</v>
      </c>
    </row>
    <row r="1759" spans="1:13" hidden="1" outlineLevel="2" x14ac:dyDescent="0.2">
      <c r="A1759" t="str">
        <f ca="1">Language!A$857</f>
        <v xml:space="preserve">    знак остатка денежных средств</v>
      </c>
      <c r="D1759" s="16" t="s">
        <v>384</v>
      </c>
      <c r="E1759" s="101" t="e">
        <f ca="1">PRJ_Len+1-(MATCH(-1,F1760:L1760,0))</f>
        <v>#N/A</v>
      </c>
      <c r="F1759" s="16">
        <f t="shared" ref="F1759:J1759" ca="1" si="1249">SIGN(F1758)</f>
        <v>1</v>
      </c>
      <c r="G1759" s="16">
        <f t="shared" ca="1" si="1249"/>
        <v>1</v>
      </c>
      <c r="H1759" s="16">
        <f t="shared" ca="1" si="1249"/>
        <v>1</v>
      </c>
      <c r="I1759" s="16">
        <f t="shared" ca="1" si="1249"/>
        <v>1</v>
      </c>
      <c r="J1759" s="16">
        <f t="shared" ca="1" si="1249"/>
        <v>1</v>
      </c>
      <c r="K1759" s="16">
        <f t="shared" ref="K1759" ca="1" si="1250">SIGN(K1758)</f>
        <v>1</v>
      </c>
    </row>
    <row r="1760" spans="1:13" hidden="1" outlineLevel="2" x14ac:dyDescent="0.2">
      <c r="A1760" t="str">
        <f ca="1">Language!A$858</f>
        <v xml:space="preserve">    знак остатка денежных средств (с конца)</v>
      </c>
      <c r="D1760" s="16" t="s">
        <v>384</v>
      </c>
      <c r="F1760" s="101">
        <f t="shared" ref="F1760:J1760" ca="1" si="1251">OFFSET(F1759,0,PRJ_Len-F$29-F$29+1)</f>
        <v>1</v>
      </c>
      <c r="G1760" s="101">
        <f t="shared" ca="1" si="1251"/>
        <v>1</v>
      </c>
      <c r="H1760" s="101">
        <f t="shared" ca="1" si="1251"/>
        <v>1</v>
      </c>
      <c r="I1760" s="101">
        <f t="shared" ca="1" si="1251"/>
        <v>1</v>
      </c>
      <c r="J1760" s="101">
        <f t="shared" ca="1" si="1251"/>
        <v>1</v>
      </c>
      <c r="K1760" s="101">
        <f t="shared" ref="K1760" ca="1" si="1252">OFFSET(K1759,0,PRJ_Len-K$29-K$29+1)</f>
        <v>1</v>
      </c>
    </row>
    <row r="1761" spans="1:13" outlineLevel="1" x14ac:dyDescent="0.2"/>
    <row r="1762" spans="1:13" outlineLevel="1" x14ac:dyDescent="0.2">
      <c r="A1762" s="35" t="str">
        <f ca="1">Language!A$859</f>
        <v>Чистая приведенная стоимость (NPV)</v>
      </c>
      <c r="B1762" s="151">
        <f ca="1">M1754</f>
        <v>437309228.93690664</v>
      </c>
      <c r="C1762" s="5" t="str">
        <f ca="1">C1735</f>
        <v>руб.</v>
      </c>
    </row>
    <row r="1763" spans="1:13" outlineLevel="1" collapsed="1" x14ac:dyDescent="0.2">
      <c r="A1763" s="35" t="str">
        <f ca="1">Language!A$860</f>
        <v>Дисконтированный срок окупаемости (PBP)</v>
      </c>
      <c r="B1763" s="150" t="str">
        <f ca="1">IF(ISERROR(E1764),Language!A$829,IF(E1764&gt;=PRJ_Len,Language!A$829,IF(OR(E1764=0),E1764*PRJ_Step/360,(E1764-OFFSET(F1755,0,E1764-1)/(-OFFSET(F1755,0,E1764-1)+OFFSET(F1755,0,E1764)))*PRJ_Step/360)))</f>
        <v>Нет</v>
      </c>
      <c r="C1763" s="17" t="str">
        <f ca="1">IF(B1763=0,Language!A$33,IF(OR(B1763&lt;1,AND(B1763&gt;1,B1763&lt;5)),Language!A$830,IF(B1763=1,Language!A$37,Language!A$33)))</f>
        <v>лет</v>
      </c>
    </row>
    <row r="1764" spans="1:13" hidden="1" outlineLevel="2" x14ac:dyDescent="0.2">
      <c r="A1764" t="str">
        <f ca="1">Language!A$861</f>
        <v xml:space="preserve">    знак остатка дисконтированных денежных средств</v>
      </c>
      <c r="D1764" s="16" t="s">
        <v>384</v>
      </c>
      <c r="E1764" s="101" t="e">
        <f ca="1">PRJ_Len+1-(MATCH(-1,F1765:L1765,0))</f>
        <v>#N/A</v>
      </c>
      <c r="F1764" s="16">
        <f t="shared" ref="F1764:J1764" ca="1" si="1253">SIGN(F1755)</f>
        <v>1</v>
      </c>
      <c r="G1764" s="16">
        <f t="shared" ca="1" si="1253"/>
        <v>1</v>
      </c>
      <c r="H1764" s="16">
        <f t="shared" ca="1" si="1253"/>
        <v>1</v>
      </c>
      <c r="I1764" s="16">
        <f t="shared" ca="1" si="1253"/>
        <v>1</v>
      </c>
      <c r="J1764" s="16">
        <f t="shared" ca="1" si="1253"/>
        <v>1</v>
      </c>
      <c r="K1764" s="16">
        <f t="shared" ref="K1764" ca="1" si="1254">SIGN(K1755)</f>
        <v>1</v>
      </c>
    </row>
    <row r="1765" spans="1:13" hidden="1" outlineLevel="2" x14ac:dyDescent="0.2">
      <c r="A1765" t="str">
        <f ca="1">Language!A$862</f>
        <v xml:space="preserve">    знак остатка дисконтированных денежных средств (с конца)</v>
      </c>
      <c r="D1765" s="16" t="s">
        <v>384</v>
      </c>
      <c r="F1765" s="101">
        <f t="shared" ref="F1765:J1765" ca="1" si="1255">OFFSET(F1764,0,PRJ_Len-F$29-F$29+1)</f>
        <v>1</v>
      </c>
      <c r="G1765" s="101">
        <f t="shared" ca="1" si="1255"/>
        <v>1</v>
      </c>
      <c r="H1765" s="101">
        <f t="shared" ca="1" si="1255"/>
        <v>1</v>
      </c>
      <c r="I1765" s="101">
        <f t="shared" ca="1" si="1255"/>
        <v>1</v>
      </c>
      <c r="J1765" s="101">
        <f t="shared" ca="1" si="1255"/>
        <v>1</v>
      </c>
      <c r="K1765" s="101">
        <f t="shared" ref="K1765" ca="1" si="1256">OFFSET(K1764,0,PRJ_Len-K$29-K$29+1)</f>
        <v>1</v>
      </c>
    </row>
    <row r="1766" spans="1:13" outlineLevel="1" collapsed="1" x14ac:dyDescent="0.2">
      <c r="A1766" s="130" t="str">
        <f ca="1">Language!A$863</f>
        <v>Внутренняя норма рентабельности (IRR)</v>
      </c>
      <c r="B1766" s="152" t="str">
        <f ca="1">IF(ISERROR(E1766),Language!A$829,IF(AND(E1766&gt;0,E1766&lt;100),E1766,Language!A$829))</f>
        <v>Нет</v>
      </c>
      <c r="C1766" s="107" t="str">
        <f ca="1">IF(CalcMethod=1,Language!A$831,Language!A$832)</f>
        <v>(реальная - без учета инфляции)</v>
      </c>
      <c r="E1766" s="16" t="e">
        <f ca="1">(POWER(1+IRR(F1767:K1767,0.2*PRJ_Step/360),360/PRJ_Step)-1)</f>
        <v>#NUM!</v>
      </c>
    </row>
    <row r="1767" spans="1:13" s="48" customFormat="1" hidden="1" outlineLevel="2" x14ac:dyDescent="0.2">
      <c r="A1767" s="24" t="str">
        <f ca="1">Language!A$852</f>
        <v>Чистый денежный поток</v>
      </c>
      <c r="B1767" s="223"/>
      <c r="C1767" s="216"/>
      <c r="E1767" s="101"/>
      <c r="F1767" s="65">
        <f t="shared" ref="F1767:J1767" ca="1" si="1257">F1753</f>
        <v>15122083.333333332</v>
      </c>
      <c r="G1767" s="65">
        <f t="shared" ca="1" si="1257"/>
        <v>66849460</v>
      </c>
      <c r="H1767" s="65">
        <f t="shared" ca="1" si="1257"/>
        <v>98359860</v>
      </c>
      <c r="I1767" s="65">
        <f t="shared" ca="1" si="1257"/>
        <v>91019280</v>
      </c>
      <c r="J1767" s="65">
        <f t="shared" ca="1" si="1257"/>
        <v>91638500</v>
      </c>
      <c r="K1767" s="65">
        <f t="shared" ref="K1767" ca="1" si="1258">K1753</f>
        <v>91638500</v>
      </c>
      <c r="M1767" s="41"/>
    </row>
    <row r="1768" spans="1:13" outlineLevel="1" collapsed="1" x14ac:dyDescent="0.2">
      <c r="A1768" s="23" t="str">
        <f ca="1">Language!A$864</f>
        <v>Норма доходности дисконтированных затрат (PI)</v>
      </c>
      <c r="B1768" s="309" t="str">
        <f ca="1">IF(M1772&lt;0,M1770/-M1772,Language!A$829)</f>
        <v>Нет</v>
      </c>
      <c r="C1768" s="5" t="str">
        <f ca="1">Language!A$197</f>
        <v>разы</v>
      </c>
    </row>
    <row r="1769" spans="1:13" hidden="1" outlineLevel="2" x14ac:dyDescent="0.2">
      <c r="A1769" t="str">
        <f ca="1">Language!A$865</f>
        <v xml:space="preserve">    притоки</v>
      </c>
      <c r="C1769" s="5" t="str">
        <f ca="1">C1735</f>
        <v>руб.</v>
      </c>
      <c r="F1769" s="43">
        <f t="shared" ref="F1769:J1769" ca="1" si="1259">MAX(0,F1753)</f>
        <v>15122083.333333332</v>
      </c>
      <c r="G1769" s="43">
        <f t="shared" ca="1" si="1259"/>
        <v>66849460</v>
      </c>
      <c r="H1769" s="43">
        <f t="shared" ca="1" si="1259"/>
        <v>98359860</v>
      </c>
      <c r="I1769" s="43">
        <f t="shared" ca="1" si="1259"/>
        <v>91019280</v>
      </c>
      <c r="J1769" s="43">
        <f t="shared" ca="1" si="1259"/>
        <v>91638500</v>
      </c>
      <c r="K1769" s="43">
        <f t="shared" ref="K1769" ca="1" si="1260">MAX(0,K1753)</f>
        <v>91638500</v>
      </c>
      <c r="M1769" s="54">
        <f ca="1">SUM(F1769:K1769)</f>
        <v>454627683.33333331</v>
      </c>
    </row>
    <row r="1770" spans="1:13" hidden="1" outlineLevel="2" x14ac:dyDescent="0.2">
      <c r="A1770" t="str">
        <f ca="1">Language!A$866</f>
        <v xml:space="preserve">    дисконтированные притоки</v>
      </c>
      <c r="C1770" s="5" t="str">
        <f ca="1">C1735</f>
        <v>руб.</v>
      </c>
      <c r="F1770" s="43">
        <f t="shared" ref="F1770:J1770" ca="1" si="1261">F1769/F1738</f>
        <v>15122083.333333332</v>
      </c>
      <c r="G1770" s="43">
        <f t="shared" ca="1" si="1261"/>
        <v>65984071.008184254</v>
      </c>
      <c r="H1770" s="43">
        <f t="shared" ca="1" si="1261"/>
        <v>95829739.655424446</v>
      </c>
      <c r="I1770" s="43">
        <f t="shared" ca="1" si="1261"/>
        <v>87530015.482737377</v>
      </c>
      <c r="J1770" s="43">
        <f t="shared" ca="1" si="1261"/>
        <v>86984682.878084674</v>
      </c>
      <c r="K1770" s="43">
        <f t="shared" ref="K1770" ca="1" si="1262">K1769/K1738</f>
        <v>85858636.579142556</v>
      </c>
      <c r="M1770" s="54">
        <f ca="1">SUM(F1770:K1770)</f>
        <v>437309228.93690664</v>
      </c>
    </row>
    <row r="1771" spans="1:13" hidden="1" outlineLevel="2" x14ac:dyDescent="0.2">
      <c r="A1771" t="str">
        <f ca="1">Language!A$867</f>
        <v xml:space="preserve">    оттоки</v>
      </c>
      <c r="C1771" s="5" t="str">
        <f ca="1">C1735</f>
        <v>руб.</v>
      </c>
      <c r="F1771" s="43">
        <f t="shared" ref="F1771:J1771" ca="1" si="1263">MIN(0,F1753)</f>
        <v>0</v>
      </c>
      <c r="G1771" s="43">
        <f t="shared" ca="1" si="1263"/>
        <v>0</v>
      </c>
      <c r="H1771" s="43">
        <f t="shared" ca="1" si="1263"/>
        <v>0</v>
      </c>
      <c r="I1771" s="43">
        <f t="shared" ca="1" si="1263"/>
        <v>0</v>
      </c>
      <c r="J1771" s="43">
        <f t="shared" ca="1" si="1263"/>
        <v>0</v>
      </c>
      <c r="K1771" s="43">
        <f t="shared" ref="K1771" ca="1" si="1264">MIN(0,K1753)</f>
        <v>0</v>
      </c>
      <c r="M1771" s="54">
        <f ca="1">SUM(F1771:K1771)</f>
        <v>0</v>
      </c>
    </row>
    <row r="1772" spans="1:13" hidden="1" outlineLevel="2" x14ac:dyDescent="0.2">
      <c r="A1772" t="str">
        <f ca="1">Language!A$868</f>
        <v xml:space="preserve">    дисконтированные оттоки</v>
      </c>
      <c r="C1772" s="5" t="str">
        <f ca="1">C1735</f>
        <v>руб.</v>
      </c>
      <c r="F1772" s="43">
        <f t="shared" ref="F1772:J1772" ca="1" si="1265">F1771/F1738</f>
        <v>0</v>
      </c>
      <c r="G1772" s="43">
        <f t="shared" ca="1" si="1265"/>
        <v>0</v>
      </c>
      <c r="H1772" s="43">
        <f t="shared" ca="1" si="1265"/>
        <v>0</v>
      </c>
      <c r="I1772" s="43">
        <f t="shared" ca="1" si="1265"/>
        <v>0</v>
      </c>
      <c r="J1772" s="43">
        <f t="shared" ca="1" si="1265"/>
        <v>0</v>
      </c>
      <c r="K1772" s="43">
        <f t="shared" ref="K1772" ca="1" si="1266">K1771/K1738</f>
        <v>0</v>
      </c>
      <c r="M1772" s="54">
        <f ca="1">SUM(F1772:K1772)</f>
        <v>0</v>
      </c>
    </row>
    <row r="1773" spans="1:13" outlineLevel="1" x14ac:dyDescent="0.2">
      <c r="F1773" s="43"/>
      <c r="G1773" s="43"/>
      <c r="H1773" s="43"/>
      <c r="I1773" s="43"/>
      <c r="J1773" s="43"/>
      <c r="K1773" s="43"/>
    </row>
    <row r="1774" spans="1:13" outlineLevel="1" x14ac:dyDescent="0.2">
      <c r="A1774" s="23" t="str">
        <f ca="1">Language!A$869</f>
        <v>Модифицированная IRR (MIRR)</v>
      </c>
      <c r="B1774" s="310" t="str">
        <f ca="1">IF(ISERROR(E1774),Language!A$829,E1774)</f>
        <v>Нет</v>
      </c>
      <c r="E1774" s="153" t="e">
        <f ca="1">(POWER(1+MIRR(F1753:L1753,POWER(1+B1776,PRJ_Step/360)-1,POWER(1+B1775,PRJ_Step/360)-1),360/PRJ_Step)-1)</f>
        <v>#DIV/0!</v>
      </c>
      <c r="F1774" s="43"/>
      <c r="G1774" s="43"/>
      <c r="H1774" s="43"/>
      <c r="I1774" s="43"/>
      <c r="J1774" s="43"/>
      <c r="K1774" s="43"/>
    </row>
    <row r="1775" spans="1:13" outlineLevel="1" x14ac:dyDescent="0.2">
      <c r="A1775" t="str">
        <f ca="1">Language!A$870</f>
        <v>Ставка реинвестирования доходов</v>
      </c>
      <c r="B1775" s="273">
        <f>B1736</f>
        <v>0.25</v>
      </c>
    </row>
    <row r="1776" spans="1:13" outlineLevel="1" x14ac:dyDescent="0.2">
      <c r="A1776" t="str">
        <f ca="1">Language!A$871</f>
        <v>Ставка дисконтирования инвестиционных затрат</v>
      </c>
      <c r="B1776" s="273">
        <f>B1736</f>
        <v>0.25</v>
      </c>
    </row>
    <row r="1777" spans="1:13" outlineLevel="1" x14ac:dyDescent="0.2">
      <c r="A1777" s="63"/>
      <c r="B1777" s="63"/>
      <c r="C1777" s="63"/>
      <c r="D1777" s="63"/>
      <c r="E1777" s="63"/>
      <c r="F1777" s="63"/>
      <c r="G1777" s="63"/>
      <c r="H1777" s="63"/>
      <c r="I1777" s="63"/>
      <c r="J1777" s="63"/>
      <c r="K1777" s="63"/>
      <c r="L1777" s="63"/>
      <c r="M1777" s="64"/>
    </row>
    <row r="1778" spans="1:13" outlineLevel="1" x14ac:dyDescent="0.2">
      <c r="A1778" s="22" t="str">
        <f ca="1">Language!A$876 &amp; ", " &amp; Проект!CUR_Report</f>
        <v>График: Окупаемость проекта (для банка), руб.</v>
      </c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22"/>
    </row>
    <row r="1779" spans="1:13" outlineLevel="2" x14ac:dyDescent="0.2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22"/>
    </row>
    <row r="1780" spans="1:13" outlineLevel="2" x14ac:dyDescent="0.2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22"/>
    </row>
    <row r="1781" spans="1:13" outlineLevel="2" x14ac:dyDescent="0.2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22"/>
    </row>
    <row r="1782" spans="1:13" outlineLevel="2" x14ac:dyDescent="0.2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22"/>
    </row>
    <row r="1783" spans="1:13" outlineLevel="2" x14ac:dyDescent="0.2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22"/>
    </row>
    <row r="1784" spans="1:13" outlineLevel="2" x14ac:dyDescent="0.2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22"/>
    </row>
    <row r="1785" spans="1:13" outlineLevel="2" x14ac:dyDescent="0.2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22"/>
    </row>
    <row r="1786" spans="1:13" outlineLevel="2" x14ac:dyDescent="0.2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22"/>
    </row>
    <row r="1787" spans="1:13" outlineLevel="2" x14ac:dyDescent="0.2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22"/>
    </row>
    <row r="1788" spans="1:13" outlineLevel="2" x14ac:dyDescent="0.2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22"/>
    </row>
    <row r="1789" spans="1:13" outlineLevel="2" x14ac:dyDescent="0.2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22"/>
    </row>
    <row r="1790" spans="1:13" outlineLevel="2" x14ac:dyDescent="0.2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22"/>
    </row>
    <row r="1791" spans="1:13" outlineLevel="2" x14ac:dyDescent="0.2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22"/>
    </row>
    <row r="1792" spans="1:13" outlineLevel="2" x14ac:dyDescent="0.2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22"/>
    </row>
    <row r="1793" spans="1:13" outlineLevel="2" x14ac:dyDescent="0.2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22"/>
    </row>
    <row r="1794" spans="1:13" outlineLevel="2" x14ac:dyDescent="0.2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22"/>
    </row>
    <row r="1795" spans="1:13" outlineLevel="2" x14ac:dyDescent="0.2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22"/>
    </row>
    <row r="1796" spans="1:13" outlineLevel="2" x14ac:dyDescent="0.2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22"/>
    </row>
    <row r="1797" spans="1:13" outlineLevel="2" x14ac:dyDescent="0.2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22"/>
    </row>
    <row r="1798" spans="1:13" outlineLevel="2" x14ac:dyDescent="0.2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22"/>
    </row>
    <row r="1799" spans="1:13" outlineLevel="2" x14ac:dyDescent="0.2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22"/>
    </row>
    <row r="1800" spans="1:13" outlineLevel="2" x14ac:dyDescent="0.2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22"/>
    </row>
    <row r="1801" spans="1:13" outlineLevel="2" x14ac:dyDescent="0.2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22"/>
    </row>
    <row r="1802" spans="1:13" outlineLevel="1" x14ac:dyDescent="0.2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22"/>
    </row>
    <row r="1803" spans="1:13" outlineLevel="1" x14ac:dyDescent="0.2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22"/>
    </row>
    <row r="1804" spans="1:13" s="4" customFormat="1" ht="15.9" customHeight="1" thickBot="1" x14ac:dyDescent="0.25">
      <c r="A1804" s="166" t="str">
        <f ca="1">Language!A877</f>
        <v xml:space="preserve">         ОЦЕНКА БИЗНЕСА</v>
      </c>
      <c r="B1804" s="166"/>
      <c r="C1804" s="166"/>
      <c r="D1804" s="166"/>
      <c r="E1804" s="166"/>
      <c r="F1804" s="178" t="str">
        <f t="shared" ref="F1804:K1804" si="1267">PeriodTitle</f>
        <v>4/ 2020</v>
      </c>
      <c r="G1804" s="178" t="str">
        <f t="shared" si="1267"/>
        <v>5/ 2020</v>
      </c>
      <c r="H1804" s="178" t="str">
        <f t="shared" si="1267"/>
        <v>6/ 2020</v>
      </c>
      <c r="I1804" s="178" t="str">
        <f t="shared" si="1267"/>
        <v>7/ 2020</v>
      </c>
      <c r="J1804" s="178" t="str">
        <f t="shared" si="1267"/>
        <v>8/ 2020</v>
      </c>
      <c r="K1804" s="178" t="str">
        <f t="shared" si="1267"/>
        <v>9/ 2020</v>
      </c>
      <c r="L1804" s="166"/>
      <c r="M1804" s="167" t="str">
        <f ca="1">Language!A$371</f>
        <v>ИТОГО</v>
      </c>
    </row>
    <row r="1805" spans="1:13" ht="10.8" outlineLevel="1" thickTop="1" x14ac:dyDescent="0.2"/>
    <row r="1806" spans="1:13" outlineLevel="1" x14ac:dyDescent="0.2">
      <c r="A1806" t="str">
        <f ca="1">Language!A$835</f>
        <v>Валюта расчетов:</v>
      </c>
      <c r="B1806" s="255">
        <v>1</v>
      </c>
      <c r="C1806" s="17" t="str">
        <f ca="1">CHOOSE(B1806,CUR_Main,CUR_Foreign)</f>
        <v>руб.</v>
      </c>
    </row>
    <row r="1807" spans="1:13" outlineLevel="1" collapsed="1" x14ac:dyDescent="0.2">
      <c r="A1807" t="str">
        <f ca="1">Language!A$836</f>
        <v>Годовая ставка дисконтирования:</v>
      </c>
      <c r="B1807" s="273">
        <f>SENS_Discount</f>
        <v>0.25</v>
      </c>
      <c r="C1807" s="5" t="s">
        <v>177</v>
      </c>
      <c r="D1807" s="16" t="s">
        <v>176</v>
      </c>
      <c r="F1807" s="251">
        <f>$B$1807</f>
        <v>0.25</v>
      </c>
      <c r="G1807" s="251">
        <f t="shared" ref="G1807:K1807" si="1268">F1807</f>
        <v>0.25</v>
      </c>
      <c r="H1807" s="251">
        <f t="shared" si="1268"/>
        <v>0.25</v>
      </c>
      <c r="I1807" s="251">
        <f t="shared" si="1268"/>
        <v>0.25</v>
      </c>
      <c r="J1807" s="251">
        <f t="shared" si="1268"/>
        <v>0.25</v>
      </c>
      <c r="K1807" s="251">
        <f t="shared" si="1268"/>
        <v>0.25</v>
      </c>
    </row>
    <row r="1808" spans="1:13" hidden="1" outlineLevel="2" x14ac:dyDescent="0.2">
      <c r="A1808" t="str">
        <f ca="1">Language!A$837</f>
        <v xml:space="preserve">    ставка дисконтирования на расчетный период</v>
      </c>
      <c r="D1808" s="16" t="s">
        <v>176</v>
      </c>
      <c r="F1808" s="251">
        <f t="shared" ref="F1808:K1808" si="1269">POWER(1+F1807,PRJ_Step/360)-1-IF(CalcMethod=1,IF($B$1806=1,F$81,F$92),0)</f>
        <v>1.3115119734100844E-2</v>
      </c>
      <c r="G1808" s="251">
        <f t="shared" si="1269"/>
        <v>1.3115119734100844E-2</v>
      </c>
      <c r="H1808" s="251">
        <f t="shared" si="1269"/>
        <v>1.3115119734100844E-2</v>
      </c>
      <c r="I1808" s="251">
        <f t="shared" si="1269"/>
        <v>1.3115119734100844E-2</v>
      </c>
      <c r="J1808" s="251">
        <f t="shared" si="1269"/>
        <v>1.3115119734100844E-2</v>
      </c>
      <c r="K1808" s="251">
        <f t="shared" si="1269"/>
        <v>1.3115119734100844E-2</v>
      </c>
    </row>
    <row r="1809" spans="1:13" hidden="1" outlineLevel="2" x14ac:dyDescent="0.2">
      <c r="A1809" t="str">
        <f ca="1">Language!A$878</f>
        <v xml:space="preserve">    коэффициент дисконта на середину периода</v>
      </c>
      <c r="D1809" s="16" t="s">
        <v>176</v>
      </c>
      <c r="F1809" s="252">
        <f>(1+F1808)^0.5</f>
        <v>1.0065361989188968</v>
      </c>
      <c r="G1809" s="252">
        <f t="shared" ref="G1809:K1809" si="1270">F1809*(1+G1808)</f>
        <v>1.0197370416844249</v>
      </c>
      <c r="H1809" s="252">
        <f t="shared" si="1270"/>
        <v>1.033111015083414</v>
      </c>
      <c r="I1809" s="252">
        <f t="shared" si="1270"/>
        <v>1.0466603897448514</v>
      </c>
      <c r="J1809" s="252">
        <f t="shared" si="1270"/>
        <v>1.0603874660772958</v>
      </c>
      <c r="K1809" s="252">
        <f t="shared" si="1270"/>
        <v>1.0742945746594394</v>
      </c>
    </row>
    <row r="1810" spans="1:13" hidden="1" outlineLevel="2" x14ac:dyDescent="0.2">
      <c r="A1810" t="str">
        <f ca="1">Language!A$839</f>
        <v xml:space="preserve">    коэффициент дисконта для потока на конец периода</v>
      </c>
      <c r="D1810" s="16" t="s">
        <v>176</v>
      </c>
      <c r="F1810" s="252">
        <f>1+F1808</f>
        <v>1.0131151197341008</v>
      </c>
      <c r="G1810" s="252">
        <f t="shared" ref="G1810:K1810" si="1271">F1810*(1+G1808)</f>
        <v>1.0264022458338415</v>
      </c>
      <c r="H1810" s="252">
        <f t="shared" si="1271"/>
        <v>1.0398636341833023</v>
      </c>
      <c r="I1810" s="252">
        <f t="shared" si="1271"/>
        <v>1.0535015702527535</v>
      </c>
      <c r="J1810" s="252">
        <f t="shared" si="1271"/>
        <v>1.0673183694866817</v>
      </c>
      <c r="K1810" s="252">
        <f t="shared" si="1271"/>
        <v>1.0813163776969048</v>
      </c>
    </row>
    <row r="1811" spans="1:13" outlineLevel="1" collapsed="1" x14ac:dyDescent="0.2">
      <c r="A1811" t="str">
        <f ca="1">Language!A$879</f>
        <v>Долгосрочные темпы роста в постпрогнозный период</v>
      </c>
      <c r="B1811" s="273">
        <f ca="1">IF($B$1806=1,OFFSET(F80,0,PRJ_Len-1),OFFSET(F91,0,PRJ_Len-1))</f>
        <v>7.0000000000000007E-2</v>
      </c>
      <c r="C1811" s="5" t="s">
        <v>177</v>
      </c>
    </row>
    <row r="1812" spans="1:13" hidden="1" outlineLevel="2" x14ac:dyDescent="0.2">
      <c r="A1812" t="str">
        <f ca="1">Language!A$880</f>
        <v xml:space="preserve">    в пересчете на период, равный шагу проекта</v>
      </c>
      <c r="B1812" s="137">
        <f ca="1">MAX(0,POWER(1+B1811,PRJ_Step/360)-1-IF(CalcMethod=1,IF($B$1806=1,OFFSET(F$81,0,PRJ_Len-1),OFFSET(F$92,0,PRJ_Len-1)),0))</f>
        <v>0</v>
      </c>
    </row>
    <row r="1813" spans="1:13" outlineLevel="1" x14ac:dyDescent="0.2"/>
    <row r="1814" spans="1:13" outlineLevel="1" x14ac:dyDescent="0.2">
      <c r="A1814" s="35" t="str">
        <f ca="1">Language!A$881</f>
        <v>Денежный поток для собственного капитала</v>
      </c>
      <c r="C1814" s="5" t="str">
        <f ca="1">CHOOSE(B1806,CUR_Main,CUR_Foreign)</f>
        <v>руб.</v>
      </c>
      <c r="F1814" s="58">
        <f t="shared" ref="F1814:J1814" ca="1" si="1272">F1815+F1816-F1817+F1818+F1819</f>
        <v>15122083.333333332</v>
      </c>
      <c r="G1814" s="58">
        <f t="shared" ca="1" si="1272"/>
        <v>66849460</v>
      </c>
      <c r="H1814" s="58">
        <f t="shared" ca="1" si="1272"/>
        <v>98359860</v>
      </c>
      <c r="I1814" s="58">
        <f t="shared" ca="1" si="1272"/>
        <v>91019280</v>
      </c>
      <c r="J1814" s="58">
        <f t="shared" ca="1" si="1272"/>
        <v>91638500</v>
      </c>
      <c r="K1814" s="58">
        <f t="shared" ref="K1814" ca="1" si="1273">K1815+K1816-K1817+K1818+K1819</f>
        <v>91638500</v>
      </c>
      <c r="L1814" s="35"/>
      <c r="M1814" s="57">
        <f t="shared" ref="M1814:M1819" ca="1" si="1274">SUM(F1814:K1814)</f>
        <v>454627683.33333331</v>
      </c>
    </row>
    <row r="1815" spans="1:13" outlineLevel="1" x14ac:dyDescent="0.2">
      <c r="A1815" t="str">
        <f ca="1">Language!A$882</f>
        <v>Чистая прибыль</v>
      </c>
      <c r="C1815" s="5" t="str">
        <f ca="1">CHOOSE(B1806,CUR_Main,CUR_Foreign)</f>
        <v>руб.</v>
      </c>
      <c r="F1815" s="43">
        <f t="shared" ref="F1815:K1815" ca="1" si="1275">(F1152-F1146)*IF(CUR_I_Report&lt;&gt;$B$1806,IF(CUR_I_Report=2,F$88,1/F$88),1)</f>
        <v>13127500</v>
      </c>
      <c r="G1815" s="43">
        <f t="shared" ca="1" si="1275"/>
        <v>58087900</v>
      </c>
      <c r="H1815" s="43">
        <f t="shared" ca="1" si="1275"/>
        <v>91768300</v>
      </c>
      <c r="I1815" s="43">
        <f t="shared" ca="1" si="1275"/>
        <v>91668500</v>
      </c>
      <c r="J1815" s="43">
        <f t="shared" ca="1" si="1275"/>
        <v>91668500</v>
      </c>
      <c r="K1815" s="43">
        <f t="shared" ca="1" si="1275"/>
        <v>91667333.333333328</v>
      </c>
      <c r="M1815" s="54">
        <f t="shared" ca="1" si="1274"/>
        <v>437988033.33333331</v>
      </c>
    </row>
    <row r="1816" spans="1:13" outlineLevel="1" x14ac:dyDescent="0.2">
      <c r="A1816" t="str">
        <f ca="1">Language!A$883</f>
        <v>Амортизация</v>
      </c>
      <c r="C1816" s="5" t="str">
        <f ca="1">CHOOSE(B1806,CUR_Main,CUR_Foreign)</f>
        <v>руб.</v>
      </c>
      <c r="F1816" s="43">
        <f t="shared" ref="F1816:K1816" ca="1" si="1276">F1137*IF(CUR_I_Report&lt;&gt;$B$1806,IF(CUR_I_Report=2,F$88,1/F$88),1)</f>
        <v>0</v>
      </c>
      <c r="G1816" s="43">
        <f t="shared" ca="1" si="1276"/>
        <v>0</v>
      </c>
      <c r="H1816" s="43">
        <f t="shared" ca="1" si="1276"/>
        <v>0</v>
      </c>
      <c r="I1816" s="43">
        <f t="shared" ca="1" si="1276"/>
        <v>20000</v>
      </c>
      <c r="J1816" s="43">
        <f t="shared" ca="1" si="1276"/>
        <v>20000</v>
      </c>
      <c r="K1816" s="43">
        <f t="shared" ca="1" si="1276"/>
        <v>21166.666666666668</v>
      </c>
      <c r="M1816" s="54">
        <f t="shared" ca="1" si="1274"/>
        <v>61166.666666666672</v>
      </c>
    </row>
    <row r="1817" spans="1:13" outlineLevel="1" x14ac:dyDescent="0.2">
      <c r="A1817" t="str">
        <f ca="1">Language!A$884</f>
        <v>Изменение чистого оборотного капитала</v>
      </c>
      <c r="C1817" s="5" t="str">
        <f ca="1">CHOOSE(B1806,CUR_Main,CUR_Foreign)</f>
        <v>руб.</v>
      </c>
      <c r="F1817" s="43">
        <f t="shared" ref="F1817:K1817" ca="1" si="1277">F1000/IF($B1806=1,1,F$88)</f>
        <v>-2534583.333333333</v>
      </c>
      <c r="G1817" s="43">
        <f t="shared" ca="1" si="1277"/>
        <v>-8801560</v>
      </c>
      <c r="H1817" s="43">
        <f t="shared" ca="1" si="1277"/>
        <v>-6641560</v>
      </c>
      <c r="I1817" s="43">
        <f t="shared" ca="1" si="1277"/>
        <v>-80780</v>
      </c>
      <c r="J1817" s="43">
        <f t="shared" ca="1" si="1277"/>
        <v>0</v>
      </c>
      <c r="K1817" s="43">
        <f t="shared" ca="1" si="1277"/>
        <v>0</v>
      </c>
      <c r="M1817" s="54">
        <f t="shared" ca="1" si="1274"/>
        <v>-18058483.333333332</v>
      </c>
    </row>
    <row r="1818" spans="1:13" outlineLevel="1" x14ac:dyDescent="0.2">
      <c r="A1818" t="str">
        <f ca="1">Language!A$885</f>
        <v>Инвестиции</v>
      </c>
      <c r="C1818" s="5" t="str">
        <f ca="1">CHOOSE(B1806,CUR_Main,CUR_Foreign)</f>
        <v>руб.</v>
      </c>
      <c r="F1818" s="43">
        <f t="shared" ref="F1818:K1818" si="1278">(F1263+F1266+F1264+F1265+F1267+F1268+F1270)*IF(CUR_I_Report&lt;&gt;$B$1806,IF(CUR_I_Report=2,F$88,1/F$88),1)</f>
        <v>-540000</v>
      </c>
      <c r="G1818" s="43">
        <f t="shared" si="1278"/>
        <v>-40000</v>
      </c>
      <c r="H1818" s="43">
        <f t="shared" si="1278"/>
        <v>-50000</v>
      </c>
      <c r="I1818" s="43">
        <f t="shared" si="1278"/>
        <v>-750000</v>
      </c>
      <c r="J1818" s="43">
        <f t="shared" si="1278"/>
        <v>-50000</v>
      </c>
      <c r="K1818" s="43">
        <f t="shared" si="1278"/>
        <v>-50000</v>
      </c>
      <c r="M1818" s="54">
        <f t="shared" si="1274"/>
        <v>-1480000</v>
      </c>
    </row>
    <row r="1819" spans="1:13" outlineLevel="1" x14ac:dyDescent="0.2">
      <c r="A1819" t="str">
        <f ca="1">Language!A$886</f>
        <v>Изменение долгосрочной задолженности</v>
      </c>
      <c r="C1819" s="5" t="str">
        <f ca="1">CHOOSE(B1806,CUR_Main,CUR_Foreign)</f>
        <v>руб.</v>
      </c>
      <c r="F1819" s="43">
        <f t="shared" ref="F1819:K1819" si="1279">(F1277+F1278)*IF(CUR_I_Report&lt;&gt;$B$1806,IF(CUR_I_Report=2,F$88,1/F$88),1)</f>
        <v>0</v>
      </c>
      <c r="G1819" s="43">
        <f t="shared" si="1279"/>
        <v>0</v>
      </c>
      <c r="H1819" s="43">
        <f t="shared" si="1279"/>
        <v>0</v>
      </c>
      <c r="I1819" s="43">
        <f t="shared" si="1279"/>
        <v>0</v>
      </c>
      <c r="J1819" s="43">
        <f t="shared" si="1279"/>
        <v>0</v>
      </c>
      <c r="K1819" s="43">
        <f t="shared" si="1279"/>
        <v>0</v>
      </c>
      <c r="M1819" s="54">
        <f t="shared" si="1274"/>
        <v>0</v>
      </c>
    </row>
    <row r="1820" spans="1:13" outlineLevel="1" x14ac:dyDescent="0.2"/>
    <row r="1821" spans="1:13" outlineLevel="1" x14ac:dyDescent="0.2">
      <c r="A1821" t="str">
        <f ca="1">Language!A$887</f>
        <v>Дисконтированный денежный поток</v>
      </c>
      <c r="C1821" s="5" t="str">
        <f ca="1">CHOOSE(B1806,CUR_Main,CUR_Foreign)</f>
        <v>руб.</v>
      </c>
      <c r="F1821" s="43">
        <f t="shared" ref="F1821:J1821" ca="1" si="1280">F1814/F1809</f>
        <v>15023884.237423057</v>
      </c>
      <c r="G1821" s="43">
        <f t="shared" ca="1" si="1280"/>
        <v>65555586.653571531</v>
      </c>
      <c r="H1821" s="43">
        <f t="shared" ca="1" si="1280"/>
        <v>95207444.857277378</v>
      </c>
      <c r="I1821" s="43">
        <f t="shared" ca="1" si="1280"/>
        <v>86961617.05535464</v>
      </c>
      <c r="J1821" s="43">
        <f t="shared" ca="1" si="1280"/>
        <v>86419825.706729084</v>
      </c>
      <c r="K1821" s="43">
        <f t="shared" ref="K1821" ca="1" si="1281">K1814/K1809</f>
        <v>85301091.675949484</v>
      </c>
      <c r="L1821" s="43"/>
      <c r="M1821" s="54">
        <f ca="1">SUM(F1821:K1821)</f>
        <v>434469450.18630517</v>
      </c>
    </row>
    <row r="1822" spans="1:13" outlineLevel="1" x14ac:dyDescent="0.2"/>
    <row r="1823" spans="1:13" outlineLevel="1" collapsed="1" x14ac:dyDescent="0.2">
      <c r="A1823" s="35" t="str">
        <f ca="1">Language!A$888</f>
        <v>Продленная стоимость проекта</v>
      </c>
      <c r="B1823" s="55">
        <f ca="1">OFFSET(F1824,0,PRJ_Len-1)*(1+B1812)/(OFFSET(F1808,0,PRJ_Len-1)-B1812)</f>
        <v>6989439303.0196705</v>
      </c>
      <c r="C1823" s="5" t="str">
        <f ca="1">CHOOSE(B1806,CUR_Main,CUR_Foreign)</f>
        <v>руб.</v>
      </c>
      <c r="F1823" s="35"/>
      <c r="G1823" s="35"/>
      <c r="H1823" s="35"/>
      <c r="I1823" s="35"/>
      <c r="J1823" s="35"/>
      <c r="K1823" s="35"/>
      <c r="L1823" s="35"/>
      <c r="M1823" s="51"/>
    </row>
    <row r="1824" spans="1:13" hidden="1" outlineLevel="2" x14ac:dyDescent="0.2">
      <c r="A1824" s="23" t="str">
        <f ca="1">Language!A$889</f>
        <v>Посленалоговая операционная прибыль (NOPLAT)</v>
      </c>
      <c r="C1824" s="5" t="str">
        <f ca="1">CHOOSE(B1806,CUR_Main,CUR_Foreign)</f>
        <v>руб.</v>
      </c>
      <c r="F1824" s="53">
        <f t="shared" ref="F1824:K1824" ca="1" si="1282">(F1145+F1142)*(1-F1500)*IF(CUR_I_Report&lt;&gt;$B$1806,IF(CUR_I_Report=2,F$88,1/F$88),1)</f>
        <v>13127500</v>
      </c>
      <c r="G1824" s="53">
        <f t="shared" ca="1" si="1282"/>
        <v>58087900</v>
      </c>
      <c r="H1824" s="53">
        <f t="shared" ca="1" si="1282"/>
        <v>91768300</v>
      </c>
      <c r="I1824" s="53">
        <f t="shared" ca="1" si="1282"/>
        <v>91668500</v>
      </c>
      <c r="J1824" s="53">
        <f t="shared" ca="1" si="1282"/>
        <v>91668500</v>
      </c>
      <c r="K1824" s="53">
        <f t="shared" ca="1" si="1282"/>
        <v>91667333.333333328</v>
      </c>
      <c r="L1824" s="35"/>
      <c r="M1824" s="51"/>
    </row>
    <row r="1825" spans="1:13" hidden="1" outlineLevel="2" x14ac:dyDescent="0.2">
      <c r="A1825" s="23" t="str">
        <f ca="1">Language!A$890</f>
        <v>Дисконтированная продленная стоимость</v>
      </c>
      <c r="B1825" s="144">
        <f ca="1">B1823/OFFSET(F1810,0,PRJ_Len-1)</f>
        <v>6463824507.9635935</v>
      </c>
      <c r="C1825" s="5" t="str">
        <f ca="1">CHOOSE(B1806,CUR_Main,CUR_Foreign)</f>
        <v>руб.</v>
      </c>
    </row>
    <row r="1826" spans="1:13" outlineLevel="1" x14ac:dyDescent="0.2"/>
    <row r="1827" spans="1:13" outlineLevel="1" x14ac:dyDescent="0.2">
      <c r="A1827" s="35" t="str">
        <f ca="1">Language!A$891</f>
        <v>Итого стоимость бизнеса</v>
      </c>
      <c r="B1827" s="151">
        <f ca="1">M1821+B1825</f>
        <v>6898293958.1498985</v>
      </c>
      <c r="C1827" t="str">
        <f ca="1">CHOOSE(B1806,CUR_Main,CUR_Foreign)</f>
        <v>руб.</v>
      </c>
      <c r="F1827" s="43"/>
    </row>
    <row r="1828" spans="1:13" outlineLevel="1" x14ac:dyDescent="0.2">
      <c r="A1828" s="63"/>
      <c r="B1828" s="63"/>
      <c r="C1828" s="63"/>
      <c r="D1828" s="63"/>
      <c r="E1828" s="63"/>
      <c r="F1828" s="121"/>
      <c r="G1828" s="63"/>
      <c r="H1828" s="63"/>
      <c r="I1828" s="63"/>
      <c r="J1828" s="63"/>
      <c r="K1828" s="63"/>
      <c r="L1828" s="63"/>
      <c r="M1828" s="64"/>
    </row>
    <row r="1829" spans="1:13" outlineLevel="1" x14ac:dyDescent="0.2"/>
    <row r="1830" spans="1:13" s="4" customFormat="1" ht="15.9" customHeight="1" thickBot="1" x14ac:dyDescent="0.25">
      <c r="A1830" s="166" t="str">
        <f ca="1">Language!A892</f>
        <v xml:space="preserve">         БЮДЖЕТНАЯ ЭФФЕКТИВНОСТЬ</v>
      </c>
      <c r="B1830" s="166"/>
      <c r="C1830" s="166"/>
      <c r="D1830" s="166"/>
      <c r="E1830" s="166"/>
      <c r="F1830" s="178" t="str">
        <f t="shared" ref="F1830:K1830" si="1283">PeriodTitle</f>
        <v>4/ 2020</v>
      </c>
      <c r="G1830" s="178" t="str">
        <f t="shared" si="1283"/>
        <v>5/ 2020</v>
      </c>
      <c r="H1830" s="178" t="str">
        <f t="shared" si="1283"/>
        <v>6/ 2020</v>
      </c>
      <c r="I1830" s="178" t="str">
        <f t="shared" si="1283"/>
        <v>7/ 2020</v>
      </c>
      <c r="J1830" s="178" t="str">
        <f t="shared" si="1283"/>
        <v>8/ 2020</v>
      </c>
      <c r="K1830" s="178" t="str">
        <f t="shared" si="1283"/>
        <v>9/ 2020</v>
      </c>
      <c r="L1830" s="166"/>
      <c r="M1830" s="167" t="str">
        <f ca="1">Language!A$371</f>
        <v>ИТОГО</v>
      </c>
    </row>
    <row r="1831" spans="1:13" ht="10.8" outlineLevel="1" thickTop="1" x14ac:dyDescent="0.2"/>
    <row r="1832" spans="1:13" outlineLevel="1" x14ac:dyDescent="0.2">
      <c r="A1832" s="35" t="str">
        <f ca="1">Language!A895</f>
        <v>Доли налоговых поступлений в бюджеты разных уровней</v>
      </c>
    </row>
    <row r="1833" spans="1:13" outlineLevel="1" x14ac:dyDescent="0.2">
      <c r="B1833" s="11" t="str">
        <f ca="1">Language!A893</f>
        <v>федеральный</v>
      </c>
      <c r="C1833" s="11" t="str">
        <f ca="1">Language!A894</f>
        <v>территории</v>
      </c>
    </row>
    <row r="1834" spans="1:13" outlineLevel="1" x14ac:dyDescent="0.2">
      <c r="A1834" t="str">
        <f ca="1">Language!A896</f>
        <v>Налог на добавленную стоимость</v>
      </c>
      <c r="B1834" s="154">
        <f>1-C1834</f>
        <v>1</v>
      </c>
      <c r="C1834" s="273">
        <v>0</v>
      </c>
    </row>
    <row r="1835" spans="1:13" outlineLevel="1" x14ac:dyDescent="0.2">
      <c r="A1835" t="str">
        <f ca="1">Language!A897</f>
        <v>Налог на прибыль</v>
      </c>
      <c r="B1835" s="154">
        <f t="shared" ref="B1835:B1845" si="1284">1-C1835</f>
        <v>0.20833333333333337</v>
      </c>
      <c r="C1835" s="273">
        <v>0.79166666666666663</v>
      </c>
    </row>
    <row r="1836" spans="1:13" outlineLevel="1" x14ac:dyDescent="0.2">
      <c r="A1836" t="str">
        <f ca="1">Language!A898</f>
        <v xml:space="preserve">Начисления на заработную плату </v>
      </c>
      <c r="B1836" s="154">
        <f t="shared" si="1284"/>
        <v>1</v>
      </c>
      <c r="C1836" s="273">
        <v>0</v>
      </c>
    </row>
    <row r="1837" spans="1:13" outlineLevel="1" x14ac:dyDescent="0.2">
      <c r="A1837" t="str">
        <f ca="1">Language!A899</f>
        <v>Акцизы и экспортные пошлины</v>
      </c>
      <c r="B1837" s="154">
        <f t="shared" si="1284"/>
        <v>1</v>
      </c>
      <c r="C1837" s="273">
        <v>0</v>
      </c>
    </row>
    <row r="1838" spans="1:13" outlineLevel="1" x14ac:dyDescent="0.2">
      <c r="A1838" t="str">
        <f ca="1">Language!A900</f>
        <v>Импортная пошлина</v>
      </c>
      <c r="B1838" s="154">
        <f t="shared" si="1284"/>
        <v>1</v>
      </c>
      <c r="C1838" s="273">
        <v>0</v>
      </c>
    </row>
    <row r="1839" spans="1:13" outlineLevel="1" x14ac:dyDescent="0.2">
      <c r="A1839" t="str">
        <f ca="1">Language!A901</f>
        <v>Подоходный налог</v>
      </c>
      <c r="B1839" s="154">
        <f t="shared" si="1284"/>
        <v>1</v>
      </c>
      <c r="C1839" s="273">
        <v>0</v>
      </c>
    </row>
    <row r="1840" spans="1:13" outlineLevel="1" x14ac:dyDescent="0.2">
      <c r="A1840" t="str">
        <f ca="1">Language!A902</f>
        <v>Земельный налог</v>
      </c>
      <c r="B1840" s="154">
        <f t="shared" si="1284"/>
        <v>1</v>
      </c>
      <c r="C1840" s="273">
        <v>0</v>
      </c>
    </row>
    <row r="1841" spans="1:13" outlineLevel="1" x14ac:dyDescent="0.2">
      <c r="A1841" t="str">
        <f ca="1">Language!A903</f>
        <v>Налог на имущество</v>
      </c>
      <c r="B1841" s="154">
        <f t="shared" si="1284"/>
        <v>0.5</v>
      </c>
      <c r="C1841" s="273">
        <v>0.5</v>
      </c>
    </row>
    <row r="1842" spans="1:13" outlineLevel="1" x14ac:dyDescent="0.2">
      <c r="A1842" t="str">
        <f ca="1">A147</f>
        <v>Другие налоги, относимые на текущие затраты</v>
      </c>
      <c r="B1842" s="154">
        <f t="shared" si="1284"/>
        <v>1</v>
      </c>
      <c r="C1842" s="273">
        <v>0</v>
      </c>
    </row>
    <row r="1843" spans="1:13" outlineLevel="1" x14ac:dyDescent="0.2">
      <c r="A1843" t="str">
        <f ca="1">A162</f>
        <v>Другие налоги, относимые на финансовые результаты</v>
      </c>
      <c r="B1843" s="154">
        <f t="shared" si="1284"/>
        <v>1</v>
      </c>
      <c r="C1843" s="273">
        <v>0</v>
      </c>
    </row>
    <row r="1844" spans="1:13" outlineLevel="1" x14ac:dyDescent="0.2">
      <c r="A1844" t="str">
        <f ca="1">Language!A904</f>
        <v>Единый налог на вмененный доход</v>
      </c>
      <c r="B1844" s="154">
        <f t="shared" si="1284"/>
        <v>1</v>
      </c>
      <c r="C1844" s="273">
        <v>0</v>
      </c>
    </row>
    <row r="1845" spans="1:13" outlineLevel="1" x14ac:dyDescent="0.2">
      <c r="A1845" t="str">
        <f ca="1">Language!A905</f>
        <v>Упрощенная система налогообложения</v>
      </c>
      <c r="B1845" s="154">
        <f t="shared" si="1284"/>
        <v>1</v>
      </c>
      <c r="C1845" s="273">
        <v>0</v>
      </c>
    </row>
    <row r="1846" spans="1:13" outlineLevel="1" x14ac:dyDescent="0.2"/>
    <row r="1847" spans="1:13" outlineLevel="1" x14ac:dyDescent="0.2">
      <c r="A1847" t="str">
        <f ca="1">Language!A906</f>
        <v>Ставка налога на доходы физических лиц</v>
      </c>
      <c r="B1847" s="273">
        <v>0.13</v>
      </c>
      <c r="C1847" s="5" t="str">
        <f ca="1">CUR_Main</f>
        <v>руб.</v>
      </c>
      <c r="F1847" s="43">
        <f t="shared" ref="F1847:K1847" si="1285">F841*$B1847</f>
        <v>81250</v>
      </c>
      <c r="G1847" s="43">
        <f t="shared" si="1285"/>
        <v>99450</v>
      </c>
      <c r="H1847" s="43">
        <f t="shared" si="1285"/>
        <v>117650</v>
      </c>
      <c r="I1847" s="43">
        <f t="shared" si="1285"/>
        <v>126750</v>
      </c>
      <c r="J1847" s="43">
        <f t="shared" si="1285"/>
        <v>126750</v>
      </c>
      <c r="K1847" s="43">
        <f t="shared" si="1285"/>
        <v>126750</v>
      </c>
      <c r="L1847" s="43"/>
      <c r="M1847" s="54">
        <f>SUM(F1847:K1847)</f>
        <v>678600</v>
      </c>
    </row>
    <row r="1848" spans="1:13" outlineLevel="1" x14ac:dyDescent="0.2">
      <c r="C1848" s="5"/>
      <c r="F1848" s="43"/>
      <c r="G1848" s="43"/>
      <c r="H1848" s="43"/>
      <c r="I1848" s="43"/>
      <c r="J1848" s="43"/>
      <c r="K1848" s="43"/>
      <c r="L1848" s="43"/>
      <c r="M1848" s="54"/>
    </row>
    <row r="1849" spans="1:13" outlineLevel="1" x14ac:dyDescent="0.2">
      <c r="A1849" t="str">
        <f ca="1">Language!A907</f>
        <v>Налоговые поступления в федеральный бюджет</v>
      </c>
      <c r="C1849" s="5" t="str">
        <f ca="1">CUR_Main</f>
        <v>руб.</v>
      </c>
      <c r="F1849" s="43">
        <f t="shared" ref="F1849:K1849" ca="1" si="1286">F107*$B1837+F108*$B1838+F126*$B1834+(F136+F204+F223)*$B1836+F143*$B1840+F147*$B1842+F157*$B1841+F162*$B1843+F173*$B1835+F201*$B1844+F215*$B1845+F1847*$B1839</f>
        <v>2328750</v>
      </c>
      <c r="G1849" s="43">
        <f t="shared" ca="1" si="1286"/>
        <v>5246550</v>
      </c>
      <c r="H1849" s="43">
        <f t="shared" ca="1" si="1286"/>
        <v>7444350</v>
      </c>
      <c r="I1849" s="43">
        <f t="shared" ca="1" si="1286"/>
        <v>7463250</v>
      </c>
      <c r="J1849" s="43">
        <f t="shared" ca="1" si="1286"/>
        <v>7463250</v>
      </c>
      <c r="K1849" s="43">
        <f t="shared" ca="1" si="1286"/>
        <v>7463250</v>
      </c>
      <c r="L1849" s="43"/>
      <c r="M1849" s="54">
        <f ca="1">SUM(F1849:K1849)</f>
        <v>37409400</v>
      </c>
    </row>
    <row r="1850" spans="1:13" outlineLevel="1" x14ac:dyDescent="0.2">
      <c r="A1850" t="str">
        <f ca="1">Language!A908</f>
        <v>Налоговые поступления в территориальный бюджет</v>
      </c>
      <c r="C1850" s="5" t="str">
        <f ca="1">CUR_Main</f>
        <v>руб.</v>
      </c>
      <c r="F1850" s="43">
        <f t="shared" ref="F1850:K1850" ca="1" si="1287">F107*$C1837+F108*$C1838+F126*$C1834+(F136+F204+F223)*$C1836+F143*$C1840+F147*$C1842+F157*$C1841+F162*$C1843+F173*$C1835+F201*$C1844+F215*$C1845+F1847*$C1839</f>
        <v>0</v>
      </c>
      <c r="G1850" s="43">
        <f t="shared" ca="1" si="1287"/>
        <v>0</v>
      </c>
      <c r="H1850" s="43">
        <f t="shared" ca="1" si="1287"/>
        <v>0</v>
      </c>
      <c r="I1850" s="43">
        <f t="shared" ca="1" si="1287"/>
        <v>0</v>
      </c>
      <c r="J1850" s="43">
        <f t="shared" ca="1" si="1287"/>
        <v>0</v>
      </c>
      <c r="K1850" s="43">
        <f t="shared" ca="1" si="1287"/>
        <v>0</v>
      </c>
      <c r="L1850" s="43"/>
      <c r="M1850" s="54">
        <f ca="1">SUM(F1850:K1850)</f>
        <v>0</v>
      </c>
    </row>
    <row r="1851" spans="1:13" outlineLevel="1" x14ac:dyDescent="0.2">
      <c r="C1851" s="5"/>
      <c r="F1851" s="43"/>
      <c r="G1851" s="43"/>
      <c r="H1851" s="43"/>
      <c r="I1851" s="43"/>
      <c r="J1851" s="43"/>
      <c r="K1851" s="43"/>
      <c r="L1851" s="43"/>
      <c r="M1851" s="54"/>
    </row>
    <row r="1852" spans="1:13" outlineLevel="1" x14ac:dyDescent="0.2">
      <c r="A1852" s="35" t="str">
        <f ca="1">Language!A909</f>
        <v>Бюджетное финансирование</v>
      </c>
      <c r="C1852" s="5"/>
      <c r="F1852" s="43"/>
      <c r="G1852" s="43"/>
      <c r="H1852" s="43"/>
      <c r="I1852" s="43"/>
      <c r="J1852" s="43"/>
      <c r="K1852" s="43"/>
      <c r="L1852" s="43"/>
      <c r="M1852" s="54"/>
    </row>
    <row r="1853" spans="1:13" outlineLevel="1" x14ac:dyDescent="0.2">
      <c r="C1853" s="5"/>
      <c r="F1853" s="43"/>
      <c r="G1853" s="43"/>
      <c r="H1853" s="43"/>
      <c r="I1853" s="43"/>
      <c r="J1853" s="43"/>
      <c r="K1853" s="43"/>
      <c r="L1853" s="43"/>
      <c r="M1853" s="54"/>
    </row>
    <row r="1854" spans="1:13" outlineLevel="1" x14ac:dyDescent="0.2">
      <c r="A1854" s="11" t="str">
        <f ca="1">Language!A910</f>
        <v>Федеральный бюджет</v>
      </c>
      <c r="C1854" s="5"/>
      <c r="F1854" s="43"/>
      <c r="G1854" s="43"/>
      <c r="H1854" s="43"/>
      <c r="I1854" s="43"/>
      <c r="J1854" s="43"/>
      <c r="K1854" s="43"/>
      <c r="L1854" s="43"/>
      <c r="M1854" s="54"/>
    </row>
    <row r="1855" spans="1:13" outlineLevel="1" x14ac:dyDescent="0.2">
      <c r="A1855" t="str">
        <f ca="1">Language!A911</f>
        <v xml:space="preserve">    целевое финансирование</v>
      </c>
      <c r="C1855" s="5" t="str">
        <f ca="1">CUR_Main</f>
        <v>руб.</v>
      </c>
      <c r="F1855" s="272">
        <v>0</v>
      </c>
      <c r="G1855" s="272">
        <v>0</v>
      </c>
      <c r="H1855" s="272">
        <v>0</v>
      </c>
      <c r="I1855" s="272">
        <v>0</v>
      </c>
      <c r="J1855" s="272">
        <v>0</v>
      </c>
      <c r="K1855" s="272">
        <v>0</v>
      </c>
      <c r="L1855" s="43"/>
      <c r="M1855" s="54">
        <f>SUM(F1855:K1855)</f>
        <v>0</v>
      </c>
    </row>
    <row r="1856" spans="1:13" outlineLevel="1" x14ac:dyDescent="0.2">
      <c r="A1856" t="str">
        <f ca="1">Language!A912</f>
        <v xml:space="preserve">    кредиты выданные</v>
      </c>
      <c r="C1856" s="5" t="str">
        <f ca="1">CUR_Main</f>
        <v>руб.</v>
      </c>
      <c r="F1856" s="53">
        <f t="shared" ref="F1856:K1856" si="1288">SUMIF($D1038:$D1065,"*3/1_00*",F1038:F1065)+SUMIF($D1038:$D1065,"*3/2_00*",F1038:F1065)*F$88</f>
        <v>0</v>
      </c>
      <c r="G1856" s="53">
        <f t="shared" si="1288"/>
        <v>0</v>
      </c>
      <c r="H1856" s="53">
        <f t="shared" si="1288"/>
        <v>0</v>
      </c>
      <c r="I1856" s="53">
        <f t="shared" si="1288"/>
        <v>0</v>
      </c>
      <c r="J1856" s="53">
        <f t="shared" si="1288"/>
        <v>0</v>
      </c>
      <c r="K1856" s="53">
        <f t="shared" si="1288"/>
        <v>0</v>
      </c>
      <c r="L1856" s="43"/>
      <c r="M1856" s="54">
        <f>SUM(F1856:K1856)</f>
        <v>0</v>
      </c>
    </row>
    <row r="1857" spans="1:13" outlineLevel="1" x14ac:dyDescent="0.2">
      <c r="A1857" t="str">
        <f ca="1">Language!A913</f>
        <v xml:space="preserve">    возврат кредитов</v>
      </c>
      <c r="C1857" s="5" t="str">
        <f ca="1">CUR_Main</f>
        <v>руб.</v>
      </c>
      <c r="F1857" s="43">
        <f t="shared" ref="F1857:K1857" si="1289">SUMIF($D1038:$D1065,"*3/1_01*",F1038:F1065)+SUMIF($D1038:$D1065,"*3/2_01*",F1038:F1065)*F$88</f>
        <v>0</v>
      </c>
      <c r="G1857" s="43">
        <f t="shared" si="1289"/>
        <v>0</v>
      </c>
      <c r="H1857" s="43">
        <f t="shared" si="1289"/>
        <v>0</v>
      </c>
      <c r="I1857" s="43">
        <f t="shared" si="1289"/>
        <v>0</v>
      </c>
      <c r="J1857" s="43">
        <f t="shared" si="1289"/>
        <v>0</v>
      </c>
      <c r="K1857" s="43">
        <f t="shared" si="1289"/>
        <v>0</v>
      </c>
      <c r="L1857" s="43"/>
      <c r="M1857" s="54">
        <f>SUM(F1857:K1857)</f>
        <v>0</v>
      </c>
    </row>
    <row r="1858" spans="1:13" outlineLevel="1" x14ac:dyDescent="0.2">
      <c r="A1858" t="str">
        <f ca="1">Language!A914</f>
        <v xml:space="preserve">    проценты по выданным кредитам</v>
      </c>
      <c r="C1858" s="5" t="str">
        <f ca="1">CUR_Main</f>
        <v>руб.</v>
      </c>
      <c r="F1858" s="43">
        <f t="shared" ref="F1858:K1858" si="1290">SUMIF($D1038:$D1065,"*3/1_03*",F1038:F1065)+SUMIF($D1038:$D1065,"*3/2_03*",F1038:F1065)*F$88</f>
        <v>0</v>
      </c>
      <c r="G1858" s="43">
        <f t="shared" si="1290"/>
        <v>0</v>
      </c>
      <c r="H1858" s="43">
        <f t="shared" si="1290"/>
        <v>0</v>
      </c>
      <c r="I1858" s="43">
        <f t="shared" si="1290"/>
        <v>0</v>
      </c>
      <c r="J1858" s="43">
        <f t="shared" si="1290"/>
        <v>0</v>
      </c>
      <c r="K1858" s="43">
        <f t="shared" si="1290"/>
        <v>0</v>
      </c>
      <c r="L1858" s="43"/>
      <c r="M1858" s="54">
        <f>SUM(F1858:K1858)</f>
        <v>0</v>
      </c>
    </row>
    <row r="1859" spans="1:13" outlineLevel="1" x14ac:dyDescent="0.2">
      <c r="A1859" s="11" t="str">
        <f ca="1">Language!A915</f>
        <v>Территориальный бюджет</v>
      </c>
      <c r="C1859" s="5"/>
      <c r="F1859" s="43"/>
      <c r="G1859" s="43"/>
      <c r="H1859" s="43"/>
      <c r="I1859" s="43"/>
      <c r="J1859" s="43"/>
      <c r="K1859" s="43"/>
      <c r="L1859" s="43"/>
      <c r="M1859" s="54"/>
    </row>
    <row r="1860" spans="1:13" outlineLevel="1" x14ac:dyDescent="0.2">
      <c r="A1860" t="str">
        <f ca="1">Language!A911</f>
        <v xml:space="preserve">    целевое финансирование</v>
      </c>
      <c r="C1860" s="5" t="str">
        <f ca="1">CUR_Main</f>
        <v>руб.</v>
      </c>
      <c r="F1860" s="272">
        <v>0</v>
      </c>
      <c r="G1860" s="272">
        <v>0</v>
      </c>
      <c r="H1860" s="272">
        <v>0</v>
      </c>
      <c r="I1860" s="272">
        <v>0</v>
      </c>
      <c r="J1860" s="272">
        <v>0</v>
      </c>
      <c r="K1860" s="272">
        <v>0</v>
      </c>
      <c r="L1860" s="43"/>
      <c r="M1860" s="54">
        <f>SUM(F1860:K1860)</f>
        <v>0</v>
      </c>
    </row>
    <row r="1861" spans="1:13" outlineLevel="1" x14ac:dyDescent="0.2">
      <c r="A1861" t="str">
        <f ca="1">Language!A912</f>
        <v xml:space="preserve">    кредиты выданные</v>
      </c>
      <c r="C1861" s="5" t="str">
        <f ca="1">CUR_Main</f>
        <v>руб.</v>
      </c>
      <c r="F1861" s="43">
        <f t="shared" ref="F1861:K1861" si="1291">SUMIF($D1038:$D1065,"*4/1_00*",F1038:F1065)+SUMIF($D1038:$D1065,"*4/2_00*",F1038:F1065)*F$88</f>
        <v>0</v>
      </c>
      <c r="G1861" s="43">
        <f t="shared" si="1291"/>
        <v>0</v>
      </c>
      <c r="H1861" s="43">
        <f t="shared" si="1291"/>
        <v>0</v>
      </c>
      <c r="I1861" s="43">
        <f t="shared" si="1291"/>
        <v>0</v>
      </c>
      <c r="J1861" s="43">
        <f t="shared" si="1291"/>
        <v>0</v>
      </c>
      <c r="K1861" s="43">
        <f t="shared" si="1291"/>
        <v>0</v>
      </c>
      <c r="L1861" s="43"/>
      <c r="M1861" s="54">
        <f>SUM(F1861:K1861)</f>
        <v>0</v>
      </c>
    </row>
    <row r="1862" spans="1:13" outlineLevel="1" x14ac:dyDescent="0.2">
      <c r="A1862" t="str">
        <f ca="1">Language!A913</f>
        <v xml:space="preserve">    возврат кредитов</v>
      </c>
      <c r="C1862" s="5" t="str">
        <f ca="1">CUR_Main</f>
        <v>руб.</v>
      </c>
      <c r="F1862" s="43">
        <f t="shared" ref="F1862:K1862" si="1292">SUMIF($D1038:$D1065,"*4/1_01*",F1038:F1065)+SUMIF($D1038:$D1065,"*4/2_01*",F1038:F1065)*F$88</f>
        <v>0</v>
      </c>
      <c r="G1862" s="43">
        <f t="shared" si="1292"/>
        <v>0</v>
      </c>
      <c r="H1862" s="43">
        <f t="shared" si="1292"/>
        <v>0</v>
      </c>
      <c r="I1862" s="43">
        <f t="shared" si="1292"/>
        <v>0</v>
      </c>
      <c r="J1862" s="43">
        <f t="shared" si="1292"/>
        <v>0</v>
      </c>
      <c r="K1862" s="43">
        <f t="shared" si="1292"/>
        <v>0</v>
      </c>
      <c r="L1862" s="43"/>
      <c r="M1862" s="54">
        <f>SUM(F1862:K1862)</f>
        <v>0</v>
      </c>
    </row>
    <row r="1863" spans="1:13" outlineLevel="1" x14ac:dyDescent="0.2">
      <c r="A1863" t="str">
        <f ca="1">Language!A914</f>
        <v xml:space="preserve">    проценты по выданным кредитам</v>
      </c>
      <c r="C1863" s="5" t="str">
        <f ca="1">CUR_Main</f>
        <v>руб.</v>
      </c>
      <c r="F1863" s="43">
        <f t="shared" ref="F1863:K1863" si="1293">SUMIF($D1038:$D1065,"*4/1_03*",F1038:F1065)+SUMIF($D1038:$D1065,"*4/2_03*",F1038:F1065)*F$88</f>
        <v>0</v>
      </c>
      <c r="G1863" s="43">
        <f t="shared" si="1293"/>
        <v>0</v>
      </c>
      <c r="H1863" s="43">
        <f t="shared" si="1293"/>
        <v>0</v>
      </c>
      <c r="I1863" s="43">
        <f t="shared" si="1293"/>
        <v>0</v>
      </c>
      <c r="J1863" s="43">
        <f t="shared" si="1293"/>
        <v>0</v>
      </c>
      <c r="K1863" s="43">
        <f t="shared" si="1293"/>
        <v>0</v>
      </c>
      <c r="L1863" s="43"/>
      <c r="M1863" s="54">
        <f>SUM(F1863:K1863)</f>
        <v>0</v>
      </c>
    </row>
    <row r="1864" spans="1:13" outlineLevel="1" x14ac:dyDescent="0.2">
      <c r="C1864" s="5"/>
      <c r="F1864" s="43"/>
      <c r="G1864" s="43"/>
      <c r="H1864" s="43"/>
      <c r="I1864" s="43"/>
      <c r="J1864" s="43"/>
      <c r="K1864" s="43"/>
      <c r="L1864" s="43"/>
      <c r="M1864" s="54"/>
    </row>
    <row r="1865" spans="1:13" outlineLevel="1" x14ac:dyDescent="0.2">
      <c r="A1865" s="35" t="str">
        <f ca="1">Language!A916</f>
        <v>Доходы бюджетов</v>
      </c>
      <c r="C1865" s="5"/>
      <c r="F1865" s="43"/>
      <c r="G1865" s="43"/>
      <c r="H1865" s="43"/>
      <c r="I1865" s="43"/>
      <c r="J1865" s="43"/>
      <c r="K1865" s="43"/>
      <c r="L1865" s="43"/>
      <c r="M1865" s="54"/>
    </row>
    <row r="1866" spans="1:13" outlineLevel="1" x14ac:dyDescent="0.2">
      <c r="C1866" s="5"/>
      <c r="F1866" s="43"/>
      <c r="G1866" s="43"/>
      <c r="H1866" s="43"/>
      <c r="I1866" s="43"/>
      <c r="J1866" s="43"/>
      <c r="K1866" s="43"/>
      <c r="L1866" s="43"/>
      <c r="M1866" s="54"/>
    </row>
    <row r="1867" spans="1:13" outlineLevel="1" x14ac:dyDescent="0.2">
      <c r="A1867" t="str">
        <f ca="1">Language!A917</f>
        <v>Суммарные денежные потоки федерального бюджета</v>
      </c>
      <c r="C1867" s="5" t="str">
        <f ca="1">CUR_Main</f>
        <v>руб.</v>
      </c>
      <c r="F1867" s="53">
        <f t="shared" ref="F1867:J1867" ca="1" si="1294">F1849-F1856+F1857+F1858-F1855</f>
        <v>2328750</v>
      </c>
      <c r="G1867" s="53">
        <f t="shared" ca="1" si="1294"/>
        <v>5246550</v>
      </c>
      <c r="H1867" s="53">
        <f t="shared" ca="1" si="1294"/>
        <v>7444350</v>
      </c>
      <c r="I1867" s="53">
        <f t="shared" ca="1" si="1294"/>
        <v>7463250</v>
      </c>
      <c r="J1867" s="53">
        <f t="shared" ca="1" si="1294"/>
        <v>7463250</v>
      </c>
      <c r="K1867" s="53">
        <f t="shared" ref="K1867" ca="1" si="1295">K1849-K1856+K1857+K1858-K1855</f>
        <v>7463250</v>
      </c>
      <c r="L1867" s="43"/>
      <c r="M1867" s="54">
        <f ca="1">SUM(F1867:K1867)</f>
        <v>37409400</v>
      </c>
    </row>
    <row r="1868" spans="1:13" outlineLevel="1" x14ac:dyDescent="0.2">
      <c r="A1868" t="str">
        <f ca="1">Language!A918</f>
        <v>Суммарные денежные потоки территориального бюджета</v>
      </c>
      <c r="C1868" s="5" t="str">
        <f ca="1">CUR_Main</f>
        <v>руб.</v>
      </c>
      <c r="F1868" s="53">
        <f t="shared" ref="F1868:J1868" ca="1" si="1296">F1850-F1861+F1862+F1863-F1860</f>
        <v>0</v>
      </c>
      <c r="G1868" s="53">
        <f t="shared" ca="1" si="1296"/>
        <v>0</v>
      </c>
      <c r="H1868" s="53">
        <f t="shared" ca="1" si="1296"/>
        <v>0</v>
      </c>
      <c r="I1868" s="53">
        <f t="shared" ca="1" si="1296"/>
        <v>0</v>
      </c>
      <c r="J1868" s="53">
        <f t="shared" ca="1" si="1296"/>
        <v>0</v>
      </c>
      <c r="K1868" s="53">
        <f t="shared" ref="K1868" ca="1" si="1297">K1850-K1861+K1862+K1863-K1860</f>
        <v>0</v>
      </c>
      <c r="L1868" s="43"/>
      <c r="M1868" s="54">
        <f ca="1">SUM(F1868:K1868)</f>
        <v>0</v>
      </c>
    </row>
    <row r="1869" spans="1:13" outlineLevel="1" x14ac:dyDescent="0.2">
      <c r="C1869" s="5"/>
      <c r="F1869" s="43"/>
      <c r="G1869" s="43"/>
      <c r="H1869" s="43"/>
      <c r="I1869" s="43"/>
      <c r="J1869" s="43"/>
      <c r="K1869" s="43"/>
      <c r="L1869" s="43"/>
      <c r="M1869" s="54"/>
    </row>
    <row r="1870" spans="1:13" outlineLevel="1" collapsed="1" x14ac:dyDescent="0.2">
      <c r="A1870" t="str">
        <f ca="1">Language!A919</f>
        <v>Годовая ставка дисконтирования:</v>
      </c>
      <c r="B1870" s="273">
        <f>SENS_Discount</f>
        <v>0.25</v>
      </c>
      <c r="C1870" s="5" t="s">
        <v>177</v>
      </c>
      <c r="D1870" s="16" t="s">
        <v>176</v>
      </c>
      <c r="F1870" s="135">
        <f>$B$1870</f>
        <v>0.25</v>
      </c>
      <c r="G1870" s="135">
        <f t="shared" ref="G1870:K1870" si="1298">F1870</f>
        <v>0.25</v>
      </c>
      <c r="H1870" s="135">
        <f t="shared" si="1298"/>
        <v>0.25</v>
      </c>
      <c r="I1870" s="135">
        <f t="shared" si="1298"/>
        <v>0.25</v>
      </c>
      <c r="J1870" s="135">
        <f t="shared" si="1298"/>
        <v>0.25</v>
      </c>
      <c r="K1870" s="135">
        <f t="shared" si="1298"/>
        <v>0.25</v>
      </c>
    </row>
    <row r="1871" spans="1:13" hidden="1" outlineLevel="2" x14ac:dyDescent="0.2">
      <c r="A1871" t="str">
        <f ca="1">Language!A920</f>
        <v xml:space="preserve">    ставка дисконтирования на расчетный период</v>
      </c>
      <c r="C1871" s="5"/>
      <c r="D1871" s="16" t="s">
        <v>176</v>
      </c>
      <c r="F1871" s="135">
        <f t="shared" ref="F1871:J1871" si="1299">POWER(1+F1870,PRJ_Step/360)-1-IF(CalcMethod=1,F$81,0)</f>
        <v>1.3115119734100844E-2</v>
      </c>
      <c r="G1871" s="135">
        <f t="shared" si="1299"/>
        <v>1.3115119734100844E-2</v>
      </c>
      <c r="H1871" s="135">
        <f t="shared" si="1299"/>
        <v>1.3115119734100844E-2</v>
      </c>
      <c r="I1871" s="135">
        <f t="shared" si="1299"/>
        <v>1.3115119734100844E-2</v>
      </c>
      <c r="J1871" s="135">
        <f t="shared" si="1299"/>
        <v>1.3115119734100844E-2</v>
      </c>
      <c r="K1871" s="135">
        <f t="shared" ref="K1871" si="1300">POWER(1+K1870,PRJ_Step/360)-1-IF(CalcMethod=1,K$81,0)</f>
        <v>1.3115119734100844E-2</v>
      </c>
    </row>
    <row r="1872" spans="1:13" hidden="1" outlineLevel="2" x14ac:dyDescent="0.2">
      <c r="A1872" t="str">
        <f ca="1">Language!A$838</f>
        <v xml:space="preserve">    коэффициент дисконта для потока на начало периода</v>
      </c>
      <c r="D1872" s="16" t="s">
        <v>176</v>
      </c>
      <c r="F1872" s="136">
        <v>1</v>
      </c>
      <c r="G1872" s="5">
        <f t="shared" ref="G1872:K1872" si="1301">F1872*(1+G1871)</f>
        <v>1.0131151197341008</v>
      </c>
      <c r="H1872" s="5">
        <f t="shared" si="1301"/>
        <v>1.0264022458338415</v>
      </c>
      <c r="I1872" s="5">
        <f t="shared" si="1301"/>
        <v>1.0398636341833023</v>
      </c>
      <c r="J1872" s="5">
        <f t="shared" si="1301"/>
        <v>1.0535015702527535</v>
      </c>
      <c r="K1872" s="5">
        <f t="shared" si="1301"/>
        <v>1.0673183694866817</v>
      </c>
    </row>
    <row r="1873" spans="1:13" outlineLevel="1" x14ac:dyDescent="0.2">
      <c r="F1873" s="43"/>
      <c r="G1873" s="43"/>
      <c r="H1873" s="43"/>
      <c r="I1873" s="43"/>
      <c r="J1873" s="43"/>
      <c r="K1873" s="43"/>
      <c r="L1873" s="43"/>
      <c r="M1873" s="54"/>
    </row>
    <row r="1874" spans="1:13" outlineLevel="1" x14ac:dyDescent="0.2">
      <c r="A1874" t="str">
        <f ca="1">Language!A922</f>
        <v>Дисконтированные потоки федерального бюджета</v>
      </c>
      <c r="F1874" s="43">
        <f t="shared" ref="F1874:J1874" ca="1" si="1302">F1867/F1872</f>
        <v>2328750</v>
      </c>
      <c r="G1874" s="43">
        <f t="shared" ca="1" si="1302"/>
        <v>5178631.6261640573</v>
      </c>
      <c r="H1874" s="43">
        <f t="shared" ca="1" si="1302"/>
        <v>7252858.2533958368</v>
      </c>
      <c r="I1874" s="43">
        <f t="shared" ca="1" si="1302"/>
        <v>7177142.9970830325</v>
      </c>
      <c r="J1874" s="43">
        <f t="shared" ca="1" si="1302"/>
        <v>7084232.4404029464</v>
      </c>
      <c r="K1874" s="43">
        <f t="shared" ref="K1874" ca="1" si="1303">K1867/K1872</f>
        <v>6992524.6424732581</v>
      </c>
      <c r="L1874" s="43"/>
      <c r="M1874" s="54">
        <f ca="1">SUM(F1874:K1874)</f>
        <v>36014139.959519133</v>
      </c>
    </row>
    <row r="1875" spans="1:13" outlineLevel="1" x14ac:dyDescent="0.2">
      <c r="A1875" t="str">
        <f ca="1">Language!A923</f>
        <v>Дисконтированные потоки территориального бюджета</v>
      </c>
      <c r="F1875" s="43">
        <f t="shared" ref="F1875:J1875" ca="1" si="1304">F1868/F1872</f>
        <v>0</v>
      </c>
      <c r="G1875" s="43">
        <f t="shared" ca="1" si="1304"/>
        <v>0</v>
      </c>
      <c r="H1875" s="43">
        <f t="shared" ca="1" si="1304"/>
        <v>0</v>
      </c>
      <c r="I1875" s="43">
        <f t="shared" ca="1" si="1304"/>
        <v>0</v>
      </c>
      <c r="J1875" s="43">
        <f t="shared" ca="1" si="1304"/>
        <v>0</v>
      </c>
      <c r="K1875" s="43">
        <f t="shared" ref="K1875" ca="1" si="1305">K1868/K1872</f>
        <v>0</v>
      </c>
      <c r="L1875" s="43"/>
      <c r="M1875" s="54">
        <f ca="1">SUM(F1875:K1875)</f>
        <v>0</v>
      </c>
    </row>
    <row r="1876" spans="1:13" outlineLevel="1" x14ac:dyDescent="0.2">
      <c r="F1876" s="43"/>
      <c r="G1876" s="43"/>
      <c r="H1876" s="43"/>
      <c r="I1876" s="43"/>
      <c r="J1876" s="43"/>
      <c r="K1876" s="43"/>
      <c r="L1876" s="43"/>
      <c r="M1876" s="54"/>
    </row>
    <row r="1877" spans="1:13" outlineLevel="1" x14ac:dyDescent="0.2">
      <c r="A1877" s="35" t="str">
        <f ca="1">Language!A924</f>
        <v>NPV федерального бюджета</v>
      </c>
      <c r="B1877" s="151">
        <f ca="1">M1874</f>
        <v>36014139.959519133</v>
      </c>
      <c r="C1877" s="5" t="str">
        <f ca="1">CUR_Main</f>
        <v>руб.</v>
      </c>
      <c r="F1877" s="43"/>
      <c r="G1877" s="43"/>
      <c r="H1877" s="43"/>
      <c r="I1877" s="43"/>
      <c r="J1877" s="43"/>
      <c r="K1877" s="43"/>
      <c r="L1877" s="43"/>
      <c r="M1877" s="54"/>
    </row>
    <row r="1878" spans="1:13" ht="11.25" customHeight="1" outlineLevel="1" x14ac:dyDescent="0.2">
      <c r="A1878" s="155" t="str">
        <f ca="1">Language!A925</f>
        <v>NPV территориального бюджета</v>
      </c>
      <c r="B1878" s="151">
        <f ca="1">M1875</f>
        <v>0</v>
      </c>
      <c r="C1878" s="5" t="str">
        <f ca="1">CUR_Main</f>
        <v>руб.</v>
      </c>
      <c r="F1878" s="43"/>
      <c r="G1878" s="43"/>
      <c r="H1878" s="43"/>
      <c r="I1878" s="43"/>
      <c r="J1878" s="43"/>
      <c r="K1878" s="43"/>
      <c r="L1878" s="43"/>
      <c r="M1878" s="54"/>
    </row>
    <row r="1879" spans="1:13" outlineLevel="1" x14ac:dyDescent="0.2">
      <c r="A1879" s="63"/>
      <c r="B1879" s="63"/>
      <c r="C1879" s="63"/>
      <c r="D1879" s="63"/>
      <c r="E1879" s="63"/>
      <c r="F1879" s="121"/>
      <c r="G1879" s="121"/>
      <c r="H1879" s="121"/>
      <c r="I1879" s="121"/>
      <c r="J1879" s="121"/>
      <c r="K1879" s="121"/>
      <c r="L1879" s="121"/>
      <c r="M1879" s="122"/>
    </row>
    <row r="1880" spans="1:13" outlineLevel="1" x14ac:dyDescent="0.2">
      <c r="A1880" s="19"/>
      <c r="B1880" s="19"/>
      <c r="C1880" s="19"/>
      <c r="D1880" s="19"/>
      <c r="E1880" s="19"/>
      <c r="F1880" s="65"/>
      <c r="G1880" s="65"/>
      <c r="H1880" s="65"/>
      <c r="I1880" s="65"/>
      <c r="J1880" s="65"/>
      <c r="K1880" s="65"/>
      <c r="L1880" s="65"/>
      <c r="M1880" s="66"/>
    </row>
    <row r="1881" spans="1:13" s="4" customFormat="1" ht="15.9" customHeight="1" thickBot="1" x14ac:dyDescent="0.25">
      <c r="A1881" s="166" t="str">
        <f ca="1">Language!A$926</f>
        <v xml:space="preserve">         ОСНОВНЫЕ ПОКАЗАТЕЛИ ПРОЕКТА</v>
      </c>
      <c r="B1881" s="166"/>
      <c r="C1881" s="166"/>
      <c r="D1881" s="166"/>
      <c r="E1881" s="166"/>
      <c r="F1881" s="178" t="str">
        <f t="shared" ref="F1881:K1881" si="1306">PeriodTitle</f>
        <v>4/ 2020</v>
      </c>
      <c r="G1881" s="178" t="str">
        <f t="shared" si="1306"/>
        <v>5/ 2020</v>
      </c>
      <c r="H1881" s="178" t="str">
        <f t="shared" si="1306"/>
        <v>6/ 2020</v>
      </c>
      <c r="I1881" s="178" t="str">
        <f t="shared" si="1306"/>
        <v>7/ 2020</v>
      </c>
      <c r="J1881" s="178" t="str">
        <f t="shared" si="1306"/>
        <v>8/ 2020</v>
      </c>
      <c r="K1881" s="178" t="str">
        <f t="shared" si="1306"/>
        <v>9/ 2020</v>
      </c>
      <c r="L1881" s="166"/>
      <c r="M1881" s="167" t="str">
        <f ca="1">Language!A$371</f>
        <v>ИТОГО</v>
      </c>
    </row>
    <row r="1882" spans="1:13" ht="10.8" outlineLevel="1" thickTop="1" x14ac:dyDescent="0.2"/>
    <row r="1883" spans="1:13" outlineLevel="1" x14ac:dyDescent="0.2">
      <c r="A1883" t="str">
        <f ca="1">Language!A$927</f>
        <v>Выручка от реализации (без НДС)</v>
      </c>
      <c r="C1883" s="5" t="str">
        <f t="shared" ref="C1883:C1902" ca="1" si="1307">CUR_Report</f>
        <v>руб.</v>
      </c>
      <c r="F1883" s="43">
        <f t="shared" ref="F1883:J1883" si="1308">F1129</f>
        <v>36000000</v>
      </c>
      <c r="G1883" s="43">
        <f t="shared" si="1308"/>
        <v>84000000</v>
      </c>
      <c r="H1883" s="43">
        <f t="shared" si="1308"/>
        <v>120000000</v>
      </c>
      <c r="I1883" s="43">
        <f t="shared" si="1308"/>
        <v>120000000</v>
      </c>
      <c r="J1883" s="43">
        <f t="shared" si="1308"/>
        <v>120000000</v>
      </c>
      <c r="K1883" s="43">
        <f t="shared" ref="K1883" si="1309">K1129</f>
        <v>120000000</v>
      </c>
      <c r="M1883" s="54">
        <f t="shared" ref="M1883:M1889" si="1310">SUM(F1883:K1883)</f>
        <v>600000000</v>
      </c>
    </row>
    <row r="1884" spans="1:13" outlineLevel="1" x14ac:dyDescent="0.2">
      <c r="A1884" t="str">
        <f ca="1">Language!A$928</f>
        <v>Затраты на производство (без НДС)</v>
      </c>
      <c r="C1884" s="5" t="str">
        <f t="shared" ca="1" si="1307"/>
        <v>руб.</v>
      </c>
      <c r="F1884" s="43">
        <f t="shared" ref="F1884:J1884" ca="1" si="1311">F1130+F1139+F1140+F1141+F1144+F1137+F1142</f>
        <v>20712500</v>
      </c>
      <c r="G1884" s="43">
        <f t="shared" ca="1" si="1311"/>
        <v>20872100</v>
      </c>
      <c r="H1884" s="43">
        <f t="shared" ca="1" si="1311"/>
        <v>21031700</v>
      </c>
      <c r="I1884" s="43">
        <f t="shared" ca="1" si="1311"/>
        <v>21151500</v>
      </c>
      <c r="J1884" s="43">
        <f t="shared" ca="1" si="1311"/>
        <v>21151500</v>
      </c>
      <c r="K1884" s="43">
        <f t="shared" ref="K1884" ca="1" si="1312">K1130+K1139+K1140+K1141+K1144+K1137+K1142</f>
        <v>21153833.333333336</v>
      </c>
      <c r="M1884" s="54">
        <f t="shared" ca="1" si="1310"/>
        <v>126073133.33333334</v>
      </c>
    </row>
    <row r="1885" spans="1:13" outlineLevel="1" x14ac:dyDescent="0.2">
      <c r="A1885" t="str">
        <f ca="1">Language!A$723</f>
        <v>Прибыль до налога, процентов и амортизации (EBITDA)</v>
      </c>
      <c r="C1885" s="5" t="str">
        <f t="shared" ca="1" si="1307"/>
        <v>руб.</v>
      </c>
      <c r="F1885" s="43">
        <f t="shared" ref="F1885:J1885" ca="1" si="1313">F1215</f>
        <v>15287500</v>
      </c>
      <c r="G1885" s="43">
        <f t="shared" ca="1" si="1313"/>
        <v>63127900</v>
      </c>
      <c r="H1885" s="43">
        <f t="shared" ca="1" si="1313"/>
        <v>98968300</v>
      </c>
      <c r="I1885" s="43">
        <f t="shared" ca="1" si="1313"/>
        <v>98888500</v>
      </c>
      <c r="J1885" s="43">
        <f t="shared" ca="1" si="1313"/>
        <v>98888500</v>
      </c>
      <c r="K1885" s="43">
        <f t="shared" ref="K1885" ca="1" si="1314">K1215</f>
        <v>98888500</v>
      </c>
      <c r="M1885" s="54">
        <f t="shared" ca="1" si="1310"/>
        <v>474049200</v>
      </c>
    </row>
    <row r="1886" spans="1:13" outlineLevel="1" x14ac:dyDescent="0.2">
      <c r="A1886" t="str">
        <f ca="1">Language!A$725</f>
        <v>Прибыль до процентов и налога (EBIT)</v>
      </c>
      <c r="C1886" s="5" t="str">
        <f t="shared" ca="1" si="1307"/>
        <v>руб.</v>
      </c>
      <c r="F1886" s="43">
        <f t="shared" ref="F1886:J1886" ca="1" si="1315">F1216</f>
        <v>15287500</v>
      </c>
      <c r="G1886" s="43">
        <f t="shared" ca="1" si="1315"/>
        <v>63127900</v>
      </c>
      <c r="H1886" s="43">
        <f t="shared" ca="1" si="1315"/>
        <v>98968300</v>
      </c>
      <c r="I1886" s="43">
        <f t="shared" ca="1" si="1315"/>
        <v>98868500</v>
      </c>
      <c r="J1886" s="43">
        <f t="shared" ca="1" si="1315"/>
        <v>98868500</v>
      </c>
      <c r="K1886" s="43">
        <f t="shared" ref="K1886" ca="1" si="1316">K1216</f>
        <v>98867333.333333328</v>
      </c>
      <c r="M1886" s="54">
        <f t="shared" ca="1" si="1310"/>
        <v>473988033.33333331</v>
      </c>
    </row>
    <row r="1887" spans="1:13" outlineLevel="1" x14ac:dyDescent="0.2">
      <c r="A1887" t="str">
        <f ca="1">Language!A$727</f>
        <v>Прибыль до налогообложения</v>
      </c>
      <c r="C1887" s="5" t="str">
        <f t="shared" ca="1" si="1307"/>
        <v>руб.</v>
      </c>
      <c r="F1887" s="43">
        <f t="shared" ref="F1887:J1887" ca="1" si="1317">F1150</f>
        <v>15287500</v>
      </c>
      <c r="G1887" s="43">
        <f t="shared" ca="1" si="1317"/>
        <v>63127900</v>
      </c>
      <c r="H1887" s="43">
        <f t="shared" ca="1" si="1317"/>
        <v>98968300</v>
      </c>
      <c r="I1887" s="43">
        <f t="shared" ca="1" si="1317"/>
        <v>98868500</v>
      </c>
      <c r="J1887" s="43">
        <f t="shared" ca="1" si="1317"/>
        <v>98868500</v>
      </c>
      <c r="K1887" s="43">
        <f t="shared" ref="K1887" ca="1" si="1318">K1150</f>
        <v>98867333.333333328</v>
      </c>
      <c r="M1887" s="54">
        <f t="shared" ca="1" si="1310"/>
        <v>473988033.33333331</v>
      </c>
    </row>
    <row r="1888" spans="1:13" outlineLevel="1" x14ac:dyDescent="0.2">
      <c r="A1888" t="str">
        <f ca="1">Language!A$729</f>
        <v>Чистая прибыль (убыток)</v>
      </c>
      <c r="C1888" s="5" t="str">
        <f t="shared" ca="1" si="1307"/>
        <v>руб.</v>
      </c>
      <c r="F1888" s="43">
        <f t="shared" ref="F1888:J1888" ca="1" si="1319">F1152</f>
        <v>13127500</v>
      </c>
      <c r="G1888" s="43">
        <f t="shared" ca="1" si="1319"/>
        <v>58087900</v>
      </c>
      <c r="H1888" s="43">
        <f t="shared" ca="1" si="1319"/>
        <v>91768300</v>
      </c>
      <c r="I1888" s="43">
        <f t="shared" ca="1" si="1319"/>
        <v>91668500</v>
      </c>
      <c r="J1888" s="43">
        <f t="shared" ca="1" si="1319"/>
        <v>91668500</v>
      </c>
      <c r="K1888" s="43">
        <f t="shared" ref="K1888" ca="1" si="1320">K1152</f>
        <v>91667333.333333328</v>
      </c>
      <c r="M1888" s="54">
        <f t="shared" ca="1" si="1310"/>
        <v>437988033.33333331</v>
      </c>
    </row>
    <row r="1889" spans="1:13" outlineLevel="1" x14ac:dyDescent="0.2">
      <c r="A1889" t="str">
        <f ca="1">Language!A$738</f>
        <v>Нераспределенная прибыль (за период)</v>
      </c>
      <c r="C1889" s="5" t="str">
        <f t="shared" ca="1" si="1307"/>
        <v>руб.</v>
      </c>
      <c r="F1889" s="43">
        <f t="shared" ref="F1889:J1889" ca="1" si="1321">F1219</f>
        <v>13127500</v>
      </c>
      <c r="G1889" s="43">
        <f t="shared" ca="1" si="1321"/>
        <v>58087900</v>
      </c>
      <c r="H1889" s="43">
        <f t="shared" ca="1" si="1321"/>
        <v>91768300</v>
      </c>
      <c r="I1889" s="43">
        <f t="shared" ca="1" si="1321"/>
        <v>91668500</v>
      </c>
      <c r="J1889" s="43">
        <f t="shared" ca="1" si="1321"/>
        <v>91668500</v>
      </c>
      <c r="K1889" s="43">
        <f t="shared" ref="K1889" ca="1" si="1322">K1219</f>
        <v>91667333.333333328</v>
      </c>
      <c r="M1889" s="54">
        <f t="shared" ca="1" si="1310"/>
        <v>437988033.33333331</v>
      </c>
    </row>
    <row r="1890" spans="1:13" outlineLevel="1" x14ac:dyDescent="0.2">
      <c r="A1890" s="63"/>
      <c r="B1890" s="63"/>
      <c r="C1890" s="63"/>
      <c r="D1890" s="63"/>
      <c r="E1890" s="63"/>
      <c r="F1890" s="63"/>
      <c r="G1890" s="63"/>
      <c r="H1890" s="63"/>
      <c r="I1890" s="63"/>
      <c r="J1890" s="63"/>
      <c r="K1890" s="63"/>
      <c r="L1890" s="63"/>
      <c r="M1890" s="64"/>
    </row>
    <row r="1891" spans="1:13" outlineLevel="1" x14ac:dyDescent="0.2">
      <c r="A1891" s="19" t="str">
        <f ca="1">Language!A$929</f>
        <v>Инвестции во внеоборотные активы</v>
      </c>
      <c r="B1891" s="19"/>
      <c r="C1891" s="26" t="str">
        <f t="shared" ca="1" si="1307"/>
        <v>руб.</v>
      </c>
      <c r="D1891" s="19"/>
      <c r="E1891" s="19"/>
      <c r="F1891" s="65">
        <f t="shared" ref="F1891:J1891" si="1323">F1263+F1266+F1264+F1265+F1267+F1268</f>
        <v>-540000</v>
      </c>
      <c r="G1891" s="65">
        <f t="shared" si="1323"/>
        <v>-40000</v>
      </c>
      <c r="H1891" s="65">
        <f t="shared" si="1323"/>
        <v>-50000</v>
      </c>
      <c r="I1891" s="65">
        <f t="shared" si="1323"/>
        <v>-750000</v>
      </c>
      <c r="J1891" s="65">
        <f t="shared" si="1323"/>
        <v>-50000</v>
      </c>
      <c r="K1891" s="65">
        <f t="shared" ref="K1891" si="1324">K1263+K1266+K1264+K1265+K1267+K1268</f>
        <v>-50000</v>
      </c>
      <c r="L1891" s="19"/>
      <c r="M1891" s="66">
        <f>SUM(F1891:K1891)</f>
        <v>-1480000</v>
      </c>
    </row>
    <row r="1892" spans="1:13" outlineLevel="1" x14ac:dyDescent="0.2">
      <c r="A1892" s="19" t="str">
        <f ca="1">Language!A$930</f>
        <v>Инвестиции в оборотный капитал</v>
      </c>
      <c r="B1892" s="19"/>
      <c r="C1892" s="26" t="str">
        <f t="shared" ca="1" si="1307"/>
        <v>руб.</v>
      </c>
      <c r="D1892" s="19"/>
      <c r="E1892" s="19"/>
      <c r="F1892" s="65">
        <f t="shared" ref="F1892:J1892" ca="1" si="1325">F1269</f>
        <v>2534583.333333333</v>
      </c>
      <c r="G1892" s="65">
        <f t="shared" ca="1" si="1325"/>
        <v>8801560</v>
      </c>
      <c r="H1892" s="65">
        <f t="shared" ca="1" si="1325"/>
        <v>6641560</v>
      </c>
      <c r="I1892" s="65">
        <f t="shared" ca="1" si="1325"/>
        <v>80780</v>
      </c>
      <c r="J1892" s="65">
        <f t="shared" ca="1" si="1325"/>
        <v>0</v>
      </c>
      <c r="K1892" s="65">
        <f t="shared" ref="K1892" ca="1" si="1326">K1269</f>
        <v>0</v>
      </c>
      <c r="L1892" s="19"/>
      <c r="M1892" s="66">
        <f ca="1">SUM(F1892:K1892)</f>
        <v>18058483.333333332</v>
      </c>
    </row>
    <row r="1893" spans="1:13" outlineLevel="1" x14ac:dyDescent="0.2">
      <c r="A1893" s="63"/>
      <c r="B1893" s="63"/>
      <c r="C1893" s="63"/>
      <c r="D1893" s="63"/>
      <c r="E1893" s="63"/>
      <c r="F1893" s="63"/>
      <c r="G1893" s="63"/>
      <c r="H1893" s="63"/>
      <c r="I1893" s="63"/>
      <c r="J1893" s="63"/>
      <c r="K1893" s="63"/>
      <c r="L1893" s="63"/>
      <c r="M1893" s="64"/>
    </row>
    <row r="1894" spans="1:13" outlineLevel="1" x14ac:dyDescent="0.2">
      <c r="A1894" s="19" t="str">
        <f ca="1">Language!A$931</f>
        <v>Собственные средства и целевое финансирование</v>
      </c>
      <c r="B1894" s="19"/>
      <c r="C1894" s="26" t="str">
        <f t="shared" ca="1" si="1307"/>
        <v>руб.</v>
      </c>
      <c r="D1894" s="19"/>
      <c r="E1894" s="19"/>
      <c r="F1894" s="65">
        <f t="shared" ref="F1894:J1894" si="1327">F1274+F1275+F1276</f>
        <v>0</v>
      </c>
      <c r="G1894" s="65">
        <f t="shared" si="1327"/>
        <v>0</v>
      </c>
      <c r="H1894" s="65">
        <f t="shared" si="1327"/>
        <v>0</v>
      </c>
      <c r="I1894" s="65">
        <f t="shared" si="1327"/>
        <v>0</v>
      </c>
      <c r="J1894" s="65">
        <f t="shared" si="1327"/>
        <v>0</v>
      </c>
      <c r="K1894" s="65">
        <f t="shared" ref="K1894" si="1328">K1274+K1275+K1276</f>
        <v>0</v>
      </c>
      <c r="L1894" s="19"/>
      <c r="M1894" s="66">
        <f>SUM(F1894:K1894)</f>
        <v>0</v>
      </c>
    </row>
    <row r="1895" spans="1:13" outlineLevel="1" x14ac:dyDescent="0.2"/>
    <row r="1896" spans="1:13" outlineLevel="1" x14ac:dyDescent="0.2">
      <c r="A1896" t="str">
        <f ca="1">Language!A$932</f>
        <v>Привлечение кредитов</v>
      </c>
      <c r="C1896" s="5" t="str">
        <f t="shared" ca="1" si="1307"/>
        <v>руб.</v>
      </c>
      <c r="F1896" s="43">
        <f t="shared" ref="F1896:J1896" si="1329">F1277</f>
        <v>0</v>
      </c>
      <c r="G1896" s="43">
        <f t="shared" si="1329"/>
        <v>0</v>
      </c>
      <c r="H1896" s="43">
        <f t="shared" si="1329"/>
        <v>0</v>
      </c>
      <c r="I1896" s="43">
        <f t="shared" si="1329"/>
        <v>0</v>
      </c>
      <c r="J1896" s="43">
        <f t="shared" si="1329"/>
        <v>0</v>
      </c>
      <c r="K1896" s="43">
        <f t="shared" ref="K1896" si="1330">K1277</f>
        <v>0</v>
      </c>
      <c r="M1896" s="54">
        <f>SUM(F1896:K1896)</f>
        <v>0</v>
      </c>
    </row>
    <row r="1897" spans="1:13" outlineLevel="1" x14ac:dyDescent="0.2">
      <c r="A1897" t="str">
        <f ca="1">Language!A$933</f>
        <v>Погашение кредитов</v>
      </c>
      <c r="C1897" s="5" t="str">
        <f t="shared" ca="1" si="1307"/>
        <v>руб.</v>
      </c>
      <c r="F1897" s="43">
        <f t="shared" ref="F1897:J1897" si="1331">F1278</f>
        <v>0</v>
      </c>
      <c r="G1897" s="43">
        <f t="shared" si="1331"/>
        <v>0</v>
      </c>
      <c r="H1897" s="43">
        <f t="shared" si="1331"/>
        <v>0</v>
      </c>
      <c r="I1897" s="43">
        <f t="shared" si="1331"/>
        <v>0</v>
      </c>
      <c r="J1897" s="43">
        <f t="shared" si="1331"/>
        <v>0</v>
      </c>
      <c r="K1897" s="43">
        <f t="shared" ref="K1897" si="1332">K1278</f>
        <v>0</v>
      </c>
      <c r="M1897" s="54">
        <f>SUM(F1897:K1897)</f>
        <v>0</v>
      </c>
    </row>
    <row r="1898" spans="1:13" outlineLevel="1" x14ac:dyDescent="0.2">
      <c r="A1898" t="str">
        <f ca="1">Language!A$934</f>
        <v>Выплата процентов по кредитам</v>
      </c>
      <c r="C1898" s="5" t="str">
        <f t="shared" ca="1" si="1307"/>
        <v>руб.</v>
      </c>
      <c r="F1898" s="43">
        <f t="shared" ref="F1898:J1898" si="1333">F1257</f>
        <v>0</v>
      </c>
      <c r="G1898" s="43">
        <f t="shared" si="1333"/>
        <v>0</v>
      </c>
      <c r="H1898" s="43">
        <f t="shared" si="1333"/>
        <v>0</v>
      </c>
      <c r="I1898" s="43">
        <f t="shared" si="1333"/>
        <v>0</v>
      </c>
      <c r="J1898" s="43">
        <f t="shared" si="1333"/>
        <v>0</v>
      </c>
      <c r="K1898" s="43">
        <f t="shared" ref="K1898" si="1334">K1257</f>
        <v>0</v>
      </c>
      <c r="M1898" s="54">
        <f>SUM(F1898:K1898)</f>
        <v>0</v>
      </c>
    </row>
    <row r="1899" spans="1:13" outlineLevel="1" x14ac:dyDescent="0.2">
      <c r="A1899" s="63"/>
      <c r="B1899" s="63"/>
      <c r="C1899" s="63"/>
      <c r="D1899" s="63"/>
      <c r="E1899" s="63"/>
      <c r="F1899" s="63"/>
      <c r="G1899" s="63"/>
      <c r="H1899" s="63"/>
      <c r="I1899" s="63"/>
      <c r="J1899" s="63"/>
      <c r="K1899" s="63"/>
      <c r="L1899" s="63"/>
      <c r="M1899" s="64"/>
    </row>
    <row r="1900" spans="1:13" outlineLevel="1" x14ac:dyDescent="0.2">
      <c r="A1900" s="23" t="str">
        <f ca="1">Language!A$760</f>
        <v>Суммарный денежный поток за период</v>
      </c>
      <c r="B1900" s="19"/>
      <c r="C1900" s="5" t="str">
        <f t="shared" ca="1" si="1307"/>
        <v>руб.</v>
      </c>
      <c r="D1900" s="19"/>
      <c r="E1900" s="19"/>
      <c r="F1900" s="65">
        <f t="shared" ref="F1900:J1900" ca="1" si="1335">F1284</f>
        <v>15122083.333333332</v>
      </c>
      <c r="G1900" s="65">
        <f t="shared" ca="1" si="1335"/>
        <v>66849460</v>
      </c>
      <c r="H1900" s="65">
        <f t="shared" ca="1" si="1335"/>
        <v>98359860</v>
      </c>
      <c r="I1900" s="65">
        <f t="shared" ca="1" si="1335"/>
        <v>91019280</v>
      </c>
      <c r="J1900" s="65">
        <f t="shared" ca="1" si="1335"/>
        <v>91638500</v>
      </c>
      <c r="K1900" s="65">
        <f t="shared" ref="K1900" ca="1" si="1336">K1284</f>
        <v>91638500</v>
      </c>
      <c r="L1900" s="19"/>
      <c r="M1900" s="66">
        <f ca="1">SUM(F1900:K1900)</f>
        <v>454627683.33333331</v>
      </c>
    </row>
    <row r="1901" spans="1:13" outlineLevel="1" x14ac:dyDescent="0.2">
      <c r="A1901" s="23" t="str">
        <f ca="1">Language!A$761</f>
        <v>Денежные средства на начало периода</v>
      </c>
      <c r="B1901" s="19"/>
      <c r="C1901" s="5" t="str">
        <f t="shared" ca="1" si="1307"/>
        <v>руб.</v>
      </c>
      <c r="D1901" s="19"/>
      <c r="E1901" s="19"/>
      <c r="F1901" s="65">
        <f t="shared" ref="F1901:J1901" si="1337">F1285</f>
        <v>0</v>
      </c>
      <c r="G1901" s="65">
        <f t="shared" ca="1" si="1337"/>
        <v>15122083.333333332</v>
      </c>
      <c r="H1901" s="65">
        <f t="shared" ca="1" si="1337"/>
        <v>81971543.333333328</v>
      </c>
      <c r="I1901" s="65">
        <f t="shared" ca="1" si="1337"/>
        <v>180331403.33333331</v>
      </c>
      <c r="J1901" s="65">
        <f t="shared" ca="1" si="1337"/>
        <v>271350683.33333331</v>
      </c>
      <c r="K1901" s="65">
        <f t="shared" ref="K1901" ca="1" si="1338">K1285</f>
        <v>362989183.33333331</v>
      </c>
      <c r="L1901" s="19"/>
      <c r="M1901" s="22"/>
    </row>
    <row r="1902" spans="1:13" outlineLevel="1" x14ac:dyDescent="0.2">
      <c r="A1902" s="23" t="str">
        <f ca="1">Language!A$762</f>
        <v>Денежные средства на конец периода</v>
      </c>
      <c r="B1902" s="19"/>
      <c r="C1902" s="5" t="str">
        <f t="shared" ca="1" si="1307"/>
        <v>руб.</v>
      </c>
      <c r="D1902" s="19"/>
      <c r="E1902" s="19"/>
      <c r="F1902" s="65">
        <f t="shared" ref="F1902:J1902" ca="1" si="1339">F1286</f>
        <v>15122083.333333332</v>
      </c>
      <c r="G1902" s="65">
        <f t="shared" ca="1" si="1339"/>
        <v>81971543.333333328</v>
      </c>
      <c r="H1902" s="65">
        <f t="shared" ca="1" si="1339"/>
        <v>180331403.33333331</v>
      </c>
      <c r="I1902" s="65">
        <f t="shared" ca="1" si="1339"/>
        <v>271350683.33333331</v>
      </c>
      <c r="J1902" s="65">
        <f t="shared" ca="1" si="1339"/>
        <v>362989183.33333331</v>
      </c>
      <c r="K1902" s="65">
        <f t="shared" ref="K1902" ca="1" si="1340">K1286</f>
        <v>454627683.33333331</v>
      </c>
      <c r="L1902" s="19"/>
      <c r="M1902" s="22"/>
    </row>
    <row r="1903" spans="1:13" outlineLevel="1" x14ac:dyDescent="0.2">
      <c r="A1903" s="63"/>
      <c r="B1903" s="63"/>
      <c r="C1903" s="63"/>
      <c r="D1903" s="63"/>
      <c r="E1903" s="63"/>
      <c r="F1903" s="63"/>
      <c r="G1903" s="63"/>
      <c r="H1903" s="63"/>
      <c r="I1903" s="63"/>
      <c r="J1903" s="63"/>
      <c r="K1903" s="63"/>
      <c r="L1903" s="63"/>
      <c r="M1903" s="64"/>
    </row>
    <row r="1904" spans="1:13" outlineLevel="1" x14ac:dyDescent="0.2">
      <c r="A1904" s="62" t="str">
        <f ca="1">Language!A$935</f>
        <v>Эффективность полных инвестиционных затрат</v>
      </c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22"/>
    </row>
    <row r="1905" spans="1:13" outlineLevel="1" x14ac:dyDescent="0.2">
      <c r="A1905" s="24" t="str">
        <f ca="1">Language!A$859</f>
        <v>Чистая приведенная стоимость (NPV)</v>
      </c>
      <c r="B1905" s="138">
        <f ca="1">B1618</f>
        <v>417103761.39956957</v>
      </c>
      <c r="C1905" s="26" t="str">
        <f ca="1">C1618</f>
        <v>руб.</v>
      </c>
      <c r="D1905" s="19"/>
      <c r="E1905" s="19"/>
      <c r="F1905" s="19"/>
      <c r="G1905" s="19"/>
      <c r="H1905" s="19"/>
      <c r="I1905" s="19"/>
      <c r="J1905" s="19"/>
      <c r="K1905" s="19"/>
      <c r="L1905" s="19"/>
      <c r="M1905" s="22"/>
    </row>
    <row r="1906" spans="1:13" outlineLevel="1" x14ac:dyDescent="0.2">
      <c r="A1906" s="24" t="str">
        <f ca="1">Language!A$860</f>
        <v>Дисконтированный срок окупаемости (PBP)</v>
      </c>
      <c r="B1906" s="157" t="str">
        <f ca="1">B1619</f>
        <v>Нет</v>
      </c>
      <c r="C1906" s="26" t="str">
        <f ca="1">C1619</f>
        <v>лет</v>
      </c>
      <c r="D1906" s="19"/>
      <c r="E1906" s="19"/>
      <c r="F1906" s="19"/>
      <c r="G1906" s="19"/>
      <c r="H1906" s="19"/>
      <c r="I1906" s="19"/>
      <c r="J1906" s="19"/>
      <c r="K1906" s="19"/>
      <c r="L1906" s="19"/>
      <c r="M1906" s="22"/>
    </row>
    <row r="1907" spans="1:13" outlineLevel="1" x14ac:dyDescent="0.2">
      <c r="A1907" s="23" t="str">
        <f ca="1">Language!A$863</f>
        <v>Внутренняя норма рентабельности (IRR)</v>
      </c>
      <c r="B1907" s="156" t="str">
        <f ca="1">B1622</f>
        <v>Нет</v>
      </c>
      <c r="C1907" s="71" t="str">
        <f ca="1">C1622</f>
        <v>(реальная - без учета инфляции)</v>
      </c>
    </row>
    <row r="1908" spans="1:13" outlineLevel="1" x14ac:dyDescent="0.2">
      <c r="A1908" s="23" t="str">
        <f ca="1">Language!A$864</f>
        <v>Норма доходности дисконтированных затрат (PI)</v>
      </c>
      <c r="B1908" s="154" t="str">
        <f ca="1">B1624</f>
        <v>Нет</v>
      </c>
      <c r="C1908" s="5" t="s">
        <v>177</v>
      </c>
    </row>
    <row r="1909" spans="1:13" outlineLevel="1" x14ac:dyDescent="0.2"/>
    <row r="1910" spans="1:13" outlineLevel="1" x14ac:dyDescent="0.2">
      <c r="A1910" s="35" t="str">
        <f ca="1">Language!A$936</f>
        <v>Эффективность для собственного капитала</v>
      </c>
    </row>
    <row r="1911" spans="1:13" outlineLevel="1" x14ac:dyDescent="0.2">
      <c r="A1911" s="24" t="str">
        <f ca="1">Language!A$859</f>
        <v>Чистая приведенная стоимость (NPV)</v>
      </c>
      <c r="B1911" s="131">
        <f ca="1">B1691</f>
        <v>417103761.39956957</v>
      </c>
      <c r="C1911" s="5" t="str">
        <f ca="1">C1691</f>
        <v>руб.</v>
      </c>
    </row>
    <row r="1912" spans="1:13" outlineLevel="1" x14ac:dyDescent="0.2">
      <c r="A1912" s="24" t="str">
        <f ca="1">Language!A$860</f>
        <v>Дисконтированный срок окупаемости (PBP)</v>
      </c>
      <c r="B1912" s="136" t="str">
        <f ca="1">B1692</f>
        <v>Нет</v>
      </c>
      <c r="C1912" s="5" t="str">
        <f ca="1">C1692</f>
        <v>лет</v>
      </c>
    </row>
    <row r="1913" spans="1:13" outlineLevel="1" x14ac:dyDescent="0.2">
      <c r="A1913" s="23" t="str">
        <f ca="1">Language!A$863</f>
        <v>Внутренняя норма рентабельности (IRR)</v>
      </c>
      <c r="B1913" s="156" t="str">
        <f ca="1">B1695</f>
        <v>Нет</v>
      </c>
      <c r="C1913" s="71" t="str">
        <f ca="1">C1695</f>
        <v>(реальная - без учета инфляции)</v>
      </c>
    </row>
    <row r="1914" spans="1:13" outlineLevel="1" x14ac:dyDescent="0.2">
      <c r="A1914" s="23" t="str">
        <f ca="1">Language!A$864</f>
        <v>Норма доходности дисконтированных затрат (PI)</v>
      </c>
      <c r="B1914" s="154" t="str">
        <f ca="1">B1697</f>
        <v>Нет</v>
      </c>
      <c r="C1914" s="5" t="str">
        <f ca="1">C1697</f>
        <v>разы</v>
      </c>
    </row>
    <row r="1915" spans="1:13" outlineLevel="1" x14ac:dyDescent="0.2"/>
    <row r="1916" spans="1:13" outlineLevel="1" x14ac:dyDescent="0.2">
      <c r="A1916" s="35" t="str">
        <f ca="1">Language!A$937</f>
        <v>Эффективность для банка</v>
      </c>
    </row>
    <row r="1917" spans="1:13" outlineLevel="1" x14ac:dyDescent="0.2">
      <c r="A1917" s="24" t="str">
        <f ca="1">Language!A$860</f>
        <v>Дисконтированный срок окупаемости (PBP)</v>
      </c>
      <c r="B1917" s="136" t="str">
        <f ca="1">B1763</f>
        <v>Нет</v>
      </c>
      <c r="C1917" s="5" t="str">
        <f ca="1">C1763</f>
        <v>лет</v>
      </c>
    </row>
    <row r="1918" spans="1:13" outlineLevel="1" x14ac:dyDescent="0.2">
      <c r="A1918" s="23" t="str">
        <f ca="1">Language!A$863</f>
        <v>Внутренняя норма рентабельности (IRR)</v>
      </c>
      <c r="B1918" s="156" t="str">
        <f ca="1">B1766</f>
        <v>Нет</v>
      </c>
      <c r="C1918" s="71" t="str">
        <f ca="1">C1766</f>
        <v>(реальная - без учета инфляции)</v>
      </c>
    </row>
    <row r="1919" spans="1:13" outlineLevel="1" x14ac:dyDescent="0.2">
      <c r="A1919" s="63"/>
      <c r="B1919" s="63"/>
      <c r="C1919" s="63"/>
      <c r="D1919" s="63"/>
      <c r="E1919" s="63"/>
      <c r="F1919" s="63"/>
      <c r="G1919" s="63"/>
      <c r="H1919" s="63"/>
      <c r="I1919" s="63"/>
      <c r="J1919" s="63"/>
      <c r="K1919" s="63"/>
      <c r="L1919" s="63"/>
      <c r="M1919" s="64"/>
    </row>
    <row r="1920" spans="1:13" outlineLevel="1" x14ac:dyDescent="0.2"/>
    <row r="1921" spans="1:13" s="4" customFormat="1" ht="15.9" customHeight="1" thickBot="1" x14ac:dyDescent="0.25">
      <c r="A1921" s="166" t="str">
        <f ca="1">Language!A938</f>
        <v xml:space="preserve">         АНАЛИЗ ЧУВСТВИТЕЛЬНОСТИ</v>
      </c>
      <c r="B1921" s="166"/>
      <c r="C1921" s="166"/>
      <c r="D1921" s="166"/>
      <c r="E1921" s="166"/>
      <c r="F1921" s="178"/>
      <c r="G1921" s="178"/>
      <c r="H1921" s="178"/>
      <c r="I1921" s="178"/>
      <c r="J1921" s="178"/>
      <c r="K1921" s="178"/>
      <c r="L1921" s="166"/>
      <c r="M1921" s="167"/>
    </row>
    <row r="1922" spans="1:13" ht="10.8" outlineLevel="1" thickTop="1" x14ac:dyDescent="0.2"/>
    <row r="1923" spans="1:13" outlineLevel="1" x14ac:dyDescent="0.2">
      <c r="A1923" s="226" t="str">
        <f ca="1">Language!A979</f>
        <v>Изменяемый параметр</v>
      </c>
      <c r="B1923" s="226"/>
      <c r="C1923" s="226"/>
    </row>
    <row r="1924" spans="1:13" outlineLevel="1" x14ac:dyDescent="0.2">
      <c r="A1924" s="48"/>
      <c r="B1924" s="48"/>
      <c r="C1924" s="48"/>
    </row>
    <row r="1925" spans="1:13" outlineLevel="1" x14ac:dyDescent="0.2">
      <c r="A1925" s="237" t="str">
        <f ca="1">OFFSET(A1972,SENS_Source,)</f>
        <v>Цена продажи</v>
      </c>
      <c r="C1925" s="19"/>
      <c r="E1925">
        <v>2</v>
      </c>
    </row>
    <row r="1926" spans="1:13" outlineLevel="1" x14ac:dyDescent="0.2">
      <c r="A1926" s="235"/>
      <c r="C1926" s="19"/>
      <c r="M1926"/>
    </row>
    <row r="1927" spans="1:13" outlineLevel="1" x14ac:dyDescent="0.2">
      <c r="A1927" s="226" t="str">
        <f ca="1">Language!A980</f>
        <v>В интервале</v>
      </c>
      <c r="B1927" s="226"/>
      <c r="C1927" s="226"/>
      <c r="M1927"/>
    </row>
    <row r="1928" spans="1:13" outlineLevel="1" x14ac:dyDescent="0.2">
      <c r="A1928" s="228" t="str">
        <f ca="1">Language!A981</f>
        <v xml:space="preserve">от: </v>
      </c>
      <c r="B1928" s="273">
        <v>0.3</v>
      </c>
      <c r="C1928" t="str">
        <f ca="1">IF(ISERROR(FIND("%",OFFSET(C1972,SENS_Source,0))),Language!A1000,"")</f>
        <v>от планового значения</v>
      </c>
      <c r="M1928"/>
    </row>
    <row r="1929" spans="1:13" outlineLevel="1" x14ac:dyDescent="0.2">
      <c r="A1929" s="228" t="str">
        <f ca="1">Language!A982</f>
        <v xml:space="preserve">с шагом: </v>
      </c>
      <c r="B1929" s="273">
        <v>0.1</v>
      </c>
      <c r="M1929"/>
    </row>
    <row r="1930" spans="1:13" outlineLevel="1" x14ac:dyDescent="0.2">
      <c r="A1930" s="236"/>
      <c r="B1930" s="135"/>
      <c r="C1930" s="48"/>
      <c r="M1930"/>
    </row>
    <row r="1931" spans="1:13" outlineLevel="1" x14ac:dyDescent="0.2">
      <c r="A1931" s="226" t="str">
        <f ca="1">Language!A983</f>
        <v>Итоговый показатель</v>
      </c>
      <c r="B1931" s="232"/>
      <c r="C1931" s="233"/>
      <c r="M1931"/>
    </row>
    <row r="1932" spans="1:13" outlineLevel="1" x14ac:dyDescent="0.2">
      <c r="M1932"/>
    </row>
    <row r="1933" spans="1:13" outlineLevel="1" x14ac:dyDescent="0.2">
      <c r="A1933" s="237" t="str">
        <f ca="1">OFFSET(A1979,SENS_Result,0)</f>
        <v>NPV для полных инвестиционных затрат</v>
      </c>
      <c r="E1933">
        <v>1</v>
      </c>
      <c r="M1933"/>
    </row>
    <row r="1934" spans="1:13" outlineLevel="1" x14ac:dyDescent="0.2">
      <c r="C1934" s="231"/>
      <c r="M1934"/>
    </row>
    <row r="1935" spans="1:13" outlineLevel="1" x14ac:dyDescent="0.2">
      <c r="A1935" s="226" t="str">
        <f ca="1">Language!A984</f>
        <v>Таблица рассчитанных значений</v>
      </c>
      <c r="B1935" s="229" t="str">
        <f ca="1">Language!A985</f>
        <v>Значение</v>
      </c>
      <c r="C1935" s="234" t="str">
        <f ca="1">Language!A986</f>
        <v>Результат</v>
      </c>
      <c r="M1935"/>
    </row>
    <row r="1936" spans="1:13" outlineLevel="1" x14ac:dyDescent="0.2">
      <c r="A1936" s="48"/>
      <c r="B1936" s="230">
        <f>SENS_From</f>
        <v>0.3</v>
      </c>
      <c r="C1936" s="238">
        <v>157158251.96425334</v>
      </c>
      <c r="M1936"/>
    </row>
    <row r="1937" spans="1:13" outlineLevel="1" x14ac:dyDescent="0.2">
      <c r="A1937" s="48"/>
      <c r="B1937" s="230">
        <f t="shared" ref="B1937:B1942" si="1341">B1936+SENS_Step</f>
        <v>0.4</v>
      </c>
      <c r="C1937" s="238">
        <v>211557531.87288395</v>
      </c>
      <c r="M1937"/>
    </row>
    <row r="1938" spans="1:13" outlineLevel="1" x14ac:dyDescent="0.2">
      <c r="A1938" s="48"/>
      <c r="B1938" s="230">
        <f t="shared" si="1341"/>
        <v>0.5</v>
      </c>
      <c r="C1938" s="238">
        <v>265956811.78151456</v>
      </c>
      <c r="M1938"/>
    </row>
    <row r="1939" spans="1:13" outlineLevel="1" x14ac:dyDescent="0.2">
      <c r="A1939" s="48"/>
      <c r="B1939" s="230">
        <f t="shared" si="1341"/>
        <v>0.6</v>
      </c>
      <c r="C1939" s="238">
        <v>320356091.69014513</v>
      </c>
      <c r="M1939"/>
    </row>
    <row r="1940" spans="1:13" outlineLevel="1" x14ac:dyDescent="0.2">
      <c r="A1940" s="48"/>
      <c r="B1940" s="230">
        <f t="shared" si="1341"/>
        <v>0.7</v>
      </c>
      <c r="C1940" s="238">
        <v>374755371.5987758</v>
      </c>
      <c r="M1940"/>
    </row>
    <row r="1941" spans="1:13" outlineLevel="1" x14ac:dyDescent="0.2">
      <c r="A1941" s="48"/>
      <c r="B1941" s="230">
        <f t="shared" si="1341"/>
        <v>0.79999999999999993</v>
      </c>
      <c r="C1941" s="238">
        <v>429154651.50740635</v>
      </c>
      <c r="M1941"/>
    </row>
    <row r="1942" spans="1:13" outlineLevel="1" x14ac:dyDescent="0.2">
      <c r="A1942" s="173"/>
      <c r="B1942" s="241">
        <f t="shared" si="1341"/>
        <v>0.89999999999999991</v>
      </c>
      <c r="C1942" s="242">
        <v>483553931.41603696</v>
      </c>
      <c r="M1942"/>
    </row>
    <row r="1943" spans="1:13" outlineLevel="1" x14ac:dyDescent="0.2">
      <c r="M1943"/>
    </row>
    <row r="1944" spans="1:13" outlineLevel="1" x14ac:dyDescent="0.2">
      <c r="A1944" s="227" t="str">
        <f ca="1">Language!A$987</f>
        <v>График: Анализ чувствительности</v>
      </c>
      <c r="M1944"/>
    </row>
    <row r="1945" spans="1:13" outlineLevel="2" x14ac:dyDescent="0.2">
      <c r="M1945"/>
    </row>
    <row r="1946" spans="1:13" outlineLevel="2" x14ac:dyDescent="0.2">
      <c r="M1946"/>
    </row>
    <row r="1947" spans="1:13" outlineLevel="2" x14ac:dyDescent="0.2">
      <c r="M1947"/>
    </row>
    <row r="1948" spans="1:13" outlineLevel="2" x14ac:dyDescent="0.2">
      <c r="M1948"/>
    </row>
    <row r="1949" spans="1:13" outlineLevel="2" x14ac:dyDescent="0.2">
      <c r="M1949"/>
    </row>
    <row r="1950" spans="1:13" outlineLevel="2" x14ac:dyDescent="0.2">
      <c r="M1950"/>
    </row>
    <row r="1951" spans="1:13" outlineLevel="2" x14ac:dyDescent="0.2">
      <c r="M1951"/>
    </row>
    <row r="1952" spans="1:13" outlineLevel="2" x14ac:dyDescent="0.2">
      <c r="M1952"/>
    </row>
    <row r="1953" spans="13:13" outlineLevel="2" x14ac:dyDescent="0.2">
      <c r="M1953"/>
    </row>
    <row r="1954" spans="13:13" outlineLevel="2" x14ac:dyDescent="0.2">
      <c r="M1954"/>
    </row>
    <row r="1955" spans="13:13" outlineLevel="2" x14ac:dyDescent="0.2">
      <c r="M1955"/>
    </row>
    <row r="1956" spans="13:13" outlineLevel="2" x14ac:dyDescent="0.2">
      <c r="M1956"/>
    </row>
    <row r="1957" spans="13:13" outlineLevel="2" x14ac:dyDescent="0.2">
      <c r="M1957"/>
    </row>
    <row r="1958" spans="13:13" outlineLevel="2" x14ac:dyDescent="0.2">
      <c r="M1958"/>
    </row>
    <row r="1959" spans="13:13" outlineLevel="2" x14ac:dyDescent="0.2">
      <c r="M1959"/>
    </row>
    <row r="1960" spans="13:13" outlineLevel="2" x14ac:dyDescent="0.2">
      <c r="M1960"/>
    </row>
    <row r="1961" spans="13:13" outlineLevel="2" x14ac:dyDescent="0.2">
      <c r="M1961"/>
    </row>
    <row r="1962" spans="13:13" outlineLevel="2" x14ac:dyDescent="0.2">
      <c r="M1962"/>
    </row>
    <row r="1963" spans="13:13" outlineLevel="2" x14ac:dyDescent="0.2">
      <c r="M1963"/>
    </row>
    <row r="1964" spans="13:13" outlineLevel="2" x14ac:dyDescent="0.2">
      <c r="M1964"/>
    </row>
    <row r="1965" spans="13:13" outlineLevel="2" x14ac:dyDescent="0.2">
      <c r="M1965"/>
    </row>
    <row r="1966" spans="13:13" outlineLevel="2" x14ac:dyDescent="0.2">
      <c r="M1966"/>
    </row>
    <row r="1967" spans="13:13" outlineLevel="2" x14ac:dyDescent="0.2">
      <c r="M1967"/>
    </row>
    <row r="1968" spans="13:13" outlineLevel="1" x14ac:dyDescent="0.2">
      <c r="M1968"/>
    </row>
    <row r="1969" spans="1:13" outlineLevel="1" x14ac:dyDescent="0.2">
      <c r="M1969"/>
    </row>
    <row r="1970" spans="1:13" outlineLevel="1" x14ac:dyDescent="0.2">
      <c r="A1970" s="226" t="str">
        <f ca="1">Language!A988</f>
        <v>Параметры анализа чувствительности</v>
      </c>
      <c r="B1970" s="226"/>
      <c r="C1970" s="226"/>
      <c r="M1970"/>
    </row>
    <row r="1971" spans="1:13" outlineLevel="2" x14ac:dyDescent="0.2">
      <c r="M1971"/>
    </row>
    <row r="1972" spans="1:13" outlineLevel="2" x14ac:dyDescent="0.2">
      <c r="A1972" s="239" t="str">
        <f ca="1">Language!A979</f>
        <v>Изменяемый параметр</v>
      </c>
      <c r="B1972" s="240" t="str">
        <f ca="1">Language!A999</f>
        <v>Область</v>
      </c>
      <c r="C1972" s="240" t="s">
        <v>2556</v>
      </c>
      <c r="D1972" s="308" t="s">
        <v>309</v>
      </c>
      <c r="M1972"/>
    </row>
    <row r="1973" spans="1:13" outlineLevel="2" x14ac:dyDescent="0.2">
      <c r="A1973" t="str">
        <f ca="1">Language!A989</f>
        <v>Объем реализации (в единицах продукции)</v>
      </c>
      <c r="B1973" s="71" t="s">
        <v>2558</v>
      </c>
      <c r="C1973" s="5"/>
      <c r="M1973"/>
    </row>
    <row r="1974" spans="1:13" outlineLevel="2" x14ac:dyDescent="0.2">
      <c r="A1974" t="str">
        <f ca="1">Language!A990</f>
        <v>Цена продажи</v>
      </c>
      <c r="B1974" s="71" t="s">
        <v>2559</v>
      </c>
      <c r="C1974" s="5"/>
      <c r="M1974"/>
    </row>
    <row r="1975" spans="1:13" outlineLevel="2" x14ac:dyDescent="0.2">
      <c r="A1975" t="str">
        <f ca="1">Language!A991</f>
        <v>Общая величина инвестиций</v>
      </c>
      <c r="B1975" s="71" t="s">
        <v>2560</v>
      </c>
      <c r="C1975" s="5"/>
      <c r="M1975"/>
    </row>
    <row r="1976" spans="1:13" outlineLevel="2" x14ac:dyDescent="0.2">
      <c r="A1976" t="str">
        <f ca="1">Language!A992</f>
        <v>Ставка дисконтирования</v>
      </c>
      <c r="B1976" s="71" t="s">
        <v>2561</v>
      </c>
      <c r="C1976" s="5" t="s">
        <v>177</v>
      </c>
      <c r="M1976"/>
    </row>
    <row r="1977" spans="1:13" outlineLevel="2" x14ac:dyDescent="0.2">
      <c r="A1977" s="227" t="str">
        <f ca="1">Language!A993</f>
        <v>&lt;конец списка изменяемых параметров&gt;</v>
      </c>
      <c r="M1977"/>
    </row>
    <row r="1978" spans="1:13" outlineLevel="2" x14ac:dyDescent="0.2">
      <c r="M1978"/>
    </row>
    <row r="1979" spans="1:13" outlineLevel="2" x14ac:dyDescent="0.2">
      <c r="A1979" s="239" t="str">
        <f ca="1">Language!A983</f>
        <v>Итоговый показатель</v>
      </c>
      <c r="B1979" s="240" t="str">
        <f ca="1">Language!A999</f>
        <v>Область</v>
      </c>
      <c r="C1979" s="240" t="s">
        <v>2556</v>
      </c>
      <c r="M1979"/>
    </row>
    <row r="1980" spans="1:13" outlineLevel="2" x14ac:dyDescent="0.2">
      <c r="A1980" t="str">
        <f ca="1">Language!A994</f>
        <v>NPV для полных инвестиционных затрат</v>
      </c>
      <c r="B1980" s="71" t="s">
        <v>29</v>
      </c>
      <c r="C1980" s="5"/>
      <c r="M1980"/>
    </row>
    <row r="1981" spans="1:13" outlineLevel="2" x14ac:dyDescent="0.2">
      <c r="A1981" t="str">
        <f ca="1">Language!A995</f>
        <v>NPV для собственного капитала</v>
      </c>
      <c r="B1981" s="71" t="s">
        <v>30</v>
      </c>
      <c r="C1981" s="5"/>
      <c r="M1981"/>
    </row>
    <row r="1982" spans="1:13" outlineLevel="2" x14ac:dyDescent="0.2">
      <c r="A1982" t="str">
        <f ca="1">Language!A996</f>
        <v>NPV для банка</v>
      </c>
      <c r="B1982" s="71" t="s">
        <v>31</v>
      </c>
      <c r="C1982" s="5"/>
      <c r="M1982"/>
    </row>
    <row r="1983" spans="1:13" outlineLevel="2" x14ac:dyDescent="0.2">
      <c r="A1983" t="str">
        <f ca="1">Language!A997</f>
        <v>Суммарная чистая прибыль</v>
      </c>
      <c r="B1983" s="71" t="s">
        <v>2562</v>
      </c>
      <c r="C1983" s="5"/>
      <c r="M1983"/>
    </row>
    <row r="1984" spans="1:13" outlineLevel="2" x14ac:dyDescent="0.2">
      <c r="A1984" s="227" t="str">
        <f ca="1">Language!A998</f>
        <v>&lt;конец списка анализируемых результатов&gt;</v>
      </c>
      <c r="M1984"/>
    </row>
    <row r="1985" spans="13:13" outlineLevel="1" x14ac:dyDescent="0.2">
      <c r="M1985"/>
    </row>
  </sheetData>
  <phoneticPr fontId="11" type="noConversion"/>
  <conditionalFormatting sqref="F72 F1431:G1483 F1069:G1093">
    <cfRule type="cellIs" dxfId="25" priority="393" stopIfTrue="1" operator="notEqual">
      <formula>0</formula>
    </cfRule>
  </conditionalFormatting>
  <conditionalFormatting sqref="B958 B970">
    <cfRule type="cellIs" dxfId="24" priority="394" stopIfTrue="1" operator="notBetween">
      <formula>0</formula>
      <formula>1</formula>
    </cfRule>
  </conditionalFormatting>
  <conditionalFormatting sqref="H1431:H1483 H1069:H1093">
    <cfRule type="cellIs" dxfId="23" priority="377" stopIfTrue="1" operator="notEqual">
      <formula>0</formula>
    </cfRule>
  </conditionalFormatting>
  <conditionalFormatting sqref="I1431:I1483 I1069:I1093">
    <cfRule type="cellIs" dxfId="22" priority="373" stopIfTrue="1" operator="notEqual">
      <formula>0</formula>
    </cfRule>
  </conditionalFormatting>
  <conditionalFormatting sqref="J1431:J1483 J1069:J1093">
    <cfRule type="cellIs" dxfId="21" priority="369" stopIfTrue="1" operator="notEqual">
      <formula>0</formula>
    </cfRule>
  </conditionalFormatting>
  <conditionalFormatting sqref="K1431:K1483 K1069:K1093">
    <cfRule type="cellIs" dxfId="20" priority="1" stopIfTrue="1" operator="notEqual">
      <formula>0</formula>
    </cfRule>
  </conditionalFormatting>
  <dataValidations count="13">
    <dataValidation type="list" allowBlank="1" showInputMessage="1" showErrorMessage="1" errorTitle="Внимание!" error="Значение ячейки может содержать:_x000a_1 - Основная валюта_x000a_2 - Иностранная валюта" prompt="1 - Основная валюта_x000a_2 - Иностранная валюта" sqref="B1806 B902 B867 B880 B891 B741 B829 B820 B811 B787 B671 B600 B546 B285 B300 B344 B394 B417 B434 B1018:B1019 B1015:B1016 B1009:B1013 B1041 B1207 B1664 B1209 B1591 B1735 B37 B368 B607 B678 B756 B792 B797 B802 B321 B834 B907" xr:uid="{00000000-0002-0000-0100-000000000000}">
      <formula1>"1,2"</formula1>
    </dataValidation>
    <dataValidation type="list" allowBlank="1" showInputMessage="1" showErrorMessage="1" errorTitle="Внимание!" error="Значение ячейки может содержать:_x000a_1 - Да, учитывать_x000a_2 - Нет, не учитывать" prompt="1 - Да, у脀߳_x0000__x0000_Թ_x0000__x000d__x0001__x0000__x0000_ÿ_x0000_￲_xffff__x0000__x0000_, не учитывать" sqref="B1662:B1663 B1589:B1590" xr:uid="{00000000-0002-0000-0100-000001000000}">
      <formula1>"1,2"</formula1>
    </dataValidation>
    <dataValidation type="decimal" allowBlank="1" showInputMessage="1" showErrorMessage="1" sqref="B1210 B883 B894 B762:B764 B1208 B747:B749 B770:B772 B870 B675:B676 B682:B683 B906 B911" xr:uid="{00000000-0002-0000-0100-000002000000}">
      <formula1>0</formula1>
      <formula2>1</formula2>
    </dataValidation>
    <dataValidation type="list" allowBlank="1" showInputMessage="1" showErrorMessage="1" errorTitle="Внимание!" error="Значение ячейки может содержать:_x000a_1 - Кредит на пополнение оборотного капитала_x000a_2 - Инвестиционный кредит_x000a_3 - Кредит федерального бюджета_x000a_4 - Кредит территориального бюджета" prompt="1 - Кредит на пополнение оборотного капитала_x000a_2 - Инвестиционный кредит_x000a_3 - Государственный инвестиционный кредит (федеральный бюджет)_x000a_4 - Государственный инвестиционный кредит (территориальный бюджет)" sqref="B1040" xr:uid="{00000000-0002-0000-0100-000003000000}">
      <formula1>"1,2,3,4"</formula1>
    </dataValidation>
    <dataValidation type="list" allowBlank="1" showInputMessage="1" showErrorMessage="1" errorTitle="Внимание!" error="Значение ячейки может содержать:_x000a_1 - Создавать резерв_x000a_2 - Не создавать резерв" prompt="1 - Создавать_x000a_2 - Не создавать" sqref="B993" xr:uid="{00000000-0002-0000-0100-000004000000}">
      <formula1>"1,2"</formula1>
    </dataValidation>
    <dataValidation type="list" allowBlank="1" showInputMessage="1" showErrorMessage="1" errorTitle="Внимание!" error="Значение ячейки может содержать:_x000a_1 - С выкупом (учет на балансе лизингодателя)_x000a_2 - С выкупом (учет на балансе лизингополучателя)_x000a_3 - Без выкупа (учет на балансе лизингодателя)_x000a_4 - Без выкупа (учет на балансе лизингополучателя" prompt="1 - С выкупом (учет на балансе лизингодателя)_x000a_2 - С выкупом (учет на балансе лизингополучателя)_x000a_3 - Без выкупа (учет на балансе лизингодателя)_x000a_4 - Без выкупа (учет на балансе лизингополучателя)" sqref="B547" xr:uid="{00000000-0002-0000-0100-000005000000}">
      <formula1>"1,2,3,4"</formula1>
    </dataValidation>
    <dataValidation type="list" allowBlank="1" showInputMessage="1" showErrorMessage="1" errorTitle="Внимание!" error="Значение ячейки может содержать:_x000a_1 - По мере оплаты актива_x000a_2 - После постановки актива на баланс" prompt="1 - По мере оплаты_x000a_2 - После постановки на баланс" sqref="B400 B306 B353 B377 B327" xr:uid="{00000000-0002-0000-0100-000006000000}">
      <formula1>"1,2"</formula1>
    </dataValidation>
    <dataValidation type="list" allowBlank="1" showInputMessage="1" showErrorMessage="1" errorTitle="Внимание!" error="Значение ячейки может содержать:_x000a_1 - Да, импорт_x000a_2 - Нет" prompt="1 - Да, импорт_x000a_2 - Нет" sqref="B347 B371" xr:uid="{00000000-0002-0000-0100-000007000000}">
      <formula1>"1,2"</formula1>
    </dataValidation>
    <dataValidation type="decimal" operator="lessThanOrEqual" allowBlank="1" showInputMessage="1" showErrorMessage="1" error="Внимание! Период оборота не может быть больше длительности шага планирования" sqref="B225 B166:B167 B161 B154:B155 B150 B146 B107:B108 B112 B142 B139 B196 B206 B214 B172" xr:uid="{00000000-0002-0000-0100-000008000000}">
      <formula1>$D$12</formula1>
    </dataValidation>
    <dataValidation type="list" allowBlank="1" showInputMessage="1" showErrorMessage="1" errorTitle="Внимание!" error="Значение ячейки может содержать:_x000a_1 - Доходы_x000a_2 - Доходы, уменьшенные на величину расходов" prompt="1 -  Доходы_x000a_2 - Доходы, уменьшенные на величину расходов" sqref="B212" xr:uid="{00000000-0002-0000-0100-000009000000}">
      <formula1>"1,2,3"</formula1>
    </dataValidation>
    <dataValidation type="list" allowBlank="1" showInputMessage="1" showErrorMessage="1" errorTitle="Внимание!" error="Значение ячейки может содержать:_x000a_1 - Зачет в счет будущих платежей_x000a_2 - Прямое возмещение из бюджета" prompt="1 - Зачет при будущих расчетах_x000a_2 - Прямое возмещение из бюджета" sqref="B113" xr:uid="{00000000-0002-0000-0100-00000A000000}">
      <formula1>"1,2"</formula1>
    </dataValidation>
    <dataValidation type="list" allowBlank="1" showInputMessage="1" showErrorMessage="1" errorTitle="Внимание!" error="Значение ячейки может содержать:_x000a_1 - Постоянные цены_x000a_2 - Текущие цены" prompt="1 - Постоянные цены (без учета инфляции)_x000a_2 - Текущие цены (с учетом инфляции)" sqref="B77" xr:uid="{00000000-0002-0000-0100-00000B000000}">
      <formula1>"1,2"</formula1>
    </dataValidation>
    <dataValidation type="list" allowBlank="1" showInputMessage="1" showErrorMessage="1" errorTitle="Внимание!" error="Значение ячейки может содержать:_x000a_1 - Налог на прибыль (общий налоговый режим)_x000a_2 - Единый налог на вмененный доход (специальный налоговый режим)_x000a_3 - Упрощенная система налогообложения (специальный налоговый режим)" prompt="1 -  Налог на прибыль (общий налоговый режим)_x000a_2 - Единый налог на вмененный доход (специальный налоговый режим)_x000a_3 - Упрощенная система налогообложения (специальный налоговый режим)" sqref="B104" xr:uid="{00000000-0002-0000-0100-00000C000000}">
      <formula1>"1,2,3"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Run_ProjectSetup">
                <anchor moveWithCells="1" sizeWithCells="1">
                  <from>
                    <xdr:col>0</xdr:col>
                    <xdr:colOff>22860</xdr:colOff>
                    <xdr:row>15</xdr:row>
                    <xdr:rowOff>137160</xdr:rowOff>
                  </from>
                  <to>
                    <xdr:col>1</xdr:col>
                    <xdr:colOff>7620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Run_ProjectView">
                <anchor moveWithCells="1" sizeWithCells="1">
                  <from>
                    <xdr:col>0</xdr:col>
                    <xdr:colOff>22860</xdr:colOff>
                    <xdr:row>23</xdr:row>
                    <xdr:rowOff>0</xdr:rowOff>
                  </from>
                  <to>
                    <xdr:col>1</xdr:col>
                    <xdr:colOff>7620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PRJ_BTN_8">
              <controlPr defaultSize="0" print="0" autoFill="0" autoPict="0" macro="[0]!Run_AddDel_Leasing">
                <anchor moveWithCells="1">
                  <from>
                    <xdr:col>1</xdr:col>
                    <xdr:colOff>7620</xdr:colOff>
                    <xdr:row>542</xdr:row>
                    <xdr:rowOff>7620</xdr:rowOff>
                  </from>
                  <to>
                    <xdr:col>2</xdr:col>
                    <xdr:colOff>617220</xdr:colOff>
                    <xdr:row>543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" name="PRJ_BTN_3">
              <controlPr defaultSize="0" print="0" autoFill="0" autoPict="0" macro="[0]!Run_AddDel_Products">
                <anchor moveWithCells="1">
                  <from>
                    <xdr:col>1</xdr:col>
                    <xdr:colOff>7620</xdr:colOff>
                    <xdr:row>582</xdr:row>
                    <xdr:rowOff>7620</xdr:rowOff>
                  </from>
                  <to>
                    <xdr:col>2</xdr:col>
                    <xdr:colOff>617220</xdr:colOff>
                    <xdr:row>583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Button 43">
              <controlPr defaultSize="0" print="0" autoFill="0" autoPict="0" macro="[0]!Run_AddDel_Materials">
                <anchor moveWithCells="1">
                  <from>
                    <xdr:col>1</xdr:col>
                    <xdr:colOff>7620</xdr:colOff>
                    <xdr:row>658</xdr:row>
                    <xdr:rowOff>0</xdr:rowOff>
                  </from>
                  <to>
                    <xdr:col>2</xdr:col>
                    <xdr:colOff>617220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9" name="Button 46">
              <controlPr defaultSize="0" print="0" autoFill="0" autoPict="0">
                <anchor moveWithCells="1">
                  <from>
                    <xdr:col>1</xdr:col>
                    <xdr:colOff>7620</xdr:colOff>
                    <xdr:row>737</xdr:row>
                    <xdr:rowOff>0</xdr:rowOff>
                  </from>
                  <to>
                    <xdr:col>2</xdr:col>
                    <xdr:colOff>617220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0" name="Button 47">
              <controlPr defaultSize="0" print="0" autoFill="0" autoPict="0" macro="[0]!Run_AddDel_Personnel">
                <anchor moveWithCells="1">
                  <from>
                    <xdr:col>1</xdr:col>
                    <xdr:colOff>7620</xdr:colOff>
                    <xdr:row>782</xdr:row>
                    <xdr:rowOff>0</xdr:rowOff>
                  </from>
                  <to>
                    <xdr:col>2</xdr:col>
                    <xdr:colOff>617220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1" name="Button 52">
              <controlPr defaultSize="0" print="0" autoFill="0" autoPict="0" macro="[0]!Run_AddDel_Expenses">
                <anchor moveWithCells="1">
                  <from>
                    <xdr:col>1</xdr:col>
                    <xdr:colOff>7620</xdr:colOff>
                    <xdr:row>857</xdr:row>
                    <xdr:rowOff>0</xdr:rowOff>
                  </from>
                  <to>
                    <xdr:col>2</xdr:col>
                    <xdr:colOff>617220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2" name="Button 56">
              <controlPr defaultSize="0" print="0" autoFill="0" autoPict="0" macro="[0]!Run_AddDel_OtherCosts">
                <anchor moveWithCells="1">
                  <from>
                    <xdr:col>1</xdr:col>
                    <xdr:colOff>7620</xdr:colOff>
                    <xdr:row>737</xdr:row>
                    <xdr:rowOff>0</xdr:rowOff>
                  </from>
                  <to>
                    <xdr:col>2</xdr:col>
                    <xdr:colOff>617220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3" name="Button 62">
              <controlPr defaultSize="0" print="0" autoFill="0" autoPict="0" macro="[0]!Run_AddDel_Taxes">
                <anchor moveWithCells="1">
                  <from>
                    <xdr:col>1</xdr:col>
                    <xdr:colOff>7620</xdr:colOff>
                    <xdr:row>101</xdr:row>
                    <xdr:rowOff>7620</xdr:rowOff>
                  </from>
                  <to>
                    <xdr:col>2</xdr:col>
                    <xdr:colOff>617220</xdr:colOff>
                    <xdr:row>102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4" name="Button 76">
              <controlPr defaultSize="0" print="0" autoFill="0" autoPict="0" macro="[0]!Run_AddDel_Loans">
                <anchor moveWithCells="1">
                  <from>
                    <xdr:col>1</xdr:col>
                    <xdr:colOff>22860</xdr:colOff>
                    <xdr:row>1027</xdr:row>
                    <xdr:rowOff>0</xdr:rowOff>
                  </from>
                  <to>
                    <xdr:col>2</xdr:col>
                    <xdr:colOff>632460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5" name="Button 77">
              <controlPr defaultSize="0" print="0" autoFill="0" autoPict="0" macro="[0]!Run_AutoLoan">
                <anchor moveWithCells="1" siz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0</xdr:col>
                    <xdr:colOff>2956560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6" name="Button 149">
              <controlPr defaultSize="0" print="0" autoFill="0" autoPict="0" macro="[0]!Run_AddDel_Assets">
                <anchor moveWithCells="1">
                  <from>
                    <xdr:col>1</xdr:col>
                    <xdr:colOff>7620</xdr:colOff>
                    <xdr:row>280</xdr:row>
                    <xdr:rowOff>0</xdr:rowOff>
                  </from>
                  <to>
                    <xdr:col>2</xdr:col>
                    <xdr:colOff>617220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7" name="Button 165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3</xdr:row>
                    <xdr:rowOff>7620</xdr:rowOff>
                  </from>
                  <to>
                    <xdr:col>0</xdr:col>
                    <xdr:colOff>220980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8" name="Button 166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34</xdr:row>
                    <xdr:rowOff>7620</xdr:rowOff>
                  </from>
                  <to>
                    <xdr:col>0</xdr:col>
                    <xdr:colOff>220980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9" name="Button 167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74</xdr:row>
                    <xdr:rowOff>7620</xdr:rowOff>
                  </from>
                  <to>
                    <xdr:col>0</xdr:col>
                    <xdr:colOff>220980</xdr:colOff>
                    <xdr:row>74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0" name="Button 168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101</xdr:row>
                    <xdr:rowOff>7620</xdr:rowOff>
                  </from>
                  <to>
                    <xdr:col>0</xdr:col>
                    <xdr:colOff>220980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21" name="Button 178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230</xdr:row>
                    <xdr:rowOff>7620</xdr:rowOff>
                  </from>
                  <to>
                    <xdr:col>0</xdr:col>
                    <xdr:colOff>220980</xdr:colOff>
                    <xdr:row>230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22" name="Button 179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280</xdr:row>
                    <xdr:rowOff>7620</xdr:rowOff>
                  </from>
                  <to>
                    <xdr:col>0</xdr:col>
                    <xdr:colOff>220980</xdr:colOff>
                    <xdr:row>280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23" name="Button 180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542</xdr:row>
                    <xdr:rowOff>7620</xdr:rowOff>
                  </from>
                  <to>
                    <xdr:col>0</xdr:col>
                    <xdr:colOff>220980</xdr:colOff>
                    <xdr:row>542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24" name="Button 181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582</xdr:row>
                    <xdr:rowOff>7620</xdr:rowOff>
                  </from>
                  <to>
                    <xdr:col>0</xdr:col>
                    <xdr:colOff>220980</xdr:colOff>
                    <xdr:row>582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25" name="Button 182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590</xdr:row>
                    <xdr:rowOff>7620</xdr:rowOff>
                  </from>
                  <to>
                    <xdr:col>0</xdr:col>
                    <xdr:colOff>220980</xdr:colOff>
                    <xdr:row>590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26" name="Button 183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597</xdr:row>
                    <xdr:rowOff>7620</xdr:rowOff>
                  </from>
                  <to>
                    <xdr:col>0</xdr:col>
                    <xdr:colOff>220980</xdr:colOff>
                    <xdr:row>597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27" name="Button 184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616</xdr:row>
                    <xdr:rowOff>7620</xdr:rowOff>
                  </from>
                  <to>
                    <xdr:col>0</xdr:col>
                    <xdr:colOff>220980</xdr:colOff>
                    <xdr:row>616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28" name="Button 185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645</xdr:row>
                    <xdr:rowOff>7620</xdr:rowOff>
                  </from>
                  <to>
                    <xdr:col>0</xdr:col>
                    <xdr:colOff>220980</xdr:colOff>
                    <xdr:row>645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9" name="Button 186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658</xdr:row>
                    <xdr:rowOff>0</xdr:rowOff>
                  </from>
                  <to>
                    <xdr:col>0</xdr:col>
                    <xdr:colOff>220980</xdr:colOff>
                    <xdr:row>658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30" name="Button 187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667</xdr:row>
                    <xdr:rowOff>7620</xdr:rowOff>
                  </from>
                  <to>
                    <xdr:col>0</xdr:col>
                    <xdr:colOff>220980</xdr:colOff>
                    <xdr:row>667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31" name="Button 188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686</xdr:row>
                    <xdr:rowOff>7620</xdr:rowOff>
                  </from>
                  <to>
                    <xdr:col>0</xdr:col>
                    <xdr:colOff>220980</xdr:colOff>
                    <xdr:row>686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32" name="Button 189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737</xdr:row>
                    <xdr:rowOff>7620</xdr:rowOff>
                  </from>
                  <to>
                    <xdr:col>0</xdr:col>
                    <xdr:colOff>220980</xdr:colOff>
                    <xdr:row>737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33" name="Button 190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782</xdr:row>
                    <xdr:rowOff>7620</xdr:rowOff>
                  </from>
                  <to>
                    <xdr:col>0</xdr:col>
                    <xdr:colOff>220980</xdr:colOff>
                    <xdr:row>782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34" name="Button 191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857</xdr:row>
                    <xdr:rowOff>7620</xdr:rowOff>
                  </from>
                  <to>
                    <xdr:col>0</xdr:col>
                    <xdr:colOff>220980</xdr:colOff>
                    <xdr:row>857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35" name="Button 192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939</xdr:row>
                    <xdr:rowOff>7620</xdr:rowOff>
                  </from>
                  <to>
                    <xdr:col>0</xdr:col>
                    <xdr:colOff>220980</xdr:colOff>
                    <xdr:row>939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36" name="Button 193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1004</xdr:row>
                    <xdr:rowOff>7620</xdr:rowOff>
                  </from>
                  <to>
                    <xdr:col>0</xdr:col>
                    <xdr:colOff>220980</xdr:colOff>
                    <xdr:row>1004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37" name="Button 195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1027</xdr:row>
                    <xdr:rowOff>7620</xdr:rowOff>
                  </from>
                  <to>
                    <xdr:col>0</xdr:col>
                    <xdr:colOff>220980</xdr:colOff>
                    <xdr:row>1027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38" name="Button 197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1126</xdr:row>
                    <xdr:rowOff>7620</xdr:rowOff>
                  </from>
                  <to>
                    <xdr:col>0</xdr:col>
                    <xdr:colOff>220980</xdr:colOff>
                    <xdr:row>1126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39" name="Button 198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1248</xdr:row>
                    <xdr:rowOff>7620</xdr:rowOff>
                  </from>
                  <to>
                    <xdr:col>0</xdr:col>
                    <xdr:colOff>220980</xdr:colOff>
                    <xdr:row>1248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40" name="Button 199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1388</xdr:row>
                    <xdr:rowOff>7620</xdr:rowOff>
                  </from>
                  <to>
                    <xdr:col>0</xdr:col>
                    <xdr:colOff>220980</xdr:colOff>
                    <xdr:row>1388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41" name="Button 200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1483</xdr:row>
                    <xdr:rowOff>7620</xdr:rowOff>
                  </from>
                  <to>
                    <xdr:col>0</xdr:col>
                    <xdr:colOff>220980</xdr:colOff>
                    <xdr:row>1483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42" name="Button 201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1586</xdr:row>
                    <xdr:rowOff>7620</xdr:rowOff>
                  </from>
                  <to>
                    <xdr:col>0</xdr:col>
                    <xdr:colOff>220980</xdr:colOff>
                    <xdr:row>1586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43" name="Button 202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1659</xdr:row>
                    <xdr:rowOff>7620</xdr:rowOff>
                  </from>
                  <to>
                    <xdr:col>0</xdr:col>
                    <xdr:colOff>220980</xdr:colOff>
                    <xdr:row>1659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44" name="Button 203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1732</xdr:row>
                    <xdr:rowOff>7620</xdr:rowOff>
                  </from>
                  <to>
                    <xdr:col>0</xdr:col>
                    <xdr:colOff>220980</xdr:colOff>
                    <xdr:row>1732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45" name="Button 204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1803</xdr:row>
                    <xdr:rowOff>7620</xdr:rowOff>
                  </from>
                  <to>
                    <xdr:col>0</xdr:col>
                    <xdr:colOff>220980</xdr:colOff>
                    <xdr:row>1803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46" name="Button 205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1829</xdr:row>
                    <xdr:rowOff>7620</xdr:rowOff>
                  </from>
                  <to>
                    <xdr:col>0</xdr:col>
                    <xdr:colOff>220980</xdr:colOff>
                    <xdr:row>1829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47" name="Button 207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1920</xdr:row>
                    <xdr:rowOff>7620</xdr:rowOff>
                  </from>
                  <to>
                    <xdr:col>0</xdr:col>
                    <xdr:colOff>220980</xdr:colOff>
                    <xdr:row>1920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8" name="Button 211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1204</xdr:row>
                    <xdr:rowOff>7620</xdr:rowOff>
                  </from>
                  <to>
                    <xdr:col>0</xdr:col>
                    <xdr:colOff>220980</xdr:colOff>
                    <xdr:row>1204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338" r:id="rId49" name="Button 2130">
              <controlPr defaultSize="0" print="0" autoFill="0" autoPict="0" macro="[0]!Run_Setup_SensAnal">
                <anchor moveWithCells="1">
                  <from>
                    <xdr:col>1</xdr:col>
                    <xdr:colOff>7620</xdr:colOff>
                    <xdr:row>1920</xdr:row>
                    <xdr:rowOff>0</xdr:rowOff>
                  </from>
                  <to>
                    <xdr:col>2</xdr:col>
                    <xdr:colOff>617220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469" r:id="rId50" name="Button 2261">
              <controlPr defaultSize="0" print="0" autoFill="0" autoPict="0" macro="[0]!Run_SensAnal">
                <anchor moveWithCells="1" sizeWithCells="1">
                  <from>
                    <xdr:col>0</xdr:col>
                    <xdr:colOff>22860</xdr:colOff>
                    <xdr:row>1935</xdr:row>
                    <xdr:rowOff>22860</xdr:rowOff>
                  </from>
                  <to>
                    <xdr:col>0</xdr:col>
                    <xdr:colOff>2956560</xdr:colOff>
                    <xdr:row>1936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51" name="Button 196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1094</xdr:row>
                    <xdr:rowOff>7620</xdr:rowOff>
                  </from>
                  <to>
                    <xdr:col>0</xdr:col>
                    <xdr:colOff>220980</xdr:colOff>
                    <xdr:row>1094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2" name="Button 206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1880</xdr:row>
                    <xdr:rowOff>7620</xdr:rowOff>
                  </from>
                  <to>
                    <xdr:col>0</xdr:col>
                    <xdr:colOff>220980</xdr:colOff>
                    <xdr:row>1880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outlinePr summaryBelow="0"/>
  </sheetPr>
  <dimension ref="A1:R957"/>
  <sheetViews>
    <sheetView workbookViewId="0">
      <selection activeCell="F510" sqref="F510"/>
    </sheetView>
  </sheetViews>
  <sheetFormatPr defaultRowHeight="10.199999999999999" outlineLevelRow="2" x14ac:dyDescent="0.2"/>
  <cols>
    <col min="1" max="1" width="51.85546875" customWidth="1"/>
    <col min="2" max="3" width="12.85546875" customWidth="1"/>
    <col min="4" max="4" width="5.140625" hidden="1" customWidth="1"/>
    <col min="5" max="5" width="4.85546875" hidden="1" customWidth="1"/>
    <col min="6" max="11" width="11.85546875" customWidth="1"/>
    <col min="12" max="12" width="1.85546875" customWidth="1"/>
    <col min="13" max="13" width="12.85546875" style="181" customWidth="1"/>
  </cols>
  <sheetData>
    <row r="1" spans="1:13" ht="13.2" x14ac:dyDescent="0.25">
      <c r="A1" s="224" t="str">
        <f ca="1">Language!A3&amp;IF(IS_SUMM,Language!A4,"")&amp;AI_Version&amp;" "&amp;IF(IS_ESTATE,Language!A5,"")&amp;IF(IS_DEMO,Language!A6,"")&amp;IF(IS_TRIAL,Language!A7,"")</f>
        <v xml:space="preserve">АЛЬТ-Инвест™ Сумм 6.04 </v>
      </c>
      <c r="M1" s="11"/>
    </row>
    <row r="2" spans="1:13" s="2" customFormat="1" ht="15.6" x14ac:dyDescent="0.3">
      <c r="A2" s="3" t="str">
        <f ca="1">Language!A939</f>
        <v>Портфель проектов компании</v>
      </c>
      <c r="M2" s="37"/>
    </row>
    <row r="4" spans="1:13" s="4" customFormat="1" ht="15.9" customHeight="1" thickBot="1" x14ac:dyDescent="0.25">
      <c r="A4" s="166" t="str">
        <f ca="1">Language!A940</f>
        <v xml:space="preserve">         СОСТАВ ПОРТФЕЛЯ</v>
      </c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7"/>
      <c r="M4" s="200"/>
    </row>
    <row r="5" spans="1:13" ht="10.8" outlineLevel="1" thickTop="1" x14ac:dyDescent="0.2"/>
    <row r="6" spans="1:13" outlineLevel="1" x14ac:dyDescent="0.2">
      <c r="A6" t="str">
        <f ca="1">Language!A941</f>
        <v>Название компании:</v>
      </c>
    </row>
    <row r="7" spans="1:13" outlineLevel="1" x14ac:dyDescent="0.2">
      <c r="A7" s="253" t="str">
        <f ca="1">Language!A942</f>
        <v>Компания без названия</v>
      </c>
      <c r="B7" s="253"/>
      <c r="C7" s="253"/>
    </row>
    <row r="8" spans="1:13" outlineLevel="1" x14ac:dyDescent="0.2">
      <c r="A8" s="48"/>
      <c r="B8" s="48"/>
      <c r="C8" s="48"/>
    </row>
    <row r="9" spans="1:13" ht="15.9" customHeight="1" outlineLevel="1" x14ac:dyDescent="0.2">
      <c r="A9" s="48"/>
      <c r="B9" s="48"/>
      <c r="C9" s="48"/>
    </row>
    <row r="10" spans="1:13" outlineLevel="1" x14ac:dyDescent="0.2">
      <c r="A10" s="48"/>
      <c r="B10" s="48"/>
      <c r="C10" s="48"/>
    </row>
    <row r="11" spans="1:13" ht="21" customHeight="1" outlineLevel="1" x14ac:dyDescent="0.2">
      <c r="A11" s="168" t="str">
        <f ca="1">Language!A943</f>
        <v>Список проектов</v>
      </c>
      <c r="B11" s="409" t="str">
        <f ca="1">Language!A944</f>
        <v>Учитывать?</v>
      </c>
      <c r="C11" s="409"/>
      <c r="D11" s="182">
        <v>1</v>
      </c>
      <c r="E11" s="182">
        <v>0</v>
      </c>
      <c r="F11" s="313" t="str">
        <f ca="1">Language!A945</f>
        <v>Источник</v>
      </c>
      <c r="G11" s="168"/>
      <c r="H11" s="168"/>
      <c r="I11" s="168"/>
      <c r="J11" s="168"/>
      <c r="K11" s="168"/>
      <c r="L11" s="169"/>
      <c r="M11" s="201"/>
    </row>
    <row r="12" spans="1:13" outlineLevel="1" x14ac:dyDescent="0.2">
      <c r="A12" s="170" t="str">
        <f>Проект!PRJ_Name</f>
        <v>Наименование проекта</v>
      </c>
      <c r="B12" s="255">
        <v>1</v>
      </c>
      <c r="C12" s="197" t="str">
        <f ca="1">IF(B12=1,Language!A$1002,IF(B12=0,Language!A$1003,Language!A$1004))</f>
        <v>Учитывать</v>
      </c>
      <c r="D12" s="48"/>
      <c r="E12" s="48"/>
      <c r="F12" s="171" t="str">
        <f>ThisShtName(Проект!PRJ_Name)</f>
        <v>Проект</v>
      </c>
      <c r="G12" s="197"/>
      <c r="H12" s="197"/>
      <c r="I12" s="197"/>
      <c r="J12" s="197"/>
      <c r="K12" s="197"/>
      <c r="L12" s="45"/>
      <c r="M12" s="171"/>
    </row>
    <row r="13" spans="1:13" outlineLevel="1" x14ac:dyDescent="0.2">
      <c r="A13" s="48"/>
      <c r="B13" s="48"/>
      <c r="C13" s="48"/>
      <c r="D13" s="48"/>
      <c r="E13" s="48"/>
      <c r="F13" s="45"/>
      <c r="G13" s="45"/>
      <c r="H13" s="45"/>
      <c r="I13" s="45"/>
      <c r="J13" s="45"/>
      <c r="K13" s="45"/>
      <c r="L13" s="45"/>
      <c r="M13" s="171"/>
    </row>
    <row r="14" spans="1:13" outlineLevel="1" x14ac:dyDescent="0.2">
      <c r="A14" s="314" t="str">
        <f ca="1">Language!A1015</f>
        <v>Не обнулять баланс проекта после его окончания</v>
      </c>
      <c r="B14" s="255">
        <v>1</v>
      </c>
      <c r="C14" s="198" t="str">
        <f ca="1">IF(B14=1, Language!A1016, Language!A1017)</f>
        <v>Да, не обнулять</v>
      </c>
      <c r="D14" s="48">
        <f ca="1">IF(MIN(OFFSET(PORT_PrjPeriods,1,2):OFFSET(PORT_PrjPeriods,1+PORT_IntPrjCount+PORT_ExtPrjCount,2))&lt;PRJ_Len,1,0)</f>
        <v>0</v>
      </c>
      <c r="E14" s="48"/>
      <c r="F14" s="45"/>
      <c r="G14" s="45"/>
      <c r="H14" s="45"/>
      <c r="I14" s="45"/>
      <c r="J14" s="45"/>
      <c r="K14" s="45"/>
      <c r="L14" s="45"/>
      <c r="M14" s="171"/>
    </row>
    <row r="15" spans="1:13" outlineLevel="1" x14ac:dyDescent="0.2">
      <c r="A15" s="48"/>
      <c r="B15" s="48"/>
      <c r="C15" s="48"/>
      <c r="D15" s="48"/>
      <c r="E15" s="48"/>
      <c r="F15" s="45"/>
      <c r="G15" s="45"/>
      <c r="H15" s="45"/>
      <c r="I15" s="45"/>
      <c r="J15" s="45"/>
      <c r="K15" s="45"/>
      <c r="L15" s="45"/>
      <c r="M15" s="171"/>
    </row>
    <row r="16" spans="1:13" outlineLevel="1" x14ac:dyDescent="0.2">
      <c r="A16" s="172" t="str">
        <f ca="1">Language!A946</f>
        <v>Последнее обновление проектов из внешних книг:</v>
      </c>
      <c r="B16" s="410">
        <v>39763.604166666664</v>
      </c>
      <c r="C16" s="411"/>
      <c r="D16" s="48"/>
      <c r="E16" s="48"/>
      <c r="F16" s="45"/>
      <c r="G16" s="45"/>
      <c r="H16" s="45"/>
      <c r="I16" s="45"/>
      <c r="J16" s="45"/>
      <c r="K16" s="45"/>
      <c r="L16" s="45"/>
      <c r="M16" s="171"/>
    </row>
    <row r="17" spans="1:13" ht="15.9" customHeight="1" outlineLevel="1" x14ac:dyDescent="0.2">
      <c r="A17" s="48"/>
      <c r="B17" s="48"/>
      <c r="C17" s="48"/>
      <c r="D17" s="48"/>
      <c r="E17" s="48"/>
      <c r="F17" s="45"/>
      <c r="G17" s="45"/>
      <c r="H17" s="45"/>
      <c r="I17" s="45"/>
      <c r="J17" s="45"/>
      <c r="K17" s="45"/>
      <c r="L17" s="45"/>
      <c r="M17" s="171"/>
    </row>
    <row r="18" spans="1:13" outlineLevel="1" x14ac:dyDescent="0.2">
      <c r="A18" s="173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45"/>
      <c r="M18" s="171"/>
    </row>
    <row r="19" spans="1:13" outlineLevel="1" x14ac:dyDescent="0.2">
      <c r="F19" s="45"/>
      <c r="G19" s="45"/>
      <c r="H19" s="45"/>
      <c r="I19" s="45"/>
      <c r="J19" s="45"/>
      <c r="K19" s="45"/>
      <c r="L19" s="45"/>
      <c r="M19" s="171"/>
    </row>
    <row r="20" spans="1:13" s="4" customFormat="1" ht="15.9" customHeight="1" outlineLevel="1" x14ac:dyDescent="0.2">
      <c r="A20" s="168" t="str">
        <f ca="1">Language!A947</f>
        <v>Параметры бюджета портфеля проектов</v>
      </c>
      <c r="B20" s="14"/>
      <c r="C20" s="191"/>
      <c r="F20" s="174"/>
      <c r="M20" s="202"/>
    </row>
    <row r="21" spans="1:13" outlineLevel="1" x14ac:dyDescent="0.2">
      <c r="A21" s="183"/>
      <c r="B21" s="184"/>
      <c r="C21" s="176"/>
      <c r="F21" s="19"/>
    </row>
    <row r="22" spans="1:13" outlineLevel="1" x14ac:dyDescent="0.2">
      <c r="A22" s="184" t="str">
        <f ca="1">Language!A948</f>
        <v>Дата начала первого периода</v>
      </c>
      <c r="B22" s="185">
        <f>DATE(PRJ_StartYear,PRJ_StartMon,1)</f>
        <v>43922</v>
      </c>
      <c r="C22" s="176"/>
      <c r="F22" s="19"/>
    </row>
    <row r="23" spans="1:13" outlineLevel="1" x14ac:dyDescent="0.2">
      <c r="A23" s="184" t="str">
        <f ca="1">Language!A949</f>
        <v>Длительность</v>
      </c>
      <c r="B23" s="186" t="str">
        <f ca="1">PRJ_Len &amp; " " &amp; OFFSET(Language!A30,PRJ_StepType-1,0)</f>
        <v>6 мес.</v>
      </c>
      <c r="C23" s="176"/>
      <c r="D23" s="5">
        <v>6</v>
      </c>
      <c r="E23" s="5" t="str">
        <f ca="1">OFFSET(Language!A30,PRJ_StepType-1,0)</f>
        <v>мес.</v>
      </c>
      <c r="F23" s="19"/>
    </row>
    <row r="24" spans="1:13" outlineLevel="1" x14ac:dyDescent="0.2">
      <c r="A24" s="184" t="str">
        <f ca="1">Language!A950</f>
        <v>Шаг планирования</v>
      </c>
      <c r="B24" s="187" t="str">
        <f ca="1">OFFSET(Language!A34,PRJ_StepType-1,0)</f>
        <v>месяц</v>
      </c>
      <c r="C24" s="176"/>
      <c r="D24" s="5">
        <v>1</v>
      </c>
      <c r="E24" s="5">
        <f>CHOOSE(PRJ_StepType,30,90,180,360)</f>
        <v>30</v>
      </c>
      <c r="F24" s="19"/>
    </row>
    <row r="25" spans="1:13" outlineLevel="1" x14ac:dyDescent="0.2">
      <c r="A25" s="184" t="str">
        <f ca="1">Language!A951</f>
        <v>Валюта для отображения результатов</v>
      </c>
      <c r="B25" s="187" t="str">
        <f ca="1">OFFSET(Language!A39,CUR_I_Report,0)</f>
        <v>руб.</v>
      </c>
      <c r="C25" s="176"/>
      <c r="D25" s="5">
        <v>0</v>
      </c>
      <c r="E25" s="5"/>
      <c r="F25" s="19"/>
    </row>
    <row r="26" spans="1:13" outlineLevel="1" x14ac:dyDescent="0.2">
      <c r="A26" s="184"/>
      <c r="B26" s="184"/>
      <c r="C26" s="176"/>
      <c r="F26" s="19"/>
    </row>
    <row r="27" spans="1:13" outlineLevel="1" x14ac:dyDescent="0.2">
      <c r="A27" s="183" t="str">
        <f ca="1">Language!A952</f>
        <v>Периоды осуществления проектов</v>
      </c>
      <c r="B27" s="187" t="str">
        <f ca="1">Language!A953</f>
        <v>с периода</v>
      </c>
      <c r="C27" s="192" t="str">
        <f ca="1">Language!A954</f>
        <v>по период</v>
      </c>
      <c r="F27" s="19"/>
    </row>
    <row r="28" spans="1:13" outlineLevel="1" x14ac:dyDescent="0.2">
      <c r="A28" s="189" t="str">
        <f>A12</f>
        <v>Наименование проекта</v>
      </c>
      <c r="B28" s="186">
        <v>1</v>
      </c>
      <c r="C28" s="193">
        <v>6</v>
      </c>
      <c r="F28" s="19"/>
    </row>
    <row r="29" spans="1:13" outlineLevel="1" collapsed="1" x14ac:dyDescent="0.2">
      <c r="A29" s="190"/>
      <c r="B29" s="190"/>
      <c r="C29" s="194"/>
      <c r="F29" s="19"/>
    </row>
    <row r="30" spans="1:13" hidden="1" outlineLevel="2" x14ac:dyDescent="0.2"/>
    <row r="31" spans="1:13" hidden="1" outlineLevel="2" x14ac:dyDescent="0.2">
      <c r="A31" t="str">
        <f ca="1">Language!A955</f>
        <v>Год начала бюджета</v>
      </c>
      <c r="D31" s="16" t="s">
        <v>2154</v>
      </c>
      <c r="F31" s="5">
        <v>2020</v>
      </c>
    </row>
    <row r="32" spans="1:13" hidden="1" outlineLevel="2" x14ac:dyDescent="0.2">
      <c r="A32" t="str">
        <f ca="1">Language!A956</f>
        <v>Месяц начала бюджета</v>
      </c>
      <c r="D32" s="16" t="s">
        <v>2154</v>
      </c>
      <c r="F32" s="5">
        <v>4</v>
      </c>
    </row>
    <row r="33" spans="1:13" hidden="1" outlineLevel="2" x14ac:dyDescent="0.2">
      <c r="A33" t="str">
        <f ca="1">Language!A957</f>
        <v>Номера периодов</v>
      </c>
      <c r="D33" s="16" t="s">
        <v>2154</v>
      </c>
      <c r="F33" s="5">
        <v>1</v>
      </c>
      <c r="G33" s="5">
        <f t="shared" ref="G33:K33" si="0">F33+1</f>
        <v>2</v>
      </c>
      <c r="H33" s="5">
        <f t="shared" si="0"/>
        <v>3</v>
      </c>
      <c r="I33" s="5">
        <f t="shared" si="0"/>
        <v>4</v>
      </c>
      <c r="J33" s="5">
        <f t="shared" si="0"/>
        <v>5</v>
      </c>
      <c r="K33" s="5">
        <f t="shared" si="0"/>
        <v>6</v>
      </c>
    </row>
    <row r="34" spans="1:13" hidden="1" outlineLevel="2" x14ac:dyDescent="0.2">
      <c r="A34" t="str">
        <f ca="1">Language!A958</f>
        <v>Наименования периодов без учета дат</v>
      </c>
      <c r="D34" s="16" t="s">
        <v>2154</v>
      </c>
      <c r="F34" s="5" t="str">
        <f ca="1">TEXT(F33,"#") &amp; " " &amp; OFFSET(Language!$A68,PRJ_StepType-1,0)</f>
        <v>1 мес.</v>
      </c>
      <c r="G34" s="5" t="str">
        <f ca="1">TEXT(G33,"#") &amp; " " &amp; OFFSET(Language!$A68,PRJ_StepType-1,0)</f>
        <v>2 мес.</v>
      </c>
      <c r="H34" s="5" t="str">
        <f ca="1">TEXT(H33,"#") &amp; " " &amp; OFFSET(Language!$A68,PRJ_StepType-1,0)</f>
        <v>3 мес.</v>
      </c>
      <c r="I34" s="5" t="str">
        <f ca="1">TEXT(I33,"#") &amp; " " &amp; OFFSET(Language!$A68,PRJ_StepType-1,0)</f>
        <v>4 мес.</v>
      </c>
      <c r="J34" s="5" t="str">
        <f ca="1">TEXT(J33,"#") &amp; " " &amp; OFFSET(Language!$A68,PRJ_StepType-1,0)</f>
        <v>5 мес.</v>
      </c>
      <c r="K34" s="5" t="str">
        <f ca="1">TEXT(K33,"#") &amp; " " &amp; OFFSET(Language!$A68,PRJ_StepType-1,0)</f>
        <v>6 мес.</v>
      </c>
    </row>
    <row r="35" spans="1:13" hidden="1" outlineLevel="2" x14ac:dyDescent="0.2">
      <c r="A35" t="str">
        <f ca="1">Language!A959</f>
        <v>Дата начала периода</v>
      </c>
      <c r="D35" s="16" t="s">
        <v>2154</v>
      </c>
      <c r="F35" s="6">
        <f>DATE(PRJ_StartYear,PRJ_StartMon,1)</f>
        <v>43922</v>
      </c>
      <c r="G35" s="6">
        <f t="shared" ref="G35:K35" si="1">DATE(YEAR(F35),MONTH(F35)+PRJ_Step/30,1)</f>
        <v>43952</v>
      </c>
      <c r="H35" s="6">
        <f t="shared" si="1"/>
        <v>43983</v>
      </c>
      <c r="I35" s="6">
        <f t="shared" si="1"/>
        <v>44013</v>
      </c>
      <c r="J35" s="6">
        <f t="shared" si="1"/>
        <v>44044</v>
      </c>
      <c r="K35" s="6">
        <f t="shared" si="1"/>
        <v>44075</v>
      </c>
    </row>
    <row r="36" spans="1:13" hidden="1" outlineLevel="2" x14ac:dyDescent="0.2">
      <c r="A36" t="str">
        <f ca="1">Language!A960</f>
        <v>Наименования периодов с учетом дат</v>
      </c>
      <c r="D36" s="16" t="s">
        <v>2154</v>
      </c>
      <c r="F36" s="5" t="str">
        <f>CHOOSE(PRJ_StepType,MONTH(F35) &amp; "/",ROUNDUP(MONTH(F35)/3,0) &amp; " " &amp; Language!$A69,ROUNDUP(MONTH(F35)/6,0) &amp; "/","") &amp; " " &amp; YEAR(F35)</f>
        <v>4/ 2020</v>
      </c>
      <c r="G36" s="5" t="str">
        <f>CHOOSE(PRJ_StepType,MONTH(G35) &amp; "/",ROUNDUP(MONTH(G35)/3,0) &amp; " " &amp; Language!$A69,ROUNDUP(MONTH(G35)/6,0) &amp; "/","") &amp; " " &amp; YEAR(G35)</f>
        <v>5/ 2020</v>
      </c>
      <c r="H36" s="5" t="str">
        <f>CHOOSE(PRJ_StepType,MONTH(H35) &amp; "/",ROUNDUP(MONTH(H35)/3,0) &amp; " " &amp; Language!$A69,ROUNDUP(MONTH(H35)/6,0) &amp; "/","") &amp; " " &amp; YEAR(H35)</f>
        <v>6/ 2020</v>
      </c>
      <c r="I36" s="5" t="str">
        <f>CHOOSE(PRJ_StepType,MONTH(I35) &amp; "/",ROUNDUP(MONTH(I35)/3,0) &amp; " " &amp; Language!$A69,ROUNDUP(MONTH(I35)/6,0) &amp; "/","") &amp; " " &amp; YEAR(I35)</f>
        <v>7/ 2020</v>
      </c>
      <c r="J36" s="5" t="str">
        <f>CHOOSE(PRJ_StepType,MONTH(J35) &amp; "/",ROUNDUP(MONTH(J35)/3,0) &amp; " " &amp; Language!$A69,ROUNDUP(MONTH(J35)/6,0) &amp; "/","") &amp; " " &amp; YEAR(J35)</f>
        <v>8/ 2020</v>
      </c>
      <c r="K36" s="5" t="str">
        <f>CHOOSE(PRJ_StepType,MONTH(K35) &amp; "/",ROUNDUP(MONTH(K35)/3,0) &amp; " " &amp; Language!$A69,ROUNDUP(MONTH(K35)/6,0) &amp; "/","") &amp; " " &amp; YEAR(K35)</f>
        <v>9/ 2020</v>
      </c>
    </row>
    <row r="37" spans="1:13" outlineLevel="1" x14ac:dyDescent="0.2"/>
    <row r="38" spans="1:13" outlineLevel="1" x14ac:dyDescent="0.2"/>
    <row r="39" spans="1:13" s="4" customFormat="1" ht="15.9" customHeight="1" thickBot="1" x14ac:dyDescent="0.25">
      <c r="A39" s="166" t="str">
        <f ca="1">Language!A961</f>
        <v xml:space="preserve">         ПЕРЕСЧЕТ НАЛОГА НА ПРИБЫЛЬ</v>
      </c>
      <c r="B39" s="166"/>
      <c r="C39" s="166"/>
      <c r="D39" s="166"/>
      <c r="E39" s="166"/>
      <c r="F39" s="178" t="str">
        <f>IF(Проект!ShowRealDates,F36,F34)</f>
        <v>4/ 2020</v>
      </c>
      <c r="G39" s="178" t="str">
        <f>IF(Проект!ShowRealDates,G36,G34)</f>
        <v>5/ 2020</v>
      </c>
      <c r="H39" s="178" t="str">
        <f>IF(Проект!ShowRealDates,H36,H34)</f>
        <v>6/ 2020</v>
      </c>
      <c r="I39" s="178" t="str">
        <f>IF(Проект!ShowRealDates,I36,I34)</f>
        <v>7/ 2020</v>
      </c>
      <c r="J39" s="178" t="str">
        <f>IF(Проект!ShowRealDates,J36,J34)</f>
        <v>8/ 2020</v>
      </c>
      <c r="K39" s="178" t="str">
        <f>IF(Проект!ShowRealDates,K36,K34)</f>
        <v>9/ 2020</v>
      </c>
      <c r="L39" s="167"/>
      <c r="M39" s="195" t="str">
        <f ca="1">Language!A$371</f>
        <v>ИТОГО</v>
      </c>
    </row>
    <row r="40" spans="1:13" ht="10.8" outlineLevel="1" thickTop="1" x14ac:dyDescent="0.2"/>
    <row r="41" spans="1:13" outlineLevel="1" x14ac:dyDescent="0.2">
      <c r="A41" t="str">
        <f ca="1">Language!A966</f>
        <v>Налог на прибыль по консолидированной отчетности</v>
      </c>
      <c r="B41" s="255">
        <v>1</v>
      </c>
      <c r="C41" s="198" t="str">
        <f ca="1">CHOOSE(B41,Language!A$962,Language!A$963)</f>
        <v>Пересчитать налог</v>
      </c>
    </row>
    <row r="42" spans="1:13" outlineLevel="1" x14ac:dyDescent="0.2">
      <c r="A42" t="str">
        <f ca="1">Language!A967</f>
        <v>Ставка налога на прибыль</v>
      </c>
      <c r="B42" s="273">
        <f>Проект!ProfitTax</f>
        <v>0</v>
      </c>
      <c r="C42" s="198"/>
    </row>
    <row r="43" spans="1:13" outlineLevel="1" x14ac:dyDescent="0.2"/>
    <row r="44" spans="1:13" outlineLevel="1" collapsed="1" x14ac:dyDescent="0.2">
      <c r="A44" s="179" t="str">
        <f ca="1">Language!A186</f>
        <v>Начисленный налог на прибыль</v>
      </c>
      <c r="C44" s="26" t="str">
        <f t="shared" ref="C44:C59" ca="1" si="2">CUR_Report</f>
        <v>руб.</v>
      </c>
      <c r="D44" s="205" t="s">
        <v>2210</v>
      </c>
      <c r="E44">
        <v>8</v>
      </c>
      <c r="F44" s="58">
        <f ca="1">IF($B41=2,SUMPRODUCT($B12:OFFSET($B13,-1,0),F45:OFFSET(F46,-1,0)),F58*$B42)</f>
        <v>0</v>
      </c>
      <c r="G44" s="58">
        <f ca="1">IF($B41=2,SUMPRODUCT($B12:OFFSET($B13,-1,0),G45:OFFSET(G46,-1,0)),G58*$B42)</f>
        <v>0</v>
      </c>
      <c r="H44" s="58">
        <f ca="1">IF($B41=2,SUMPRODUCT($B12:OFFSET($B13,-1,0),H45:OFFSET(H46,-1,0)),H58*$B42)</f>
        <v>0</v>
      </c>
      <c r="I44" s="58">
        <f ca="1">IF($B41=2,SUMPRODUCT($B12:OFFSET($B13,-1,0),I45:OFFSET(I46,-1,0)),I58*$B42)</f>
        <v>0</v>
      </c>
      <c r="J44" s="58">
        <f ca="1">IF($B41=2,SUMPRODUCT($B12:OFFSET($B13,-1,0),J45:OFFSET(J46,-1,0)),J58*$B42)</f>
        <v>0</v>
      </c>
      <c r="K44" s="58">
        <f ca="1">IF($B41=2,SUMPRODUCT($B12:OFFSET($B13,-1,0),K45:OFFSET(K46,-1,0)),K58*$B42)</f>
        <v>0</v>
      </c>
      <c r="L44" s="35"/>
      <c r="M44" s="57">
        <f t="shared" ref="M44:M51" ca="1" si="3">SUM(F44:K44)</f>
        <v>0</v>
      </c>
    </row>
    <row r="45" spans="1:13" s="11" customFormat="1" hidden="1" outlineLevel="2" x14ac:dyDescent="0.2">
      <c r="A45" s="11" t="str">
        <f>"        " &amp; A12</f>
        <v xml:space="preserve">        Наименование проекта</v>
      </c>
      <c r="C45" s="199" t="str">
        <f t="shared" ca="1" si="2"/>
        <v>руб.</v>
      </c>
      <c r="D45" s="11" t="str">
        <f>"[" &amp; F12 &amp; "];int_sum"</f>
        <v>[Проект];int_sum</v>
      </c>
      <c r="F45" s="54">
        <f ca="1">IF(OR(F$33&lt;$B28,F$33&gt;$C28),0,OFFSET(Проект!F$174,0,1-$B28))</f>
        <v>0</v>
      </c>
      <c r="G45" s="54">
        <f ca="1">IF(OR(G$33&lt;$B28,G$33&gt;$C28),0,OFFSET(Проект!G$174,0,1-$B28))</f>
        <v>0</v>
      </c>
      <c r="H45" s="54">
        <f ca="1">IF(OR(H$33&lt;$B28,H$33&gt;$C28),0,OFFSET(Проект!H$174,0,1-$B28))</f>
        <v>0</v>
      </c>
      <c r="I45" s="54">
        <f ca="1">IF(OR(I$33&lt;$B28,I$33&gt;$C28),0,OFFSET(Проект!I$174,0,1-$B28))</f>
        <v>0</v>
      </c>
      <c r="J45" s="54">
        <f ca="1">IF(OR(J$33&lt;$B28,J$33&gt;$C28),0,OFFSET(Проект!J$174,0,1-$B28))</f>
        <v>0</v>
      </c>
      <c r="K45" s="54">
        <f ca="1">IF(OR(K$33&lt;$B28,K$33&gt;$C28),0,OFFSET(Проект!K$174,0,1-$B28))</f>
        <v>0</v>
      </c>
      <c r="M45" s="203">
        <f t="shared" ca="1" si="3"/>
        <v>0</v>
      </c>
    </row>
    <row r="46" spans="1:13" outlineLevel="1" collapsed="1" x14ac:dyDescent="0.2">
      <c r="A46" s="180" t="str">
        <f ca="1">Language!A188</f>
        <v xml:space="preserve">    прибыль до налогообложения</v>
      </c>
      <c r="C46" s="26" t="str">
        <f t="shared" ca="1" si="2"/>
        <v>руб.</v>
      </c>
      <c r="D46" s="205" t="s">
        <v>2210</v>
      </c>
      <c r="F46" s="43">
        <f ca="1">SUMPRODUCT($B12:OFFSET($B13,-1,0),F47:OFFSET(F48,-1,0))</f>
        <v>15287500</v>
      </c>
      <c r="G46" s="43">
        <f ca="1">SUMPRODUCT($B12:OFFSET($B13,-1,0),G47:OFFSET(G48,-1,0))</f>
        <v>63127900</v>
      </c>
      <c r="H46" s="43">
        <f ca="1">SUMPRODUCT($B12:OFFSET($B13,-1,0),H47:OFFSET(H48,-1,0))</f>
        <v>98968300</v>
      </c>
      <c r="I46" s="43">
        <f ca="1">SUMPRODUCT($B12:OFFSET($B13,-1,0),I47:OFFSET(I48,-1,0))</f>
        <v>98868500</v>
      </c>
      <c r="J46" s="43">
        <f ca="1">SUMPRODUCT($B12:OFFSET($B13,-1,0),J47:OFFSET(J48,-1,0))</f>
        <v>98868500</v>
      </c>
      <c r="K46" s="43">
        <f ca="1">SUMPRODUCT($B12:OFFSET($B13,-1,0),K47:OFFSET(K48,-1,0))</f>
        <v>98867333.333333328</v>
      </c>
      <c r="M46" s="203">
        <f t="shared" ca="1" si="3"/>
        <v>473988033.33333331</v>
      </c>
    </row>
    <row r="47" spans="1:13" s="11" customFormat="1" hidden="1" outlineLevel="2" x14ac:dyDescent="0.2">
      <c r="A47" s="11" t="str">
        <f>"        " &amp; A12</f>
        <v xml:space="preserve">        Наименование проекта</v>
      </c>
      <c r="C47" s="199" t="str">
        <f t="shared" ca="1" si="2"/>
        <v>руб.</v>
      </c>
      <c r="D47" s="11" t="str">
        <f>"[" &amp; F12 &amp; "];int_sum"</f>
        <v>[Проект];int_sum</v>
      </c>
      <c r="F47" s="54">
        <f ca="1">IF(OR(F$33&lt;$B28,F$33&gt;$C28),0,OFFSET(Проект!F$176,0,1-$B28))</f>
        <v>15287500</v>
      </c>
      <c r="G47" s="54">
        <f ca="1">IF(OR(G$33&lt;$B28,G$33&gt;$C28),0,OFFSET(Проект!G$176,0,1-$B28))</f>
        <v>63127900</v>
      </c>
      <c r="H47" s="54">
        <f ca="1">IF(OR(H$33&lt;$B28,H$33&gt;$C28),0,OFFSET(Проект!H$176,0,1-$B28))</f>
        <v>98968300</v>
      </c>
      <c r="I47" s="54">
        <f ca="1">IF(OR(I$33&lt;$B28,I$33&gt;$C28),0,OFFSET(Проект!I$176,0,1-$B28))</f>
        <v>98868500</v>
      </c>
      <c r="J47" s="54">
        <f ca="1">IF(OR(J$33&lt;$B28,J$33&gt;$C28),0,OFFSET(Проект!J$176,0,1-$B28))</f>
        <v>98868500</v>
      </c>
      <c r="K47" s="54">
        <f ca="1">IF(OR(K$33&lt;$B28,K$33&gt;$C28),0,OFFSET(Проект!K$176,0,1-$B28))</f>
        <v>98867333.333333328</v>
      </c>
      <c r="M47" s="203">
        <f t="shared" ca="1" si="3"/>
        <v>473988033.33333331</v>
      </c>
    </row>
    <row r="48" spans="1:13" outlineLevel="1" collapsed="1" x14ac:dyDescent="0.2">
      <c r="A48" s="180" t="str">
        <f ca="1">Language!A189</f>
        <v xml:space="preserve">    проценты по кредиту, выплачиваемые из прибыли</v>
      </c>
      <c r="C48" s="26" t="str">
        <f t="shared" ca="1" si="2"/>
        <v>руб.</v>
      </c>
      <c r="D48" s="205" t="s">
        <v>2210</v>
      </c>
      <c r="F48" s="43">
        <f ca="1">SUMPRODUCT($B12:OFFSET($B13,-1,0),F49:OFFSET(F50,-1,0))</f>
        <v>0</v>
      </c>
      <c r="G48" s="43">
        <f ca="1">SUMPRODUCT($B12:OFFSET($B13,-1,0),G49:OFFSET(G50,-1,0))</f>
        <v>0</v>
      </c>
      <c r="H48" s="43">
        <f ca="1">SUMPRODUCT($B12:OFFSET($B13,-1,0),H49:OFFSET(H50,-1,0))</f>
        <v>0</v>
      </c>
      <c r="I48" s="43">
        <f ca="1">SUMPRODUCT($B12:OFFSET($B13,-1,0),I49:OFFSET(I50,-1,0))</f>
        <v>0</v>
      </c>
      <c r="J48" s="43">
        <f ca="1">SUMPRODUCT($B12:OFFSET($B13,-1,0),J49:OFFSET(J50,-1,0))</f>
        <v>0</v>
      </c>
      <c r="K48" s="43">
        <f ca="1">SUMPRODUCT($B12:OFFSET($B13,-1,0),K49:OFFSET(K50,-1,0))</f>
        <v>0</v>
      </c>
      <c r="M48" s="203">
        <f t="shared" ca="1" si="3"/>
        <v>0</v>
      </c>
    </row>
    <row r="49" spans="1:13" s="11" customFormat="1" hidden="1" outlineLevel="2" x14ac:dyDescent="0.2">
      <c r="A49" s="11" t="str">
        <f>"        " &amp; A12</f>
        <v xml:space="preserve">        Наименование проекта</v>
      </c>
      <c r="C49" s="199" t="str">
        <f t="shared" ca="1" si="2"/>
        <v>руб.</v>
      </c>
      <c r="D49" s="11" t="str">
        <f>"[" &amp; F12 &amp; "];int_sum"</f>
        <v>[Проект];int_sum</v>
      </c>
      <c r="F49" s="54">
        <f ca="1">IF(OR(F$33&lt;$B28,F$33&gt;$C28),0,OFFSET(Проект!F$178,0,1-$B28))</f>
        <v>0</v>
      </c>
      <c r="G49" s="54">
        <f ca="1">IF(OR(G$33&lt;$B28,G$33&gt;$C28),0,OFFSET(Проект!G$178,0,1-$B28))</f>
        <v>0</v>
      </c>
      <c r="H49" s="54">
        <f ca="1">IF(OR(H$33&lt;$B28,H$33&gt;$C28),0,OFFSET(Проект!H$178,0,1-$B28))</f>
        <v>0</v>
      </c>
      <c r="I49" s="54">
        <f ca="1">IF(OR(I$33&lt;$B28,I$33&gt;$C28),0,OFFSET(Проект!I$178,0,1-$B28))</f>
        <v>0</v>
      </c>
      <c r="J49" s="54">
        <f ca="1">IF(OR(J$33&lt;$B28,J$33&gt;$C28),0,OFFSET(Проект!J$178,0,1-$B28))</f>
        <v>0</v>
      </c>
      <c r="K49" s="54">
        <f ca="1">IF(OR(K$33&lt;$B28,K$33&gt;$C28),0,OFFSET(Проект!K$178,0,1-$B28))</f>
        <v>0</v>
      </c>
      <c r="M49" s="203">
        <f t="shared" ca="1" si="3"/>
        <v>0</v>
      </c>
    </row>
    <row r="50" spans="1:13" outlineLevel="1" collapsed="1" x14ac:dyDescent="0.2">
      <c r="A50" s="180" t="str">
        <f ca="1">Language!A190</f>
        <v xml:space="preserve">    льготы по налогу на прибыль</v>
      </c>
      <c r="C50" s="26" t="str">
        <f t="shared" ca="1" si="2"/>
        <v>руб.</v>
      </c>
      <c r="D50" s="205" t="s">
        <v>2210</v>
      </c>
      <c r="F50" s="43">
        <f ca="1">SUMPRODUCT($B12:OFFSET($B13,-1,0),F51:OFFSET(F52,-1,0))</f>
        <v>0</v>
      </c>
      <c r="G50" s="43">
        <f ca="1">SUMPRODUCT($B12:OFFSET($B13,-1,0),G51:OFFSET(G52,-1,0))</f>
        <v>0</v>
      </c>
      <c r="H50" s="43">
        <f ca="1">SUMPRODUCT($B12:OFFSET($B13,-1,0),H51:OFFSET(H52,-1,0))</f>
        <v>0</v>
      </c>
      <c r="I50" s="43">
        <f ca="1">SUMPRODUCT($B12:OFFSET($B13,-1,0),I51:OFFSET(I52,-1,0))</f>
        <v>0</v>
      </c>
      <c r="J50" s="43">
        <f ca="1">SUMPRODUCT($B12:OFFSET($B13,-1,0),J51:OFFSET(J52,-1,0))</f>
        <v>0</v>
      </c>
      <c r="K50" s="43">
        <f ca="1">SUMPRODUCT($B12:OFFSET($B13,-1,0),K51:OFFSET(K52,-1,0))</f>
        <v>0</v>
      </c>
      <c r="M50" s="203">
        <f t="shared" ca="1" si="3"/>
        <v>0</v>
      </c>
    </row>
    <row r="51" spans="1:13" s="11" customFormat="1" hidden="1" outlineLevel="2" x14ac:dyDescent="0.2">
      <c r="A51" s="11" t="str">
        <f>"        " &amp; A12</f>
        <v xml:space="preserve">        Наименование проекта</v>
      </c>
      <c r="C51" s="199" t="str">
        <f t="shared" ca="1" si="2"/>
        <v>руб.</v>
      </c>
      <c r="D51" s="11" t="str">
        <f>"[" &amp; F12 &amp; "];int_sum"</f>
        <v>[Проект];int_sum</v>
      </c>
      <c r="F51" s="54">
        <f ca="1">IF(OR(F$33&lt;$B28,F$33&gt;$C28),0,OFFSET(Проект!F$180,0,1-$B28))</f>
        <v>0</v>
      </c>
      <c r="G51" s="54">
        <f ca="1">IF(OR(G$33&lt;$B28,G$33&gt;$C28),0,OFFSET(Проект!G$180,0,1-$B28))</f>
        <v>0</v>
      </c>
      <c r="H51" s="54">
        <f ca="1">IF(OR(H$33&lt;$B28,H$33&gt;$C28),0,OFFSET(Проект!H$180,0,1-$B28))</f>
        <v>0</v>
      </c>
      <c r="I51" s="54">
        <f ca="1">IF(OR(I$33&lt;$B28,I$33&gt;$C28),0,OFFSET(Проект!I$180,0,1-$B28))</f>
        <v>0</v>
      </c>
      <c r="J51" s="54">
        <f ca="1">IF(OR(J$33&lt;$B28,J$33&gt;$C28),0,OFFSET(Проект!J$180,0,1-$B28))</f>
        <v>0</v>
      </c>
      <c r="K51" s="54">
        <f ca="1">IF(OR(K$33&lt;$B28,K$33&gt;$C28),0,OFFSET(Проект!K$180,0,1-$B28))</f>
        <v>0</v>
      </c>
      <c r="M51" s="203">
        <f t="shared" ca="1" si="3"/>
        <v>0</v>
      </c>
    </row>
    <row r="52" spans="1:13" outlineLevel="1" collapsed="1" x14ac:dyDescent="0.2">
      <c r="A52" s="180" t="str">
        <f ca="1">Language!A191</f>
        <v xml:space="preserve">    накопленная прибыль/убытки текущего года</v>
      </c>
      <c r="C52" s="26" t="str">
        <f t="shared" ca="1" si="2"/>
        <v>руб.</v>
      </c>
      <c r="D52" s="205" t="s">
        <v>2211</v>
      </c>
      <c r="F52" s="43">
        <f ca="1">SUMPRODUCT($B12:OFFSET($B13,-1,0),F53:OFFSET(F54,-1,0))</f>
        <v>15287500</v>
      </c>
      <c r="G52" s="43">
        <f ca="1">SUMPRODUCT($B12:OFFSET($B13,-1,0),G53:OFFSET(G54,-1,0))</f>
        <v>78415400</v>
      </c>
      <c r="H52" s="43">
        <f ca="1">SUMPRODUCT($B12:OFFSET($B13,-1,0),H53:OFFSET(H54,-1,0))</f>
        <v>177383700</v>
      </c>
      <c r="I52" s="43">
        <f ca="1">SUMPRODUCT($B12:OFFSET($B13,-1,0),I53:OFFSET(I54,-1,0))</f>
        <v>276252200</v>
      </c>
      <c r="J52" s="43">
        <f ca="1">SUMPRODUCT($B12:OFFSET($B13,-1,0),J53:OFFSET(J54,-1,0))</f>
        <v>375120700</v>
      </c>
      <c r="K52" s="43">
        <f ca="1">SUMPRODUCT($B12:OFFSET($B13,-1,0),K53:OFFSET(K54,-1,0))</f>
        <v>473988033.33333331</v>
      </c>
    </row>
    <row r="53" spans="1:13" s="11" customFormat="1" hidden="1" outlineLevel="2" x14ac:dyDescent="0.2">
      <c r="A53" s="11" t="str">
        <f>"        " &amp; A12</f>
        <v xml:space="preserve">        Наименование проекта</v>
      </c>
      <c r="C53" s="199" t="str">
        <f t="shared" ca="1" si="2"/>
        <v>руб.</v>
      </c>
      <c r="D53" s="11" t="str">
        <f>"[" &amp; F12 &amp; "];int_end"</f>
        <v>[Проект];int_end</v>
      </c>
      <c r="F53" s="54">
        <f ca="1">IF(OR(F$33&lt;$B28,F$33&gt;$C28),0,OFFSET(Проект!F$182,0,1-$B28))</f>
        <v>15287500</v>
      </c>
      <c r="G53" s="54">
        <f ca="1">IF(OR(G$33&lt;$B28,G$33&gt;$C28),0,OFFSET(Проект!G$182,0,1-$B28))</f>
        <v>78415400</v>
      </c>
      <c r="H53" s="54">
        <f ca="1">IF(OR(H$33&lt;$B28,H$33&gt;$C28),0,OFFSET(Проект!H$182,0,1-$B28))</f>
        <v>177383700</v>
      </c>
      <c r="I53" s="54">
        <f ca="1">IF(OR(I$33&lt;$B28,I$33&gt;$C28),0,OFFSET(Проект!I$182,0,1-$B28))</f>
        <v>276252200</v>
      </c>
      <c r="J53" s="54">
        <f ca="1">IF(OR(J$33&lt;$B28,J$33&gt;$C28),0,OFFSET(Проект!J$182,0,1-$B28))</f>
        <v>375120700</v>
      </c>
      <c r="K53" s="54">
        <f ca="1">IF(OR(K$33&lt;$B28,K$33&gt;$C28),0,OFFSET(Проект!K$182,0,1-$B28))</f>
        <v>473988033.33333331</v>
      </c>
      <c r="M53" s="181"/>
    </row>
    <row r="54" spans="1:13" outlineLevel="1" collapsed="1" x14ac:dyDescent="0.2">
      <c r="A54" s="180" t="str">
        <f ca="1">Language!A192</f>
        <v xml:space="preserve">    убытки предыдущих периодов</v>
      </c>
      <c r="C54" s="26" t="str">
        <f t="shared" ca="1" si="2"/>
        <v>руб.</v>
      </c>
      <c r="D54" s="205" t="s">
        <v>2211</v>
      </c>
      <c r="F54" s="53">
        <f ca="1">IF($B41=2,SUMPRODUCT($B12:OFFSET($B13,-1,0),F55:OFFSET(F56,-1,0)),MIN(E46,0)+E54-E56)</f>
        <v>0</v>
      </c>
      <c r="G54" s="53">
        <f ca="1">IF($B41=2,SUMPRODUCT($B12:OFFSET($B13,-1,0),G55:OFFSET(G56,-1,0)),MIN(F46,0)+F54-F56)</f>
        <v>0</v>
      </c>
      <c r="H54" s="53">
        <f ca="1">IF($B41=2,SUMPRODUCT($B12:OFFSET($B13,-1,0),H55:OFFSET(H56,-1,0)),MIN(G46,0)+G54-G56)</f>
        <v>0</v>
      </c>
      <c r="I54" s="53">
        <f ca="1">IF($B41=2,SUMPRODUCT($B12:OFFSET($B13,-1,0),I55:OFFSET(I56,-1,0)),MIN(H46,0)+H54-H56)</f>
        <v>0</v>
      </c>
      <c r="J54" s="53">
        <f ca="1">IF($B41=2,SUMPRODUCT($B12:OFFSET($B13,-1,0),J55:OFFSET(J56,-1,0)),MIN(I46,0)+I54-I56)</f>
        <v>0</v>
      </c>
      <c r="K54" s="53">
        <f ca="1">IF($B41=2,SUMPRODUCT($B12:OFFSET($B13,-1,0),K55:OFFSET(K56,-1,0)),MIN(J46,0)+J54-J56)</f>
        <v>0</v>
      </c>
    </row>
    <row r="55" spans="1:13" s="11" customFormat="1" hidden="1" outlineLevel="2" x14ac:dyDescent="0.2">
      <c r="A55" s="11" t="str">
        <f>"        " &amp; A12</f>
        <v xml:space="preserve">        Наименование проекта</v>
      </c>
      <c r="C55" s="199" t="str">
        <f t="shared" ca="1" si="2"/>
        <v>руб.</v>
      </c>
      <c r="D55" s="11" t="str">
        <f>"[" &amp; F12 &amp; "];int_end"</f>
        <v>[Проект];int_end</v>
      </c>
      <c r="F55" s="54">
        <f ca="1">IF(OR(F$33&lt;$B28,F$33&gt;$C28),0,OFFSET(Проект!F$184,0,1-$B28))</f>
        <v>0</v>
      </c>
      <c r="G55" s="54">
        <f ca="1">IF(OR(G$33&lt;$B28,G$33&gt;$C28),0,OFFSET(Проект!G$184,0,1-$B28))</f>
        <v>0</v>
      </c>
      <c r="H55" s="54">
        <f ca="1">IF(OR(H$33&lt;$B28,H$33&gt;$C28),0,OFFSET(Проект!H$184,0,1-$B28))</f>
        <v>0</v>
      </c>
      <c r="I55" s="54">
        <f ca="1">IF(OR(I$33&lt;$B28,I$33&gt;$C28),0,OFFSET(Проект!I$184,0,1-$B28))</f>
        <v>0</v>
      </c>
      <c r="J55" s="54">
        <f ca="1">IF(OR(J$33&lt;$B28,J$33&gt;$C28),0,OFFSET(Проект!J$184,0,1-$B28))</f>
        <v>0</v>
      </c>
      <c r="K55" s="54">
        <f ca="1">IF(OR(K$33&lt;$B28,K$33&gt;$C28),0,OFFSET(Проект!K$184,0,1-$B28))</f>
        <v>0</v>
      </c>
      <c r="M55" s="181"/>
    </row>
    <row r="56" spans="1:13" outlineLevel="1" collapsed="1" x14ac:dyDescent="0.2">
      <c r="A56" s="180" t="str">
        <f ca="1">Language!A193</f>
        <v xml:space="preserve">    списано убытков предыдущих лет</v>
      </c>
      <c r="C56" s="26" t="str">
        <f t="shared" ca="1" si="2"/>
        <v>руб.</v>
      </c>
      <c r="D56" s="205" t="s">
        <v>2210</v>
      </c>
      <c r="F56" s="53">
        <f ca="1">IF($B41=2,SUMPRODUCT($B12:OFFSET($B13,-1,0),F57:OFFSET(F58,-1,0)),-IF(MIN(F46+F48-F50,F52)&gt;0,MIN(-F54,F46+F48-F50),0))</f>
        <v>0</v>
      </c>
      <c r="G56" s="53">
        <f ca="1">IF($B41=2,SUMPRODUCT($B12:OFFSET($B13,-1,0),G57:OFFSET(G58,-1,0)),-IF(MIN(G46+G48-G50,G52)&gt;0,MIN(-G54,G46+G48-G50),0))</f>
        <v>0</v>
      </c>
      <c r="H56" s="53">
        <f ca="1">IF($B41=2,SUMPRODUCT($B12:OFFSET($B13,-1,0),H57:OFFSET(H58,-1,0)),-IF(MIN(H46+H48-H50,H52)&gt;0,MIN(-H54,H46+H48-H50),0))</f>
        <v>0</v>
      </c>
      <c r="I56" s="53">
        <f ca="1">IF($B41=2,SUMPRODUCT($B12:OFFSET($B13,-1,0),I57:OFFSET(I58,-1,0)),-IF(MIN(I46+I48-I50,I52)&gt;0,MIN(-I54,I46+I48-I50),0))</f>
        <v>0</v>
      </c>
      <c r="J56" s="53">
        <f ca="1">IF($B41=2,SUMPRODUCT($B12:OFFSET($B13,-1,0),J57:OFFSET(J58,-1,0)),-IF(MIN(J46+J48-J50,J52)&gt;0,MIN(-J54,J46+J48-J50),0))</f>
        <v>0</v>
      </c>
      <c r="K56" s="53">
        <f ca="1">IF($B41=2,SUMPRODUCT($B12:OFFSET($B13,-1,0),K57:OFFSET(K58,-1,0)),-IF(MIN(K46+K48-K50,K52)&gt;0,MIN(-K54,K46+K48-K50),0))</f>
        <v>0</v>
      </c>
    </row>
    <row r="57" spans="1:13" s="11" customFormat="1" hidden="1" outlineLevel="2" x14ac:dyDescent="0.2">
      <c r="A57" s="11" t="str">
        <f>"        " &amp; A12</f>
        <v xml:space="preserve">        Наименование проекта</v>
      </c>
      <c r="C57" s="199" t="str">
        <f t="shared" ca="1" si="2"/>
        <v>руб.</v>
      </c>
      <c r="D57" s="11" t="str">
        <f>"[" &amp; F12 &amp; "];int_sum"</f>
        <v>[Проект];int_sum</v>
      </c>
      <c r="F57" s="54">
        <f ca="1">IF(OR(F$33&lt;$B28,F$33&gt;$C28),0,OFFSET(Проект!F$186,0,1-$B28))</f>
        <v>0</v>
      </c>
      <c r="G57" s="54">
        <f ca="1">IF(OR(G$33&lt;$B28,G$33&gt;$C28),0,OFFSET(Проект!G$186,0,1-$B28))</f>
        <v>0</v>
      </c>
      <c r="H57" s="54">
        <f ca="1">IF(OR(H$33&lt;$B28,H$33&gt;$C28),0,OFFSET(Проект!H$186,0,1-$B28))</f>
        <v>0</v>
      </c>
      <c r="I57" s="54">
        <f ca="1">IF(OR(I$33&lt;$B28,I$33&gt;$C28),0,OFFSET(Проект!I$186,0,1-$B28))</f>
        <v>0</v>
      </c>
      <c r="J57" s="54">
        <f ca="1">IF(OR(J$33&lt;$B28,J$33&gt;$C28),0,OFFSET(Проект!J$186,0,1-$B28))</f>
        <v>0</v>
      </c>
      <c r="K57" s="54">
        <f ca="1">IF(OR(K$33&lt;$B28,K$33&gt;$C28),0,OFFSET(Проект!K$186,0,1-$B28))</f>
        <v>0</v>
      </c>
      <c r="M57" s="181"/>
    </row>
    <row r="58" spans="1:13" outlineLevel="1" collapsed="1" x14ac:dyDescent="0.2">
      <c r="A58" s="180" t="str">
        <f ca="1">Language!A194</f>
        <v xml:space="preserve">    прибыль, на которую начисляется налог</v>
      </c>
      <c r="C58" s="26" t="str">
        <f t="shared" ca="1" si="2"/>
        <v>руб.</v>
      </c>
      <c r="D58" s="205" t="s">
        <v>2210</v>
      </c>
      <c r="F58" s="53">
        <f ca="1">IF($B41=2,SUMPRODUCT($B12:OFFSET($B13,-1,0),F59:OFFSET(F60,-1,0)),MAX(IF(F52&gt;0,F46+F48-F50+F56,0),0))</f>
        <v>15287500</v>
      </c>
      <c r="G58" s="53">
        <f ca="1">IF($B41=2,SUMPRODUCT($B12:OFFSET($B13,-1,0),G59:OFFSET(G60,-1,0)),MAX(IF(G52&gt;0,G46+G48-G50+G56,0),0))</f>
        <v>63127900</v>
      </c>
      <c r="H58" s="53">
        <f ca="1">IF($B41=2,SUMPRODUCT($B12:OFFSET($B13,-1,0),H59:OFFSET(H60,-1,0)),MAX(IF(H52&gt;0,H46+H48-H50+H56,0),0))</f>
        <v>98968300</v>
      </c>
      <c r="I58" s="53">
        <f ca="1">IF($B41=2,SUMPRODUCT($B12:OFFSET($B13,-1,0),I59:OFFSET(I60,-1,0)),MAX(IF(I52&gt;0,I46+I48-I50+I56,0),0))</f>
        <v>98868500</v>
      </c>
      <c r="J58" s="53">
        <f ca="1">IF($B41=2,SUMPRODUCT($B12:OFFSET($B13,-1,0),J59:OFFSET(J60,-1,0)),MAX(IF(J52&gt;0,J46+J48-J50+J56,0),0))</f>
        <v>98868500</v>
      </c>
      <c r="K58" s="53">
        <f ca="1">IF($B41=2,SUMPRODUCT($B12:OFFSET($B13,-1,0),K59:OFFSET(K60,-1,0)),MAX(IF(K52&gt;0,K46+K48-K50+K56,0),0))</f>
        <v>98867333.333333328</v>
      </c>
    </row>
    <row r="59" spans="1:13" s="11" customFormat="1" hidden="1" outlineLevel="2" x14ac:dyDescent="0.2">
      <c r="A59" s="11" t="str">
        <f>"        " &amp; A12</f>
        <v xml:space="preserve">        Наименование проекта</v>
      </c>
      <c r="C59" s="199" t="str">
        <f t="shared" ca="1" si="2"/>
        <v>руб.</v>
      </c>
      <c r="D59" s="11" t="str">
        <f>"[" &amp; F12 &amp; "];int_sum"</f>
        <v>[Проект];int_sum</v>
      </c>
      <c r="F59" s="54">
        <f ca="1">IF(OR(F$33&lt;$B28,F$33&gt;$C28),0,OFFSET(Проект!F$188,0,1-$B28))</f>
        <v>15287500</v>
      </c>
      <c r="G59" s="54">
        <f ca="1">IF(OR(G$33&lt;$B28,G$33&gt;$C28),0,OFFSET(Проект!G$188,0,1-$B28))</f>
        <v>63127900</v>
      </c>
      <c r="H59" s="54">
        <f ca="1">IF(OR(H$33&lt;$B28,H$33&gt;$C28),0,OFFSET(Проект!H$188,0,1-$B28))</f>
        <v>98968300</v>
      </c>
      <c r="I59" s="54">
        <f ca="1">IF(OR(I$33&lt;$B28,I$33&gt;$C28),0,OFFSET(Проект!I$188,0,1-$B28))</f>
        <v>98868500</v>
      </c>
      <c r="J59" s="54">
        <f ca="1">IF(OR(J$33&lt;$B28,J$33&gt;$C28),0,OFFSET(Проект!J$188,0,1-$B28))</f>
        <v>98868500</v>
      </c>
      <c r="K59" s="54">
        <f ca="1">IF(OR(K$33&lt;$B28,K$33&gt;$C28),0,OFFSET(Проект!K$188,0,1-$B28))</f>
        <v>98867333.333333328</v>
      </c>
      <c r="M59" s="181"/>
    </row>
    <row r="60" spans="1:13" outlineLevel="1" x14ac:dyDescent="0.2">
      <c r="A60" s="181"/>
    </row>
    <row r="61" spans="1:13" outlineLevel="1" collapsed="1" x14ac:dyDescent="0.2">
      <c r="A61" s="35" t="str">
        <f ca="1">Language!A1001</f>
        <v>Начисленные налоги специальных режимов обложения</v>
      </c>
      <c r="C61" s="115" t="str">
        <f ca="1">CUR_Report</f>
        <v>руб.</v>
      </c>
      <c r="D61" s="205" t="s">
        <v>2210</v>
      </c>
      <c r="F61" s="58">
        <f ca="1">SUMPRODUCT($B12:OFFSET($B13,-1,0),F62:OFFSET(F63,-1,0))</f>
        <v>2160000</v>
      </c>
      <c r="G61" s="58">
        <f ca="1">SUMPRODUCT($B12:OFFSET($B13,-1,0),G62:OFFSET(G63,-1,0))</f>
        <v>5040000</v>
      </c>
      <c r="H61" s="58">
        <f ca="1">SUMPRODUCT($B12:OFFSET($B13,-1,0),H62:OFFSET(H63,-1,0))</f>
        <v>7200000</v>
      </c>
      <c r="I61" s="58">
        <f ca="1">SUMPRODUCT($B12:OFFSET($B13,-1,0),I62:OFFSET(I63,-1,0))</f>
        <v>7200000</v>
      </c>
      <c r="J61" s="58">
        <f ca="1">SUMPRODUCT($B12:OFFSET($B13,-1,0),J62:OFFSET(J63,-1,0))</f>
        <v>7200000</v>
      </c>
      <c r="K61" s="58">
        <f ca="1">SUMPRODUCT($B12:OFFSET($B13,-1,0),K62:OFFSET(K63,-1,0))</f>
        <v>7200000</v>
      </c>
      <c r="M61" s="57">
        <f ca="1">SUM(F61:K61)</f>
        <v>36000000</v>
      </c>
    </row>
    <row r="62" spans="1:13" s="11" customFormat="1" hidden="1" outlineLevel="2" x14ac:dyDescent="0.2">
      <c r="A62" s="11" t="str">
        <f>"        " &amp; A12</f>
        <v xml:space="preserve">        Наименование проекта</v>
      </c>
      <c r="C62" s="199" t="str">
        <f ca="1">CUR_Report</f>
        <v>руб.</v>
      </c>
      <c r="D62" s="11" t="str">
        <f>"[" &amp; F12 &amp; "];int_sum"</f>
        <v>[Проект];int_sum</v>
      </c>
      <c r="F62" s="54">
        <f ca="1">IF(OR(F$33&lt;$B28,F$33&gt;$C28),0,OFFSET(Проект!F$202,0,1-$B28)+OFFSET(Проект!F$216,0,1-$B28))</f>
        <v>2160000</v>
      </c>
      <c r="G62" s="54">
        <f ca="1">IF(OR(G$33&lt;$B28,G$33&gt;$C28),0,OFFSET(Проект!G$202,0,1-$B28)+OFFSET(Проект!G$216,0,1-$B28))</f>
        <v>5040000</v>
      </c>
      <c r="H62" s="54">
        <f ca="1">IF(OR(H$33&lt;$B28,H$33&gt;$C28),0,OFFSET(Проект!H$202,0,1-$B28)+OFFSET(Проект!H$216,0,1-$B28))</f>
        <v>7200000</v>
      </c>
      <c r="I62" s="54">
        <f ca="1">IF(OR(I$33&lt;$B28,I$33&gt;$C28),0,OFFSET(Проект!I$202,0,1-$B28)+OFFSET(Проект!I$216,0,1-$B28))</f>
        <v>7200000</v>
      </c>
      <c r="J62" s="54">
        <f ca="1">IF(OR(J$33&lt;$B28,J$33&gt;$C28),0,OFFSET(Проект!J$202,0,1-$B28)+OFFSET(Проект!J$216,0,1-$B28))</f>
        <v>7200000</v>
      </c>
      <c r="K62" s="54">
        <f ca="1">IF(OR(K$33&lt;$B28,K$33&gt;$C28),0,OFFSET(Проект!K$202,0,1-$B28)+OFFSET(Проект!K$216,0,1-$B28))</f>
        <v>7200000</v>
      </c>
      <c r="M62" s="203">
        <f ca="1">SUM(F62:K62)</f>
        <v>36000000</v>
      </c>
    </row>
    <row r="63" spans="1:13" outlineLevel="1" x14ac:dyDescent="0.2">
      <c r="A63" s="181"/>
    </row>
    <row r="64" spans="1:13" outlineLevel="1" x14ac:dyDescent="0.2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204"/>
    </row>
    <row r="65" spans="1:13" outlineLevel="1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206"/>
    </row>
    <row r="66" spans="1:13" s="4" customFormat="1" ht="15.9" customHeight="1" thickBot="1" x14ac:dyDescent="0.25">
      <c r="A66" s="166" t="str">
        <f ca="1">Language!A$968</f>
        <v xml:space="preserve">         СВОДНЫЙ ОТЧЕТ ОБ ИНВЕСТИЦИЯХ В ПРОЕКТ</v>
      </c>
      <c r="B66" s="166"/>
      <c r="C66" s="166"/>
      <c r="D66" s="166"/>
      <c r="E66" s="166"/>
      <c r="F66" s="178" t="str">
        <f>IF(Проект!ShowRealDates,F36,F34)</f>
        <v>4/ 2020</v>
      </c>
      <c r="G66" s="178" t="str">
        <f>IF(Проект!ShowRealDates,G36,G34)</f>
        <v>5/ 2020</v>
      </c>
      <c r="H66" s="178" t="str">
        <f>IF(Проект!ShowRealDates,H36,H34)</f>
        <v>6/ 2020</v>
      </c>
      <c r="I66" s="178" t="str">
        <f>IF(Проект!ShowRealDates,I36,I34)</f>
        <v>7/ 2020</v>
      </c>
      <c r="J66" s="178" t="str">
        <f>IF(Проект!ShowRealDates,J36,J34)</f>
        <v>8/ 2020</v>
      </c>
      <c r="K66" s="178" t="str">
        <f>IF(Проект!ShowRealDates,K36,K34)</f>
        <v>9/ 2020</v>
      </c>
      <c r="L66" s="166"/>
      <c r="M66" s="195" t="str">
        <f ca="1">Language!A$371</f>
        <v>ИТОГО</v>
      </c>
    </row>
    <row r="67" spans="1:13" ht="10.8" outlineLevel="1" thickTop="1" x14ac:dyDescent="0.2">
      <c r="M67" s="11"/>
    </row>
    <row r="68" spans="1:13" outlineLevel="1" collapsed="1" x14ac:dyDescent="0.2">
      <c r="A68" s="35" t="str">
        <f ca="1">Language!A$687</f>
        <v>Потребность в инвестициях</v>
      </c>
      <c r="C68" s="26" t="str">
        <f ca="1">CUR_Report</f>
        <v>руб.</v>
      </c>
      <c r="D68" s="205" t="s">
        <v>2210</v>
      </c>
      <c r="F68" s="58">
        <f ca="1">SUMPRODUCT($B12:OFFSET($B13,-1,0),F69:OFFSET(F70,-1,0))</f>
        <v>-1994583.333333333</v>
      </c>
      <c r="G68" s="58">
        <f ca="1">SUMPRODUCT($B12:OFFSET($B13,-1,0),G69:OFFSET(G70,-1,0))</f>
        <v>-8761560</v>
      </c>
      <c r="H68" s="58">
        <f ca="1">SUMPRODUCT($B12:OFFSET($B13,-1,0),H69:OFFSET(H70,-1,0))</f>
        <v>-6591560</v>
      </c>
      <c r="I68" s="58">
        <f ca="1">SUMPRODUCT($B12:OFFSET($B13,-1,0),I69:OFFSET(I70,-1,0))</f>
        <v>669220</v>
      </c>
      <c r="J68" s="58">
        <f ca="1">SUMPRODUCT($B12:OFFSET($B13,-1,0),J69:OFFSET(J70,-1,0))</f>
        <v>50000</v>
      </c>
      <c r="K68" s="58">
        <f ca="1">SUMPRODUCT($B12:OFFSET($B13,-1,0),K69:OFFSET(K70,-1,0))</f>
        <v>50000</v>
      </c>
      <c r="M68" s="57">
        <f ca="1">SUM(F68:K68)</f>
        <v>-16578483.333333332</v>
      </c>
    </row>
    <row r="69" spans="1:13" s="11" customFormat="1" hidden="1" outlineLevel="2" x14ac:dyDescent="0.2">
      <c r="A69" s="11" t="str">
        <f>"        " &amp; A12</f>
        <v xml:space="preserve">        Наименование проекта</v>
      </c>
      <c r="C69" s="199" t="str">
        <f ca="1">CUR_Report</f>
        <v>руб.</v>
      </c>
      <c r="D69" s="11" t="str">
        <f>"[" &amp; F12 &amp; "];int_sum"</f>
        <v>[Проект];int_sum</v>
      </c>
      <c r="F69" s="54">
        <f ca="1">IF(OR(F$33&lt;$B28,F$33&gt;$C28),0,OFFSET(Проект!F$1097,0,1-$B28))</f>
        <v>-1994583.333333333</v>
      </c>
      <c r="G69" s="54">
        <f ca="1">IF(OR(G$33&lt;$B28,G$33&gt;$C28),0,OFFSET(Проект!G$1097,0,1-$B28))</f>
        <v>-8761560</v>
      </c>
      <c r="H69" s="54">
        <f ca="1">IF(OR(H$33&lt;$B28,H$33&gt;$C28),0,OFFSET(Проект!H$1097,0,1-$B28))</f>
        <v>-6591560</v>
      </c>
      <c r="I69" s="54">
        <f ca="1">IF(OR(I$33&lt;$B28,I$33&gt;$C28),0,OFFSET(Проект!I$1097,0,1-$B28))</f>
        <v>669220</v>
      </c>
      <c r="J69" s="54">
        <f ca="1">IF(OR(J$33&lt;$B28,J$33&gt;$C28),0,OFFSET(Проект!J$1097,0,1-$B28))</f>
        <v>50000</v>
      </c>
      <c r="K69" s="54">
        <f ca="1">IF(OR(K$33&lt;$B28,K$33&gt;$C28),0,OFFSET(Проект!K$1097,0,1-$B28))</f>
        <v>50000</v>
      </c>
      <c r="M69" s="54">
        <f ca="1">SUM(F69:K69)</f>
        <v>-16578483.333333332</v>
      </c>
    </row>
    <row r="70" spans="1:13" outlineLevel="1" x14ac:dyDescent="0.2">
      <c r="M70" s="11"/>
    </row>
    <row r="71" spans="1:13" outlineLevel="1" collapsed="1" x14ac:dyDescent="0.2">
      <c r="A71" t="str">
        <f ca="1">Language!A$691</f>
        <v>Инвестиции в здания и сооружения</v>
      </c>
      <c r="C71" s="26" t="str">
        <f t="shared" ref="C71:C84" ca="1" si="4">CUR_Report</f>
        <v>руб.</v>
      </c>
      <c r="D71" s="205" t="s">
        <v>2210</v>
      </c>
      <c r="F71" s="43">
        <f ca="1">SUMPRODUCT($B12:OFFSET($B13,-1,0),F72:OFFSET(F73,-1,0))</f>
        <v>40000</v>
      </c>
      <c r="G71" s="43">
        <f ca="1">SUMPRODUCT($B12:OFFSET($B13,-1,0),G72:OFFSET(G73,-1,0))</f>
        <v>40000</v>
      </c>
      <c r="H71" s="43">
        <f ca="1">SUMPRODUCT($B12:OFFSET($B13,-1,0),H72:OFFSET(H73,-1,0))</f>
        <v>50000</v>
      </c>
      <c r="I71" s="43">
        <f ca="1">SUMPRODUCT($B12:OFFSET($B13,-1,0),I72:OFFSET(I73,-1,0))</f>
        <v>50000</v>
      </c>
      <c r="J71" s="43">
        <f ca="1">SUMPRODUCT($B12:OFFSET($B13,-1,0),J72:OFFSET(J73,-1,0))</f>
        <v>50000</v>
      </c>
      <c r="K71" s="43">
        <f ca="1">SUMPRODUCT($B12:OFFSET($B13,-1,0),K72:OFFSET(K73,-1,0))</f>
        <v>50000</v>
      </c>
      <c r="M71" s="54">
        <f t="shared" ref="M71:M84" ca="1" si="5">SUM(F71:K71)</f>
        <v>280000</v>
      </c>
    </row>
    <row r="72" spans="1:13" s="11" customFormat="1" hidden="1" outlineLevel="2" x14ac:dyDescent="0.2">
      <c r="A72" s="11" t="str">
        <f>"        " &amp; A12</f>
        <v xml:space="preserve">        Наименование проекта</v>
      </c>
      <c r="C72" s="199" t="str">
        <f t="shared" ca="1" si="4"/>
        <v>руб.</v>
      </c>
      <c r="D72" s="11" t="str">
        <f>"[" &amp; F12 &amp; "];int_sum"</f>
        <v>[Проект];int_sum</v>
      </c>
      <c r="F72" s="54">
        <f ca="1">IF(OR(F$33&lt;$B28,F$33&gt;$C28),0,OFFSET(Проект!F$1099,0,1-$B28))</f>
        <v>40000</v>
      </c>
      <c r="G72" s="54">
        <f ca="1">IF(OR(G$33&lt;$B28,G$33&gt;$C28),0,OFFSET(Проект!G$1099,0,1-$B28))</f>
        <v>40000</v>
      </c>
      <c r="H72" s="54">
        <f ca="1">IF(OR(H$33&lt;$B28,H$33&gt;$C28),0,OFFSET(Проект!H$1099,0,1-$B28))</f>
        <v>50000</v>
      </c>
      <c r="I72" s="54">
        <f ca="1">IF(OR(I$33&lt;$B28,I$33&gt;$C28),0,OFFSET(Проект!I$1099,0,1-$B28))</f>
        <v>50000</v>
      </c>
      <c r="J72" s="54">
        <f ca="1">IF(OR(J$33&lt;$B28,J$33&gt;$C28),0,OFFSET(Проект!J$1099,0,1-$B28))</f>
        <v>50000</v>
      </c>
      <c r="K72" s="54">
        <f ca="1">IF(OR(K$33&lt;$B28,K$33&gt;$C28),0,OFFSET(Проект!K$1099,0,1-$B28))</f>
        <v>50000</v>
      </c>
      <c r="M72" s="54">
        <f t="shared" ca="1" si="5"/>
        <v>280000</v>
      </c>
    </row>
    <row r="73" spans="1:13" ht="12" customHeight="1" outlineLevel="1" collapsed="1" x14ac:dyDescent="0.2">
      <c r="A73" t="str">
        <f ca="1">Language!A$688</f>
        <v>Инвестиции в земельные участки</v>
      </c>
      <c r="C73" s="26" t="str">
        <f t="shared" ca="1" si="4"/>
        <v>руб.</v>
      </c>
      <c r="D73" s="205" t="s">
        <v>2210</v>
      </c>
      <c r="F73" s="43">
        <f ca="1">SUMPRODUCT($B12:OFFSET($B13,-1,0),F74:OFFSET(F75,-1,0))</f>
        <v>0</v>
      </c>
      <c r="G73" s="43">
        <f ca="1">SUMPRODUCT($B12:OFFSET($B13,-1,0),G74:OFFSET(G75,-1,0))</f>
        <v>0</v>
      </c>
      <c r="H73" s="43">
        <f ca="1">SUMPRODUCT($B12:OFFSET($B13,-1,0),H74:OFFSET(H75,-1,0))</f>
        <v>0</v>
      </c>
      <c r="I73" s="43">
        <f ca="1">SUMPRODUCT($B12:OFFSET($B13,-1,0),I74:OFFSET(I75,-1,0))</f>
        <v>0</v>
      </c>
      <c r="J73" s="43">
        <f ca="1">SUMPRODUCT($B12:OFFSET($B13,-1,0),J74:OFFSET(J75,-1,0))</f>
        <v>0</v>
      </c>
      <c r="K73" s="43">
        <f ca="1">SUMPRODUCT($B12:OFFSET($B13,-1,0),K74:OFFSET(K75,-1,0))</f>
        <v>0</v>
      </c>
      <c r="M73" s="54">
        <f t="shared" ca="1" si="5"/>
        <v>0</v>
      </c>
    </row>
    <row r="74" spans="1:13" s="11" customFormat="1" ht="12" hidden="1" customHeight="1" outlineLevel="2" x14ac:dyDescent="0.2">
      <c r="A74" s="11" t="str">
        <f>"        " &amp; A12</f>
        <v xml:space="preserve">        Наименование проекта</v>
      </c>
      <c r="C74" s="199" t="str">
        <f t="shared" ca="1" si="4"/>
        <v>руб.</v>
      </c>
      <c r="D74" s="11" t="str">
        <f>"[" &amp; F12 &amp; "];int_sum"</f>
        <v>[Проект];int_sum</v>
      </c>
      <c r="F74" s="54">
        <f ca="1">IF(OR(F$33&lt;$B28,F$33&gt;$C28),0,OFFSET(Проект!F$1100,0,1-$B28))</f>
        <v>0</v>
      </c>
      <c r="G74" s="54">
        <f ca="1">IF(OR(G$33&lt;$B28,G$33&gt;$C28),0,OFFSET(Проект!G$1100,0,1-$B28))</f>
        <v>0</v>
      </c>
      <c r="H74" s="54">
        <f ca="1">IF(OR(H$33&lt;$B28,H$33&gt;$C28),0,OFFSET(Проект!H$1100,0,1-$B28))</f>
        <v>0</v>
      </c>
      <c r="I74" s="54">
        <f ca="1">IF(OR(I$33&lt;$B28,I$33&gt;$C28),0,OFFSET(Проект!I$1100,0,1-$B28))</f>
        <v>0</v>
      </c>
      <c r="J74" s="54">
        <f ca="1">IF(OR(J$33&lt;$B28,J$33&gt;$C28),0,OFFSET(Проект!J$1100,0,1-$B28))</f>
        <v>0</v>
      </c>
      <c r="K74" s="54">
        <f ca="1">IF(OR(K$33&lt;$B28,K$33&gt;$C28),0,OFFSET(Проект!K$1100,0,1-$B28))</f>
        <v>0</v>
      </c>
      <c r="M74" s="54">
        <f t="shared" ca="1" si="5"/>
        <v>0</v>
      </c>
    </row>
    <row r="75" spans="1:13" ht="12" customHeight="1" outlineLevel="1" collapsed="1" x14ac:dyDescent="0.2">
      <c r="A75" t="str">
        <f ca="1">Language!A$689</f>
        <v>Инвестиции в нематериальные активы</v>
      </c>
      <c r="C75" s="26" t="str">
        <f t="shared" ca="1" si="4"/>
        <v>руб.</v>
      </c>
      <c r="D75" s="205" t="s">
        <v>2210</v>
      </c>
      <c r="F75" s="43">
        <f ca="1">SUMPRODUCT($B12:OFFSET($B13,-1,0),F76:OFFSET(F77,-1,0))</f>
        <v>0</v>
      </c>
      <c r="G75" s="43">
        <f ca="1">SUMPRODUCT($B12:OFFSET($B13,-1,0),G76:OFFSET(G77,-1,0))</f>
        <v>0</v>
      </c>
      <c r="H75" s="43">
        <f ca="1">SUMPRODUCT($B12:OFFSET($B13,-1,0),H76:OFFSET(H77,-1,0))</f>
        <v>0</v>
      </c>
      <c r="I75" s="43">
        <f ca="1">SUMPRODUCT($B12:OFFSET($B13,-1,0),I76:OFFSET(I77,-1,0))</f>
        <v>0</v>
      </c>
      <c r="J75" s="43">
        <f ca="1">SUMPRODUCT($B12:OFFSET($B13,-1,0),J76:OFFSET(J77,-1,0))</f>
        <v>0</v>
      </c>
      <c r="K75" s="43">
        <f ca="1">SUMPRODUCT($B12:OFFSET($B13,-1,0),K76:OFFSET(K77,-1,0))</f>
        <v>0</v>
      </c>
      <c r="M75" s="54">
        <f t="shared" ca="1" si="5"/>
        <v>0</v>
      </c>
    </row>
    <row r="76" spans="1:13" s="11" customFormat="1" ht="12" hidden="1" customHeight="1" outlineLevel="2" x14ac:dyDescent="0.2">
      <c r="A76" s="11" t="str">
        <f>"        " &amp; A12</f>
        <v xml:space="preserve">        Наименование проекта</v>
      </c>
      <c r="C76" s="199" t="str">
        <f t="shared" ca="1" si="4"/>
        <v>руб.</v>
      </c>
      <c r="D76" s="11" t="str">
        <f>"[" &amp; F12 &amp; "];int_sum"</f>
        <v>[Проект];int_sum</v>
      </c>
      <c r="F76" s="54">
        <f ca="1">IF(OR(F$33&lt;$B28,F$33&gt;$C28),0,OFFSET(Проект!F$1101,0,1-$B28))</f>
        <v>0</v>
      </c>
      <c r="G76" s="54">
        <f ca="1">IF(OR(G$33&lt;$B28,G$33&gt;$C28),0,OFFSET(Проект!G$1101,0,1-$B28))</f>
        <v>0</v>
      </c>
      <c r="H76" s="54">
        <f ca="1">IF(OR(H$33&lt;$B28,H$33&gt;$C28),0,OFFSET(Проект!H$1101,0,1-$B28))</f>
        <v>0</v>
      </c>
      <c r="I76" s="54">
        <f ca="1">IF(OR(I$33&lt;$B28,I$33&gt;$C28),0,OFFSET(Проект!I$1101,0,1-$B28))</f>
        <v>0</v>
      </c>
      <c r="J76" s="54">
        <f ca="1">IF(OR(J$33&lt;$B28,J$33&gt;$C28),0,OFFSET(Проект!J$1101,0,1-$B28))</f>
        <v>0</v>
      </c>
      <c r="K76" s="54">
        <f ca="1">IF(OR(K$33&lt;$B28,K$33&gt;$C28),0,OFFSET(Проект!K$1101,0,1-$B28))</f>
        <v>0</v>
      </c>
      <c r="M76" s="54">
        <f t="shared" ca="1" si="5"/>
        <v>0</v>
      </c>
    </row>
    <row r="77" spans="1:13" outlineLevel="1" collapsed="1" x14ac:dyDescent="0.2">
      <c r="A77" t="str">
        <f ca="1">Language!A$690</f>
        <v>Инвестиции в финансовые активы</v>
      </c>
      <c r="C77" s="26" t="str">
        <f t="shared" ca="1" si="4"/>
        <v>руб.</v>
      </c>
      <c r="D77" s="205" t="s">
        <v>2210</v>
      </c>
      <c r="F77" s="43">
        <f ca="1">SUMPRODUCT($B12:OFFSET($B13,-1,0),F78:OFFSET(F79,-1,0))</f>
        <v>0</v>
      </c>
      <c r="G77" s="43">
        <f ca="1">SUMPRODUCT($B12:OFFSET($B13,-1,0),G78:OFFSET(G79,-1,0))</f>
        <v>0</v>
      </c>
      <c r="H77" s="43">
        <f ca="1">SUMPRODUCT($B12:OFFSET($B13,-1,0),H78:OFFSET(H79,-1,0))</f>
        <v>0</v>
      </c>
      <c r="I77" s="43">
        <f ca="1">SUMPRODUCT($B12:OFFSET($B13,-1,0),I78:OFFSET(I79,-1,0))</f>
        <v>0</v>
      </c>
      <c r="J77" s="43">
        <f ca="1">SUMPRODUCT($B12:OFFSET($B13,-1,0),J78:OFFSET(J79,-1,0))</f>
        <v>0</v>
      </c>
      <c r="K77" s="43">
        <f ca="1">SUMPRODUCT($B12:OFFSET($B13,-1,0),K78:OFFSET(K79,-1,0))</f>
        <v>0</v>
      </c>
      <c r="M77" s="54">
        <f t="shared" ca="1" si="5"/>
        <v>0</v>
      </c>
    </row>
    <row r="78" spans="1:13" s="11" customFormat="1" hidden="1" outlineLevel="2" x14ac:dyDescent="0.2">
      <c r="A78" s="11" t="str">
        <f>"        " &amp; A12</f>
        <v xml:space="preserve">        Наименование проекта</v>
      </c>
      <c r="C78" s="199" t="str">
        <f t="shared" ca="1" si="4"/>
        <v>руб.</v>
      </c>
      <c r="D78" s="11" t="str">
        <f>"[" &amp; F12 &amp; "];int_sum"</f>
        <v>[Проект];int_sum</v>
      </c>
      <c r="F78" s="54">
        <f ca="1">IF(OR(F$33&lt;$B28,F$33&gt;$C28),0,OFFSET(Проект!F$1102,0,1-$B28))</f>
        <v>0</v>
      </c>
      <c r="G78" s="54">
        <f ca="1">IF(OR(G$33&lt;$B28,G$33&gt;$C28),0,OFFSET(Проект!G$1102,0,1-$B28))</f>
        <v>0</v>
      </c>
      <c r="H78" s="54">
        <f ca="1">IF(OR(H$33&lt;$B28,H$33&gt;$C28),0,OFFSET(Проект!H$1102,0,1-$B28))</f>
        <v>0</v>
      </c>
      <c r="I78" s="54">
        <f ca="1">IF(OR(I$33&lt;$B28,I$33&gt;$C28),0,OFFSET(Проект!I$1102,0,1-$B28))</f>
        <v>0</v>
      </c>
      <c r="J78" s="54">
        <f ca="1">IF(OR(J$33&lt;$B28,J$33&gt;$C28),0,OFFSET(Проект!J$1102,0,1-$B28))</f>
        <v>0</v>
      </c>
      <c r="K78" s="54">
        <f ca="1">IF(OR(K$33&lt;$B28,K$33&gt;$C28),0,OFFSET(Проект!K$1102,0,1-$B28))</f>
        <v>0</v>
      </c>
      <c r="M78" s="54">
        <f t="shared" ca="1" si="5"/>
        <v>0</v>
      </c>
    </row>
    <row r="79" spans="1:13" outlineLevel="1" collapsed="1" x14ac:dyDescent="0.2">
      <c r="A79" t="str">
        <f ca="1">Language!A$692</f>
        <v>Инвестиции в оборудование и прочие активы</v>
      </c>
      <c r="C79" s="26" t="str">
        <f t="shared" ca="1" si="4"/>
        <v>руб.</v>
      </c>
      <c r="D79" s="205" t="s">
        <v>2210</v>
      </c>
      <c r="F79" s="43">
        <f ca="1">SUMPRODUCT($B12:OFFSET($B13,-1,0),F80:OFFSET(F81,-1,0))</f>
        <v>500000</v>
      </c>
      <c r="G79" s="43">
        <f ca="1">SUMPRODUCT($B12:OFFSET($B13,-1,0),G80:OFFSET(G81,-1,0))</f>
        <v>0</v>
      </c>
      <c r="H79" s="43">
        <f ca="1">SUMPRODUCT($B12:OFFSET($B13,-1,0),H80:OFFSET(H81,-1,0))</f>
        <v>0</v>
      </c>
      <c r="I79" s="43">
        <f ca="1">SUMPRODUCT($B12:OFFSET($B13,-1,0),I80:OFFSET(I81,-1,0))</f>
        <v>700000</v>
      </c>
      <c r="J79" s="43">
        <f ca="1">SUMPRODUCT($B12:OFFSET($B13,-1,0),J80:OFFSET(J81,-1,0))</f>
        <v>0</v>
      </c>
      <c r="K79" s="43">
        <f ca="1">SUMPRODUCT($B12:OFFSET($B13,-1,0),K80:OFFSET(K81,-1,0))</f>
        <v>0</v>
      </c>
      <c r="M79" s="54">
        <f t="shared" ca="1" si="5"/>
        <v>1200000</v>
      </c>
    </row>
    <row r="80" spans="1:13" s="11" customFormat="1" hidden="1" outlineLevel="2" x14ac:dyDescent="0.2">
      <c r="A80" s="11" t="str">
        <f>"        " &amp; A12</f>
        <v xml:space="preserve">        Наименование проекта</v>
      </c>
      <c r="C80" s="199" t="str">
        <f t="shared" ca="1" si="4"/>
        <v>руб.</v>
      </c>
      <c r="D80" s="11" t="str">
        <f>"[" &amp; F12 &amp; "];int_sum"</f>
        <v>[Проект];int_sum</v>
      </c>
      <c r="F80" s="54">
        <f ca="1">IF(OR(F$33&lt;$B28,F$33&gt;$C28),0,OFFSET(Проект!F$1103,0,1-$B28))</f>
        <v>500000</v>
      </c>
      <c r="G80" s="54">
        <f ca="1">IF(OR(G$33&lt;$B28,G$33&gt;$C28),0,OFFSET(Проект!G$1103,0,1-$B28))</f>
        <v>0</v>
      </c>
      <c r="H80" s="54">
        <f ca="1">IF(OR(H$33&lt;$B28,H$33&gt;$C28),0,OFFSET(Проект!H$1103,0,1-$B28))</f>
        <v>0</v>
      </c>
      <c r="I80" s="54">
        <f ca="1">IF(OR(I$33&lt;$B28,I$33&gt;$C28),0,OFFSET(Проект!I$1103,0,1-$B28))</f>
        <v>700000</v>
      </c>
      <c r="J80" s="54">
        <f ca="1">IF(OR(J$33&lt;$B28,J$33&gt;$C28),0,OFFSET(Проект!J$1103,0,1-$B28))</f>
        <v>0</v>
      </c>
      <c r="K80" s="54">
        <f ca="1">IF(OR(K$33&lt;$B28,K$33&gt;$C28),0,OFFSET(Проект!K$1103,0,1-$B28))</f>
        <v>0</v>
      </c>
      <c r="M80" s="54">
        <f t="shared" ca="1" si="5"/>
        <v>1200000</v>
      </c>
    </row>
    <row r="81" spans="1:13" outlineLevel="1" collapsed="1" x14ac:dyDescent="0.2">
      <c r="A81" t="str">
        <f ca="1">Language!A$694</f>
        <v>Оплата расходов будущих периодов</v>
      </c>
      <c r="C81" s="26" t="str">
        <f t="shared" ca="1" si="4"/>
        <v>руб.</v>
      </c>
      <c r="D81" s="205" t="s">
        <v>2210</v>
      </c>
      <c r="F81" s="43">
        <f ca="1">SUMPRODUCT($B12:OFFSET($B13,-1,0),F82:OFFSET(F83,-1,0))</f>
        <v>0</v>
      </c>
      <c r="G81" s="43">
        <f ca="1">SUMPRODUCT($B12:OFFSET($B13,-1,0),G82:OFFSET(G83,-1,0))</f>
        <v>0</v>
      </c>
      <c r="H81" s="43">
        <f ca="1">SUMPRODUCT($B12:OFFSET($B13,-1,0),H82:OFFSET(H83,-1,0))</f>
        <v>0</v>
      </c>
      <c r="I81" s="43">
        <f ca="1">SUMPRODUCT($B12:OFFSET($B13,-1,0),I82:OFFSET(I83,-1,0))</f>
        <v>0</v>
      </c>
      <c r="J81" s="43">
        <f ca="1">SUMPRODUCT($B12:OFFSET($B13,-1,0),J82:OFFSET(J83,-1,0))</f>
        <v>0</v>
      </c>
      <c r="K81" s="43">
        <f ca="1">SUMPRODUCT($B12:OFFSET($B13,-1,0),K82:OFFSET(K83,-1,0))</f>
        <v>0</v>
      </c>
      <c r="M81" s="54">
        <f t="shared" ca="1" si="5"/>
        <v>0</v>
      </c>
    </row>
    <row r="82" spans="1:13" s="11" customFormat="1" hidden="1" outlineLevel="2" x14ac:dyDescent="0.2">
      <c r="A82" s="11" t="str">
        <f>"        " &amp; A12</f>
        <v xml:space="preserve">        Наименование проекта</v>
      </c>
      <c r="C82" s="199" t="str">
        <f t="shared" ca="1" si="4"/>
        <v>руб.</v>
      </c>
      <c r="D82" s="11" t="str">
        <f>"[" &amp; F12 &amp; "];int_sum"</f>
        <v>[Проект];int_sum</v>
      </c>
      <c r="F82" s="54">
        <f ca="1">IF(OR(F$33&lt;$B28,F$33&gt;$C28),0,OFFSET(Проект!F$1104,0,1-$B28))</f>
        <v>0</v>
      </c>
      <c r="G82" s="54">
        <f ca="1">IF(OR(G$33&lt;$B28,G$33&gt;$C28),0,OFFSET(Проект!G$1104,0,1-$B28))</f>
        <v>0</v>
      </c>
      <c r="H82" s="54">
        <f ca="1">IF(OR(H$33&lt;$B28,H$33&gt;$C28),0,OFFSET(Проект!H$1104,0,1-$B28))</f>
        <v>0</v>
      </c>
      <c r="I82" s="54">
        <f ca="1">IF(OR(I$33&lt;$B28,I$33&gt;$C28),0,OFFSET(Проект!I$1104,0,1-$B28))</f>
        <v>0</v>
      </c>
      <c r="J82" s="54">
        <f ca="1">IF(OR(J$33&lt;$B28,J$33&gt;$C28),0,OFFSET(Проект!J$1104,0,1-$B28))</f>
        <v>0</v>
      </c>
      <c r="K82" s="54">
        <f ca="1">IF(OR(K$33&lt;$B28,K$33&gt;$C28),0,OFFSET(Проект!K$1104,0,1-$B28))</f>
        <v>0</v>
      </c>
      <c r="M82" s="54">
        <f t="shared" ca="1" si="5"/>
        <v>0</v>
      </c>
    </row>
    <row r="83" spans="1:13" outlineLevel="1" collapsed="1" x14ac:dyDescent="0.2">
      <c r="A83" t="str">
        <f ca="1">Language!A$695</f>
        <v>Прирост чистого оборотного капитала</v>
      </c>
      <c r="C83" s="26" t="str">
        <f t="shared" ca="1" si="4"/>
        <v>руб.</v>
      </c>
      <c r="D83" s="205" t="s">
        <v>2210</v>
      </c>
      <c r="F83" s="43">
        <f ca="1">SUMPRODUCT($B12:OFFSET($B13,-1,0),F84:OFFSET(F85,-1,0))</f>
        <v>-2534583.333333333</v>
      </c>
      <c r="G83" s="43">
        <f ca="1">SUMPRODUCT($B12:OFFSET($B13,-1,0),G84:OFFSET(G85,-1,0))</f>
        <v>-8801560</v>
      </c>
      <c r="H83" s="43">
        <f ca="1">SUMPRODUCT($B12:OFFSET($B13,-1,0),H84:OFFSET(H85,-1,0))</f>
        <v>-6641560</v>
      </c>
      <c r="I83" s="43">
        <f ca="1">SUMPRODUCT($B12:OFFSET($B13,-1,0),I84:OFFSET(I85,-1,0))</f>
        <v>-80780</v>
      </c>
      <c r="J83" s="43">
        <f ca="1">SUMPRODUCT($B12:OFFSET($B13,-1,0),J84:OFFSET(J85,-1,0))</f>
        <v>0</v>
      </c>
      <c r="K83" s="43">
        <f ca="1">SUMPRODUCT($B12:OFFSET($B13,-1,0),K84:OFFSET(K85,-1,0))</f>
        <v>0</v>
      </c>
      <c r="M83" s="54">
        <f t="shared" ca="1" si="5"/>
        <v>-18058483.333333332</v>
      </c>
    </row>
    <row r="84" spans="1:13" s="11" customFormat="1" hidden="1" outlineLevel="2" x14ac:dyDescent="0.2">
      <c r="A84" s="11" t="str">
        <f>"        " &amp; A12</f>
        <v xml:space="preserve">        Наименование проекта</v>
      </c>
      <c r="C84" s="199" t="str">
        <f t="shared" ca="1" si="4"/>
        <v>руб.</v>
      </c>
      <c r="D84" s="11" t="str">
        <f>"[" &amp; F12 &amp; "];int_sum"</f>
        <v>[Проект];int_sum</v>
      </c>
      <c r="F84" s="54">
        <f ca="1">IF(OR(F$33&lt;$B28,F$33&gt;$C28),0,OFFSET(Проект!F$1105,0,1-$B28))</f>
        <v>-2534583.333333333</v>
      </c>
      <c r="G84" s="54">
        <f ca="1">IF(OR(G$33&lt;$B28,G$33&gt;$C28),0,OFFSET(Проект!G$1105,0,1-$B28))</f>
        <v>-8801560</v>
      </c>
      <c r="H84" s="54">
        <f ca="1">IF(OR(H$33&lt;$B28,H$33&gt;$C28),0,OFFSET(Проект!H$1105,0,1-$B28))</f>
        <v>-6641560</v>
      </c>
      <c r="I84" s="54">
        <f ca="1">IF(OR(I$33&lt;$B28,I$33&gt;$C28),0,OFFSET(Проект!I$1105,0,1-$B28))</f>
        <v>-80780</v>
      </c>
      <c r="J84" s="54">
        <f ca="1">IF(OR(J$33&lt;$B28,J$33&gt;$C28),0,OFFSET(Проект!J$1105,0,1-$B28))</f>
        <v>0</v>
      </c>
      <c r="K84" s="54">
        <f ca="1">IF(OR(K$33&lt;$B28,K$33&gt;$C28),0,OFFSET(Проект!K$1105,0,1-$B28))</f>
        <v>0</v>
      </c>
      <c r="M84" s="54">
        <f t="shared" ca="1" si="5"/>
        <v>-18058483.333333332</v>
      </c>
    </row>
    <row r="85" spans="1:13" outlineLevel="1" x14ac:dyDescent="0.2">
      <c r="M85" s="11"/>
    </row>
    <row r="86" spans="1:13" outlineLevel="1" collapsed="1" x14ac:dyDescent="0.2">
      <c r="A86" s="35" t="str">
        <f ca="1">Language!A$696</f>
        <v>Привлечение финансирования</v>
      </c>
      <c r="C86" s="26" t="str">
        <f ca="1">CUR_Report</f>
        <v>руб.</v>
      </c>
      <c r="D86" s="205" t="s">
        <v>2210</v>
      </c>
      <c r="F86" s="58">
        <f ca="1">SUMPRODUCT($B12:OFFSET($B13,-1,0),F87:OFFSET(F88,-1,0))</f>
        <v>0</v>
      </c>
      <c r="G86" s="58">
        <f ca="1">SUMPRODUCT($B12:OFFSET($B13,-1,0),G87:OFFSET(G88,-1,0))</f>
        <v>0</v>
      </c>
      <c r="H86" s="58">
        <f ca="1">SUMPRODUCT($B12:OFFSET($B13,-1,0),H87:OFFSET(H88,-1,0))</f>
        <v>0</v>
      </c>
      <c r="I86" s="58">
        <f ca="1">SUMPRODUCT($B12:OFFSET($B13,-1,0),I87:OFFSET(I88,-1,0))</f>
        <v>0</v>
      </c>
      <c r="J86" s="58">
        <f ca="1">SUMPRODUCT($B12:OFFSET($B13,-1,0),J87:OFFSET(J88,-1,0))</f>
        <v>0</v>
      </c>
      <c r="K86" s="58">
        <f ca="1">SUMPRODUCT($B12:OFFSET($B13,-1,0),K87:OFFSET(K88,-1,0))</f>
        <v>0</v>
      </c>
      <c r="M86" s="57">
        <f ca="1">SUM(F86:K86)</f>
        <v>0</v>
      </c>
    </row>
    <row r="87" spans="1:13" s="11" customFormat="1" hidden="1" outlineLevel="2" x14ac:dyDescent="0.2">
      <c r="A87" s="11" t="str">
        <f>"        " &amp; A12</f>
        <v xml:space="preserve">        Наименование проекта</v>
      </c>
      <c r="C87" s="199" t="str">
        <f ca="1">CUR_Report</f>
        <v>руб.</v>
      </c>
      <c r="D87" s="11" t="str">
        <f>"[" &amp; F12 &amp; "];int_sum"</f>
        <v>[Проект];int_sum</v>
      </c>
      <c r="F87" s="54">
        <f ca="1">IF(OR(F$33&lt;$B28,F$33&gt;$C28),0,OFFSET(Проект!F$1107,0,1-$B28))</f>
        <v>0</v>
      </c>
      <c r="G87" s="54">
        <f ca="1">IF(OR(G$33&lt;$B28,G$33&gt;$C28),0,OFFSET(Проект!G$1107,0,1-$B28))</f>
        <v>0</v>
      </c>
      <c r="H87" s="54">
        <f ca="1">IF(OR(H$33&lt;$B28,H$33&gt;$C28),0,OFFSET(Проект!H$1107,0,1-$B28))</f>
        <v>0</v>
      </c>
      <c r="I87" s="54">
        <f ca="1">IF(OR(I$33&lt;$B28,I$33&gt;$C28),0,OFFSET(Проект!I$1107,0,1-$B28))</f>
        <v>0</v>
      </c>
      <c r="J87" s="54">
        <f ca="1">IF(OR(J$33&lt;$B28,J$33&gt;$C28),0,OFFSET(Проект!J$1107,0,1-$B28))</f>
        <v>0</v>
      </c>
      <c r="K87" s="54">
        <f ca="1">IF(OR(K$33&lt;$B28,K$33&gt;$C28),0,OFFSET(Проект!K$1107,0,1-$B28))</f>
        <v>0</v>
      </c>
      <c r="M87" s="54">
        <f ca="1">SUM(F87:K87)</f>
        <v>0</v>
      </c>
    </row>
    <row r="88" spans="1:13" outlineLevel="1" x14ac:dyDescent="0.2">
      <c r="M88" s="11"/>
    </row>
    <row r="89" spans="1:13" outlineLevel="1" collapsed="1" x14ac:dyDescent="0.2">
      <c r="A89" t="str">
        <f ca="1">Language!A$641</f>
        <v>Средства собственников</v>
      </c>
      <c r="C89" s="26" t="str">
        <f t="shared" ref="C89:C98" ca="1" si="6">CUR_Report</f>
        <v>руб.</v>
      </c>
      <c r="D89" s="205" t="s">
        <v>2210</v>
      </c>
      <c r="F89" s="43">
        <f ca="1">SUMPRODUCT($B12:OFFSET($B13,-1,0),F90:OFFSET(F91,-1,0))</f>
        <v>0</v>
      </c>
      <c r="G89" s="43">
        <f ca="1">SUMPRODUCT($B12:OFFSET($B13,-1,0),G90:OFFSET(G91,-1,0))</f>
        <v>0</v>
      </c>
      <c r="H89" s="43">
        <f ca="1">SUMPRODUCT($B12:OFFSET($B13,-1,0),H90:OFFSET(H91,-1,0))</f>
        <v>0</v>
      </c>
      <c r="I89" s="43">
        <f ca="1">SUMPRODUCT($B12:OFFSET($B13,-1,0),I90:OFFSET(I91,-1,0))</f>
        <v>0</v>
      </c>
      <c r="J89" s="43">
        <f ca="1">SUMPRODUCT($B12:OFFSET($B13,-1,0),J90:OFFSET(J91,-1,0))</f>
        <v>0</v>
      </c>
      <c r="K89" s="43">
        <f ca="1">SUMPRODUCT($B12:OFFSET($B13,-1,0),K90:OFFSET(K91,-1,0))</f>
        <v>0</v>
      </c>
      <c r="M89" s="54">
        <f t="shared" ref="M89:M98" ca="1" si="7">SUM(F89:K89)</f>
        <v>0</v>
      </c>
    </row>
    <row r="90" spans="1:13" s="11" customFormat="1" hidden="1" outlineLevel="2" x14ac:dyDescent="0.2">
      <c r="A90" s="11" t="str">
        <f>"        " &amp; A12</f>
        <v xml:space="preserve">        Наименование проекта</v>
      </c>
      <c r="C90" s="199" t="str">
        <f t="shared" ca="1" si="6"/>
        <v>руб.</v>
      </c>
      <c r="D90" s="11" t="str">
        <f>"[" &amp; F12 &amp; "];int_sum"</f>
        <v>[Проект];int_sum</v>
      </c>
      <c r="F90" s="54">
        <f ca="1">IF(OR(F$33&lt;$B28,F$33&gt;$C28),0,OFFSET(Проект!F$1109,0,1-$B28))</f>
        <v>0</v>
      </c>
      <c r="G90" s="54">
        <f ca="1">IF(OR(G$33&lt;$B28,G$33&gt;$C28),0,OFFSET(Проект!G$1109,0,1-$B28))</f>
        <v>0</v>
      </c>
      <c r="H90" s="54">
        <f ca="1">IF(OR(H$33&lt;$B28,H$33&gt;$C28),0,OFFSET(Проект!H$1109,0,1-$B28))</f>
        <v>0</v>
      </c>
      <c r="I90" s="54">
        <f ca="1">IF(OR(I$33&lt;$B28,I$33&gt;$C28),0,OFFSET(Проект!I$1109,0,1-$B28))</f>
        <v>0</v>
      </c>
      <c r="J90" s="54">
        <f ca="1">IF(OR(J$33&lt;$B28,J$33&gt;$C28),0,OFFSET(Проект!J$1109,0,1-$B28))</f>
        <v>0</v>
      </c>
      <c r="K90" s="54">
        <f ca="1">IF(OR(K$33&lt;$B28,K$33&gt;$C28),0,OFFSET(Проект!K$1109,0,1-$B28))</f>
        <v>0</v>
      </c>
      <c r="M90" s="54">
        <f t="shared" ca="1" si="7"/>
        <v>0</v>
      </c>
    </row>
    <row r="91" spans="1:13" outlineLevel="1" collapsed="1" x14ac:dyDescent="0.2">
      <c r="A91" t="str">
        <f ca="1">Language!A$647</f>
        <v>Средства от текущей деятельности</v>
      </c>
      <c r="C91" s="26" t="str">
        <f t="shared" ca="1" si="6"/>
        <v>руб.</v>
      </c>
      <c r="D91" s="205" t="s">
        <v>2210</v>
      </c>
      <c r="F91" s="43">
        <f ca="1">SUMPRODUCT($B12:OFFSET($B13,-1,0),F92:OFFSET(F93,-1,0))</f>
        <v>0</v>
      </c>
      <c r="G91" s="43">
        <f ca="1">SUMPRODUCT($B12:OFFSET($B13,-1,0),G92:OFFSET(G93,-1,0))</f>
        <v>0</v>
      </c>
      <c r="H91" s="43">
        <f ca="1">SUMPRODUCT($B12:OFFSET($B13,-1,0),H92:OFFSET(H93,-1,0))</f>
        <v>0</v>
      </c>
      <c r="I91" s="43">
        <f ca="1">SUMPRODUCT($B12:OFFSET($B13,-1,0),I92:OFFSET(I93,-1,0))</f>
        <v>0</v>
      </c>
      <c r="J91" s="43">
        <f ca="1">SUMPRODUCT($B12:OFFSET($B13,-1,0),J92:OFFSET(J93,-1,0))</f>
        <v>0</v>
      </c>
      <c r="K91" s="43">
        <f ca="1">SUMPRODUCT($B12:OFFSET($B13,-1,0),K92:OFFSET(K93,-1,0))</f>
        <v>0</v>
      </c>
      <c r="M91" s="54">
        <f t="shared" ca="1" si="7"/>
        <v>0</v>
      </c>
    </row>
    <row r="92" spans="1:13" s="11" customFormat="1" hidden="1" outlineLevel="2" x14ac:dyDescent="0.2">
      <c r="A92" s="11" t="str">
        <f>"        " &amp; A12</f>
        <v xml:space="preserve">        Наименование проекта</v>
      </c>
      <c r="C92" s="199" t="str">
        <f t="shared" ca="1" si="6"/>
        <v>руб.</v>
      </c>
      <c r="D92" s="11" t="str">
        <f>"[" &amp; F12 &amp; "];int_sum"</f>
        <v>[Проект];int_sum</v>
      </c>
      <c r="F92" s="54">
        <f ca="1">IF(OR(F$33&lt;$B28,F$33&gt;$C28),0,OFFSET(Проект!F$1110,0,1-$B28))</f>
        <v>0</v>
      </c>
      <c r="G92" s="54">
        <f ca="1">IF(OR(G$33&lt;$B28,G$33&gt;$C28),0,OFFSET(Проект!G$1110,0,1-$B28))</f>
        <v>0</v>
      </c>
      <c r="H92" s="54">
        <f ca="1">IF(OR(H$33&lt;$B28,H$33&gt;$C28),0,OFFSET(Проект!H$1110,0,1-$B28))</f>
        <v>0</v>
      </c>
      <c r="I92" s="54">
        <f ca="1">IF(OR(I$33&lt;$B28,I$33&gt;$C28),0,OFFSET(Проект!I$1110,0,1-$B28))</f>
        <v>0</v>
      </c>
      <c r="J92" s="54">
        <f ca="1">IF(OR(J$33&lt;$B28,J$33&gt;$C28),0,OFFSET(Проект!J$1110,0,1-$B28))</f>
        <v>0</v>
      </c>
      <c r="K92" s="54">
        <f ca="1">IF(OR(K$33&lt;$B28,K$33&gt;$C28),0,OFFSET(Проект!K$1110,0,1-$B28))</f>
        <v>0</v>
      </c>
      <c r="M92" s="54">
        <f t="shared" ca="1" si="7"/>
        <v>0</v>
      </c>
    </row>
    <row r="93" spans="1:13" outlineLevel="1" collapsed="1" x14ac:dyDescent="0.2">
      <c r="A93" t="str">
        <f ca="1">Language!A$649</f>
        <v>Целевое финансирование</v>
      </c>
      <c r="C93" s="26" t="str">
        <f t="shared" ca="1" si="6"/>
        <v>руб.</v>
      </c>
      <c r="D93" s="205" t="s">
        <v>2210</v>
      </c>
      <c r="F93" s="43">
        <f ca="1">SUMPRODUCT($B12:OFFSET($B13,-1,0),F94:OFFSET(F95,-1,0))</f>
        <v>0</v>
      </c>
      <c r="G93" s="43">
        <f ca="1">SUMPRODUCT($B12:OFFSET($B13,-1,0),G94:OFFSET(G95,-1,0))</f>
        <v>0</v>
      </c>
      <c r="H93" s="43">
        <f ca="1">SUMPRODUCT($B12:OFFSET($B13,-1,0),H94:OFFSET(H95,-1,0))</f>
        <v>0</v>
      </c>
      <c r="I93" s="43">
        <f ca="1">SUMPRODUCT($B12:OFFSET($B13,-1,0),I94:OFFSET(I95,-1,0))</f>
        <v>0</v>
      </c>
      <c r="J93" s="43">
        <f ca="1">SUMPRODUCT($B12:OFFSET($B13,-1,0),J94:OFFSET(J95,-1,0))</f>
        <v>0</v>
      </c>
      <c r="K93" s="43">
        <f ca="1">SUMPRODUCT($B12:OFFSET($B13,-1,0),K94:OFFSET(K95,-1,0))</f>
        <v>0</v>
      </c>
      <c r="M93" s="54">
        <f t="shared" ca="1" si="7"/>
        <v>0</v>
      </c>
    </row>
    <row r="94" spans="1:13" s="11" customFormat="1" hidden="1" outlineLevel="2" x14ac:dyDescent="0.2">
      <c r="A94" s="11" t="str">
        <f>"        " &amp; A12</f>
        <v xml:space="preserve">        Наименование проекта</v>
      </c>
      <c r="C94" s="199" t="str">
        <f t="shared" ca="1" si="6"/>
        <v>руб.</v>
      </c>
      <c r="D94" s="11" t="str">
        <f>"[" &amp; F12 &amp; "];int_sum"</f>
        <v>[Проект];int_sum</v>
      </c>
      <c r="F94" s="54">
        <f ca="1">IF(OR(F$33&lt;$B28,F$33&gt;$C28),0,OFFSET(Проект!F$1111,0,1-$B28))</f>
        <v>0</v>
      </c>
      <c r="G94" s="54">
        <f ca="1">IF(OR(G$33&lt;$B28,G$33&gt;$C28),0,OFFSET(Проект!G$1111,0,1-$B28))</f>
        <v>0</v>
      </c>
      <c r="H94" s="54">
        <f ca="1">IF(OR(H$33&lt;$B28,H$33&gt;$C28),0,OFFSET(Проект!H$1111,0,1-$B28))</f>
        <v>0</v>
      </c>
      <c r="I94" s="54">
        <f ca="1">IF(OR(I$33&lt;$B28,I$33&gt;$C28),0,OFFSET(Проект!I$1111,0,1-$B28))</f>
        <v>0</v>
      </c>
      <c r="J94" s="54">
        <f ca="1">IF(OR(J$33&lt;$B28,J$33&gt;$C28),0,OFFSET(Проект!J$1111,0,1-$B28))</f>
        <v>0</v>
      </c>
      <c r="K94" s="54">
        <f ca="1">IF(OR(K$33&lt;$B28,K$33&gt;$C28),0,OFFSET(Проект!K$1111,0,1-$B28))</f>
        <v>0</v>
      </c>
      <c r="M94" s="54">
        <f t="shared" ca="1" si="7"/>
        <v>0</v>
      </c>
    </row>
    <row r="95" spans="1:13" outlineLevel="1" collapsed="1" x14ac:dyDescent="0.2">
      <c r="A95" t="str">
        <f ca="1">Language!A$650</f>
        <v>Средства от инвесторов строительства</v>
      </c>
      <c r="C95" s="26" t="str">
        <f t="shared" ca="1" si="6"/>
        <v>руб.</v>
      </c>
      <c r="D95" s="205" t="s">
        <v>2210</v>
      </c>
      <c r="F95" s="43">
        <f ca="1">SUMPRODUCT($B12:OFFSET($B13,-1,0),F96:OFFSET(F97,-1,0))</f>
        <v>0</v>
      </c>
      <c r="G95" s="43">
        <f ca="1">SUMPRODUCT($B12:OFFSET($B13,-1,0),G96:OFFSET(G97,-1,0))</f>
        <v>0</v>
      </c>
      <c r="H95" s="43">
        <f ca="1">SUMPRODUCT($B12:OFFSET($B13,-1,0),H96:OFFSET(H97,-1,0))</f>
        <v>0</v>
      </c>
      <c r="I95" s="43">
        <f ca="1">SUMPRODUCT($B12:OFFSET($B13,-1,0),I96:OFFSET(I97,-1,0))</f>
        <v>0</v>
      </c>
      <c r="J95" s="43">
        <f ca="1">SUMPRODUCT($B12:OFFSET($B13,-1,0),J96:OFFSET(J97,-1,0))</f>
        <v>0</v>
      </c>
      <c r="K95" s="43">
        <f ca="1">SUMPRODUCT($B12:OFFSET($B13,-1,0),K96:OFFSET(K97,-1,0))</f>
        <v>0</v>
      </c>
      <c r="M95" s="54">
        <f t="shared" ca="1" si="7"/>
        <v>0</v>
      </c>
    </row>
    <row r="96" spans="1:13" s="11" customFormat="1" hidden="1" outlineLevel="2" x14ac:dyDescent="0.2">
      <c r="A96" s="11" t="str">
        <f>"        " &amp; A12</f>
        <v xml:space="preserve">        Наименование проекта</v>
      </c>
      <c r="C96" s="199" t="str">
        <f t="shared" ca="1" si="6"/>
        <v>руб.</v>
      </c>
      <c r="D96" s="11" t="str">
        <f>"[" &amp; F12 &amp; "];int_sum"</f>
        <v>[Проект];int_sum</v>
      </c>
      <c r="F96" s="54">
        <f ca="1">IF(OR(F$33&lt;$B28,F$33&gt;$C28),0,OFFSET(Проект!F$1112,0,1-$B28))</f>
        <v>0</v>
      </c>
      <c r="G96" s="54">
        <f ca="1">IF(OR(G$33&lt;$B28,G$33&gt;$C28),0,OFFSET(Проект!G$1112,0,1-$B28))</f>
        <v>0</v>
      </c>
      <c r="H96" s="54">
        <f ca="1">IF(OR(H$33&lt;$B28,H$33&gt;$C28),0,OFFSET(Проект!H$1112,0,1-$B28))</f>
        <v>0</v>
      </c>
      <c r="I96" s="54">
        <f ca="1">IF(OR(I$33&lt;$B28,I$33&gt;$C28),0,OFFSET(Проект!I$1112,0,1-$B28))</f>
        <v>0</v>
      </c>
      <c r="J96" s="54">
        <f ca="1">IF(OR(J$33&lt;$B28,J$33&gt;$C28),0,OFFSET(Проект!J$1112,0,1-$B28))</f>
        <v>0</v>
      </c>
      <c r="K96" s="54">
        <f ca="1">IF(OR(K$33&lt;$B28,K$33&gt;$C28),0,OFFSET(Проект!K$1112,0,1-$B28))</f>
        <v>0</v>
      </c>
      <c r="M96" s="54">
        <f t="shared" ca="1" si="7"/>
        <v>0</v>
      </c>
    </row>
    <row r="97" spans="1:13" outlineLevel="1" collapsed="1" x14ac:dyDescent="0.2">
      <c r="A97" t="str">
        <f ca="1">Language!A$659</f>
        <v>Поступление денег от кредита</v>
      </c>
      <c r="C97" s="26" t="str">
        <f t="shared" ca="1" si="6"/>
        <v>руб.</v>
      </c>
      <c r="D97" s="205" t="s">
        <v>2210</v>
      </c>
      <c r="F97" s="43">
        <f ca="1">SUMPRODUCT($B12:OFFSET($B13,-1,0),F98:OFFSET(F99,-1,0))</f>
        <v>0</v>
      </c>
      <c r="G97" s="43">
        <f ca="1">SUMPRODUCT($B12:OFFSET($B13,-1,0),G98:OFFSET(G99,-1,0))</f>
        <v>0</v>
      </c>
      <c r="H97" s="43">
        <f ca="1">SUMPRODUCT($B12:OFFSET($B13,-1,0),H98:OFFSET(H99,-1,0))</f>
        <v>0</v>
      </c>
      <c r="I97" s="43">
        <f ca="1">SUMPRODUCT($B12:OFFSET($B13,-1,0),I98:OFFSET(I99,-1,0))</f>
        <v>0</v>
      </c>
      <c r="J97" s="43">
        <f ca="1">SUMPRODUCT($B12:OFFSET($B13,-1,0),J98:OFFSET(J99,-1,0))</f>
        <v>0</v>
      </c>
      <c r="K97" s="43">
        <f ca="1">SUMPRODUCT($B12:OFFSET($B13,-1,0),K98:OFFSET(K99,-1,0))</f>
        <v>0</v>
      </c>
      <c r="M97" s="54">
        <f t="shared" ca="1" si="7"/>
        <v>0</v>
      </c>
    </row>
    <row r="98" spans="1:13" s="11" customFormat="1" hidden="1" outlineLevel="2" x14ac:dyDescent="0.2">
      <c r="A98" s="11" t="str">
        <f>"        " &amp; A12</f>
        <v xml:space="preserve">        Наименование проекта</v>
      </c>
      <c r="C98" s="199" t="str">
        <f t="shared" ca="1" si="6"/>
        <v>руб.</v>
      </c>
      <c r="D98" s="11" t="str">
        <f>"[" &amp; F12 &amp; "];int_sum"</f>
        <v>[Проект];int_sum</v>
      </c>
      <c r="F98" s="54">
        <f ca="1">IF(OR(F$33&lt;$B28,F$33&gt;$C28),0,OFFSET(Проект!F$1113,0,1-$B28))</f>
        <v>0</v>
      </c>
      <c r="G98" s="54">
        <f ca="1">IF(OR(G$33&lt;$B28,G$33&gt;$C28),0,OFFSET(Проект!G$1113,0,1-$B28))</f>
        <v>0</v>
      </c>
      <c r="H98" s="54">
        <f ca="1">IF(OR(H$33&lt;$B28,H$33&gt;$C28),0,OFFSET(Проект!H$1113,0,1-$B28))</f>
        <v>0</v>
      </c>
      <c r="I98" s="54">
        <f ca="1">IF(OR(I$33&lt;$B28,I$33&gt;$C28),0,OFFSET(Проект!I$1113,0,1-$B28))</f>
        <v>0</v>
      </c>
      <c r="J98" s="54">
        <f ca="1">IF(OR(J$33&lt;$B28,J$33&gt;$C28),0,OFFSET(Проект!J$1113,0,1-$B28))</f>
        <v>0</v>
      </c>
      <c r="K98" s="54">
        <f ca="1">IF(OR(K$33&lt;$B28,K$33&gt;$C28),0,OFFSET(Проект!K$1113,0,1-$B28))</f>
        <v>0</v>
      </c>
      <c r="M98" s="54">
        <f t="shared" ca="1" si="7"/>
        <v>0</v>
      </c>
    </row>
    <row r="99" spans="1:13" outlineLevel="1" x14ac:dyDescent="0.2">
      <c r="M99" s="11"/>
    </row>
    <row r="100" spans="1:13" outlineLevel="1" collapsed="1" x14ac:dyDescent="0.2">
      <c r="A100" s="35" t="str">
        <f ca="1">Language!A$697</f>
        <v>Возврат финансирования</v>
      </c>
      <c r="C100" s="26" t="str">
        <f ca="1">CUR_Report</f>
        <v>руб.</v>
      </c>
      <c r="D100" s="205" t="s">
        <v>2210</v>
      </c>
      <c r="F100" s="58">
        <f ca="1">SUMPRODUCT($B12:OFFSET($B13,-1,0),F101:OFFSET(F102,-1,0))</f>
        <v>0</v>
      </c>
      <c r="G100" s="58">
        <f ca="1">SUMPRODUCT($B12:OFFSET($B13,-1,0),G101:OFFSET(G102,-1,0))</f>
        <v>0</v>
      </c>
      <c r="H100" s="58">
        <f ca="1">SUMPRODUCT($B12:OFFSET($B13,-1,0),H101:OFFSET(H102,-1,0))</f>
        <v>0</v>
      </c>
      <c r="I100" s="58">
        <f ca="1">SUMPRODUCT($B12:OFFSET($B13,-1,0),I101:OFFSET(I102,-1,0))</f>
        <v>0</v>
      </c>
      <c r="J100" s="58">
        <f ca="1">SUMPRODUCT($B12:OFFSET($B13,-1,0),J101:OFFSET(J102,-1,0))</f>
        <v>0</v>
      </c>
      <c r="K100" s="58">
        <f ca="1">SUMPRODUCT($B12:OFFSET($B13,-1,0),K101:OFFSET(K102,-1,0))</f>
        <v>0</v>
      </c>
      <c r="M100" s="57">
        <f ca="1">SUM(F100:K100)</f>
        <v>0</v>
      </c>
    </row>
    <row r="101" spans="1:13" s="11" customFormat="1" hidden="1" outlineLevel="2" x14ac:dyDescent="0.2">
      <c r="A101" s="11" t="str">
        <f>"        " &amp; A12</f>
        <v xml:space="preserve">        Наименование проекта</v>
      </c>
      <c r="C101" s="199" t="str">
        <f ca="1">CUR_Report</f>
        <v>руб.</v>
      </c>
      <c r="D101" s="11" t="str">
        <f>"[" &amp; F12 &amp; "];int_sum"</f>
        <v>[Проект];int_sum</v>
      </c>
      <c r="F101" s="54">
        <f ca="1">IF(OR(F$33&lt;$B28,F$33&gt;$C28),0,OFFSET(Проект!F$1115,0,1-$B28))</f>
        <v>0</v>
      </c>
      <c r="G101" s="54">
        <f ca="1">IF(OR(G$33&lt;$B28,G$33&gt;$C28),0,OFFSET(Проект!G$1115,0,1-$B28))</f>
        <v>0</v>
      </c>
      <c r="H101" s="54">
        <f ca="1">IF(OR(H$33&lt;$B28,H$33&gt;$C28),0,OFFSET(Проект!H$1115,0,1-$B28))</f>
        <v>0</v>
      </c>
      <c r="I101" s="54">
        <f ca="1">IF(OR(I$33&lt;$B28,I$33&gt;$C28),0,OFFSET(Проект!I$1115,0,1-$B28))</f>
        <v>0</v>
      </c>
      <c r="J101" s="54">
        <f ca="1">IF(OR(J$33&lt;$B28,J$33&gt;$C28),0,OFFSET(Проект!J$1115,0,1-$B28))</f>
        <v>0</v>
      </c>
      <c r="K101" s="54">
        <f ca="1">IF(OR(K$33&lt;$B28,K$33&gt;$C28),0,OFFSET(Проект!K$1115,0,1-$B28))</f>
        <v>0</v>
      </c>
      <c r="M101" s="54">
        <f ca="1">SUM(F101:K101)</f>
        <v>0</v>
      </c>
    </row>
    <row r="102" spans="1:13" outlineLevel="1" x14ac:dyDescent="0.2">
      <c r="M102" s="11"/>
    </row>
    <row r="103" spans="1:13" outlineLevel="1" collapsed="1" x14ac:dyDescent="0.2">
      <c r="A103" t="str">
        <f ca="1">Language!A$662</f>
        <v>Выплаченные проценты</v>
      </c>
      <c r="C103" s="26" t="str">
        <f t="shared" ref="C103:C110" ca="1" si="8">CUR_Report</f>
        <v>руб.</v>
      </c>
      <c r="D103" s="205" t="s">
        <v>2210</v>
      </c>
      <c r="F103" s="43">
        <f ca="1">SUMPRODUCT($B12:OFFSET($B13,-1,0),F104:OFFSET(F105,-1,0))</f>
        <v>0</v>
      </c>
      <c r="G103" s="43">
        <f ca="1">SUMPRODUCT($B12:OFFSET($B13,-1,0),G104:OFFSET(G105,-1,0))</f>
        <v>0</v>
      </c>
      <c r="H103" s="43">
        <f ca="1">SUMPRODUCT($B12:OFFSET($B13,-1,0),H104:OFFSET(H105,-1,0))</f>
        <v>0</v>
      </c>
      <c r="I103" s="43">
        <f ca="1">SUMPRODUCT($B12:OFFSET($B13,-1,0),I104:OFFSET(I105,-1,0))</f>
        <v>0</v>
      </c>
      <c r="J103" s="43">
        <f ca="1">SUMPRODUCT($B12:OFFSET($B13,-1,0),J104:OFFSET(J105,-1,0))</f>
        <v>0</v>
      </c>
      <c r="K103" s="43">
        <f ca="1">SUMPRODUCT($B12:OFFSET($B13,-1,0),K104:OFFSET(K105,-1,0))</f>
        <v>0</v>
      </c>
      <c r="M103" s="54">
        <f t="shared" ref="M103:M110" ca="1" si="9">SUM(F103:K103)</f>
        <v>0</v>
      </c>
    </row>
    <row r="104" spans="1:13" s="11" customFormat="1" hidden="1" outlineLevel="2" x14ac:dyDescent="0.2">
      <c r="A104" s="11" t="str">
        <f>"        " &amp; A12</f>
        <v xml:space="preserve">        Наименование проекта</v>
      </c>
      <c r="C104" s="199" t="str">
        <f t="shared" ca="1" si="8"/>
        <v>руб.</v>
      </c>
      <c r="D104" s="11" t="str">
        <f>"[" &amp; F12 &amp; "];int_sum"</f>
        <v>[Проект];int_sum</v>
      </c>
      <c r="F104" s="54">
        <f ca="1">IF(OR(F$33&lt;$B28,F$33&gt;$C28),0,OFFSET(Проект!F$1117,0,1-$B28))</f>
        <v>0</v>
      </c>
      <c r="G104" s="54">
        <f ca="1">IF(OR(G$33&lt;$B28,G$33&gt;$C28),0,OFFSET(Проект!G$1117,0,1-$B28))</f>
        <v>0</v>
      </c>
      <c r="H104" s="54">
        <f ca="1">IF(OR(H$33&lt;$B28,H$33&gt;$C28),0,OFFSET(Проект!H$1117,0,1-$B28))</f>
        <v>0</v>
      </c>
      <c r="I104" s="54">
        <f ca="1">IF(OR(I$33&lt;$B28,I$33&gt;$C28),0,OFFSET(Проект!I$1117,0,1-$B28))</f>
        <v>0</v>
      </c>
      <c r="J104" s="54">
        <f ca="1">IF(OR(J$33&lt;$B28,J$33&gt;$C28),0,OFFSET(Проект!J$1117,0,1-$B28))</f>
        <v>0</v>
      </c>
      <c r="K104" s="54">
        <f ca="1">IF(OR(K$33&lt;$B28,K$33&gt;$C28),0,OFFSET(Проект!K$1117,0,1-$B28))</f>
        <v>0</v>
      </c>
      <c r="M104" s="54">
        <f t="shared" ca="1" si="9"/>
        <v>0</v>
      </c>
    </row>
    <row r="105" spans="1:13" outlineLevel="1" collapsed="1" x14ac:dyDescent="0.2">
      <c r="A105" t="str">
        <f ca="1">Language!A$698</f>
        <v>Дивиденды</v>
      </c>
      <c r="C105" s="26" t="str">
        <f t="shared" ca="1" si="8"/>
        <v>руб.</v>
      </c>
      <c r="D105" s="205" t="s">
        <v>2210</v>
      </c>
      <c r="F105" s="43">
        <f ca="1">SUMPRODUCT($B12:OFFSET($B13,-1,0),F106:OFFSET(F107,-1,0))</f>
        <v>0</v>
      </c>
      <c r="G105" s="43">
        <f ca="1">SUMPRODUCT($B12:OFFSET($B13,-1,0),G106:OFFSET(G107,-1,0))</f>
        <v>0</v>
      </c>
      <c r="H105" s="43">
        <f ca="1">SUMPRODUCT($B12:OFFSET($B13,-1,0),H106:OFFSET(H107,-1,0))</f>
        <v>0</v>
      </c>
      <c r="I105" s="43">
        <f ca="1">SUMPRODUCT($B12:OFFSET($B13,-1,0),I106:OFFSET(I107,-1,0))</f>
        <v>0</v>
      </c>
      <c r="J105" s="43">
        <f ca="1">SUMPRODUCT($B12:OFFSET($B13,-1,0),J106:OFFSET(J107,-1,0))</f>
        <v>0</v>
      </c>
      <c r="K105" s="43">
        <f ca="1">SUMPRODUCT($B12:OFFSET($B13,-1,0),K106:OFFSET(K107,-1,0))</f>
        <v>0</v>
      </c>
      <c r="M105" s="54">
        <f t="shared" ca="1" si="9"/>
        <v>0</v>
      </c>
    </row>
    <row r="106" spans="1:13" s="11" customFormat="1" hidden="1" outlineLevel="2" x14ac:dyDescent="0.2">
      <c r="A106" s="11" t="str">
        <f>"        " &amp; A12</f>
        <v xml:space="preserve">        Наименование проекта</v>
      </c>
      <c r="C106" s="199" t="str">
        <f t="shared" ca="1" si="8"/>
        <v>руб.</v>
      </c>
      <c r="D106" s="11" t="str">
        <f>"[" &amp; F12 &amp; "];int_sum"</f>
        <v>[Проект];int_sum</v>
      </c>
      <c r="F106" s="54">
        <f ca="1">IF(OR(F$33&lt;$B28,F$33&gt;$C28),0,OFFSET(Проект!F$1118,0,1-$B28))</f>
        <v>0</v>
      </c>
      <c r="G106" s="54">
        <f ca="1">IF(OR(G$33&lt;$B28,G$33&gt;$C28),0,OFFSET(Проект!G$1118,0,1-$B28))</f>
        <v>0</v>
      </c>
      <c r="H106" s="54">
        <f ca="1">IF(OR(H$33&lt;$B28,H$33&gt;$C28),0,OFFSET(Проект!H$1118,0,1-$B28))</f>
        <v>0</v>
      </c>
      <c r="I106" s="54">
        <f ca="1">IF(OR(I$33&lt;$B28,I$33&gt;$C28),0,OFFSET(Проект!I$1118,0,1-$B28))</f>
        <v>0</v>
      </c>
      <c r="J106" s="54">
        <f ca="1">IF(OR(J$33&lt;$B28,J$33&gt;$C28),0,OFFSET(Проект!J$1118,0,1-$B28))</f>
        <v>0</v>
      </c>
      <c r="K106" s="54">
        <f ca="1">IF(OR(K$33&lt;$B28,K$33&gt;$C28),0,OFFSET(Проект!K$1118,0,1-$B28))</f>
        <v>0</v>
      </c>
      <c r="M106" s="54">
        <f t="shared" ca="1" si="9"/>
        <v>0</v>
      </c>
    </row>
    <row r="107" spans="1:13" outlineLevel="1" collapsed="1" x14ac:dyDescent="0.2">
      <c r="A107" s="48" t="str">
        <f ca="1">Language!A$699</f>
        <v>Лизинговые платежи</v>
      </c>
      <c r="C107" s="26" t="str">
        <f t="shared" ca="1" si="8"/>
        <v>руб.</v>
      </c>
      <c r="D107" s="205" t="s">
        <v>2210</v>
      </c>
      <c r="F107" s="43">
        <f ca="1">SUMPRODUCT($B12:OFFSET($B13,-1,0),F108:OFFSET(F109,-1,0))</f>
        <v>0</v>
      </c>
      <c r="G107" s="43">
        <f ca="1">SUMPRODUCT($B12:OFFSET($B13,-1,0),G108:OFFSET(G109,-1,0))</f>
        <v>0</v>
      </c>
      <c r="H107" s="43">
        <f ca="1">SUMPRODUCT($B12:OFFSET($B13,-1,0),H108:OFFSET(H109,-1,0))</f>
        <v>0</v>
      </c>
      <c r="I107" s="43">
        <f ca="1">SUMPRODUCT($B12:OFFSET($B13,-1,0),I108:OFFSET(I109,-1,0))</f>
        <v>0</v>
      </c>
      <c r="J107" s="43">
        <f ca="1">SUMPRODUCT($B12:OFFSET($B13,-1,0),J108:OFFSET(J109,-1,0))</f>
        <v>0</v>
      </c>
      <c r="K107" s="43">
        <f ca="1">SUMPRODUCT($B12:OFFSET($B13,-1,0),K108:OFFSET(K109,-1,0))</f>
        <v>0</v>
      </c>
      <c r="M107" s="54">
        <f t="shared" ca="1" si="9"/>
        <v>0</v>
      </c>
    </row>
    <row r="108" spans="1:13" s="11" customFormat="1" hidden="1" outlineLevel="2" x14ac:dyDescent="0.2">
      <c r="A108" s="41" t="str">
        <f>"        " &amp; A12</f>
        <v xml:space="preserve">        Наименование проекта</v>
      </c>
      <c r="C108" s="199" t="str">
        <f t="shared" ca="1" si="8"/>
        <v>руб.</v>
      </c>
      <c r="D108" s="11" t="str">
        <f>"[" &amp; F12 &amp; "];int_sum"</f>
        <v>[Проект];int_sum</v>
      </c>
      <c r="F108" s="54">
        <f ca="1">IF(OR(F$33&lt;$B28,F$33&gt;$C28),0,OFFSET(Проект!F$1119,0,1-$B28))</f>
        <v>0</v>
      </c>
      <c r="G108" s="54">
        <f ca="1">IF(OR(G$33&lt;$B28,G$33&gt;$C28),0,OFFSET(Проект!G$1119,0,1-$B28))</f>
        <v>0</v>
      </c>
      <c r="H108" s="54">
        <f ca="1">IF(OR(H$33&lt;$B28,H$33&gt;$C28),0,OFFSET(Проект!H$1119,0,1-$B28))</f>
        <v>0</v>
      </c>
      <c r="I108" s="54">
        <f ca="1">IF(OR(I$33&lt;$B28,I$33&gt;$C28),0,OFFSET(Проект!I$1119,0,1-$B28))</f>
        <v>0</v>
      </c>
      <c r="J108" s="54">
        <f ca="1">IF(OR(J$33&lt;$B28,J$33&gt;$C28),0,OFFSET(Проект!J$1119,0,1-$B28))</f>
        <v>0</v>
      </c>
      <c r="K108" s="54">
        <f ca="1">IF(OR(K$33&lt;$B28,K$33&gt;$C28),0,OFFSET(Проект!K$1119,0,1-$B28))</f>
        <v>0</v>
      </c>
      <c r="M108" s="54">
        <f t="shared" ca="1" si="9"/>
        <v>0</v>
      </c>
    </row>
    <row r="109" spans="1:13" outlineLevel="1" collapsed="1" x14ac:dyDescent="0.2">
      <c r="A109" s="48" t="str">
        <f ca="1">Language!A$700</f>
        <v>Возврат кредитов</v>
      </c>
      <c r="C109" s="26" t="str">
        <f t="shared" ca="1" si="8"/>
        <v>руб.</v>
      </c>
      <c r="D109" s="205" t="s">
        <v>2210</v>
      </c>
      <c r="F109" s="43">
        <f ca="1">SUMPRODUCT($B12:OFFSET($B13,-1,0),F110:OFFSET(F111,-1,0))</f>
        <v>0</v>
      </c>
      <c r="G109" s="43">
        <f ca="1">SUMPRODUCT($B12:OFFSET($B13,-1,0),G110:OFFSET(G111,-1,0))</f>
        <v>0</v>
      </c>
      <c r="H109" s="43">
        <f ca="1">SUMPRODUCT($B12:OFFSET($B13,-1,0),H110:OFFSET(H111,-1,0))</f>
        <v>0</v>
      </c>
      <c r="I109" s="43">
        <f ca="1">SUMPRODUCT($B12:OFFSET($B13,-1,0),I110:OFFSET(I111,-1,0))</f>
        <v>0</v>
      </c>
      <c r="J109" s="43">
        <f ca="1">SUMPRODUCT($B12:OFFSET($B13,-1,0),J110:OFFSET(J111,-1,0))</f>
        <v>0</v>
      </c>
      <c r="K109" s="43">
        <f ca="1">SUMPRODUCT($B12:OFFSET($B13,-1,0),K110:OFFSET(K111,-1,0))</f>
        <v>0</v>
      </c>
      <c r="M109" s="54">
        <f t="shared" ca="1" si="9"/>
        <v>0</v>
      </c>
    </row>
    <row r="110" spans="1:13" s="11" customFormat="1" hidden="1" outlineLevel="2" x14ac:dyDescent="0.2">
      <c r="A110" s="41" t="str">
        <f>"        " &amp; A12</f>
        <v xml:space="preserve">        Наименование проекта</v>
      </c>
      <c r="C110" s="199" t="str">
        <f t="shared" ca="1" si="8"/>
        <v>руб.</v>
      </c>
      <c r="D110" s="11" t="str">
        <f>"[" &amp; F12 &amp; "];int_sum"</f>
        <v>[Проект];int_sum</v>
      </c>
      <c r="F110" s="54">
        <f ca="1">IF(OR(F$33&lt;$B28,F$33&gt;$C28),0,OFFSET(Проект!F$1120,0,1-$B28))</f>
        <v>0</v>
      </c>
      <c r="G110" s="54">
        <f ca="1">IF(OR(G$33&lt;$B28,G$33&gt;$C28),0,OFFSET(Проект!G$1120,0,1-$B28))</f>
        <v>0</v>
      </c>
      <c r="H110" s="54">
        <f ca="1">IF(OR(H$33&lt;$B28,H$33&gt;$C28),0,OFFSET(Проект!H$1120,0,1-$B28))</f>
        <v>0</v>
      </c>
      <c r="I110" s="54">
        <f ca="1">IF(OR(I$33&lt;$B28,I$33&gt;$C28),0,OFFSET(Проект!I$1120,0,1-$B28))</f>
        <v>0</v>
      </c>
      <c r="J110" s="54">
        <f ca="1">IF(OR(J$33&lt;$B28,J$33&gt;$C28),0,OFFSET(Проект!J$1120,0,1-$B28))</f>
        <v>0</v>
      </c>
      <c r="K110" s="54">
        <f ca="1">IF(OR(K$33&lt;$B28,K$33&gt;$C28),0,OFFSET(Проект!K$1120,0,1-$B28))</f>
        <v>0</v>
      </c>
      <c r="M110" s="54">
        <f t="shared" ca="1" si="9"/>
        <v>0</v>
      </c>
    </row>
    <row r="111" spans="1:13" outlineLevel="1" x14ac:dyDescent="0.2">
      <c r="M111" s="11"/>
    </row>
    <row r="112" spans="1:13" s="48" customFormat="1" outlineLevel="1" collapsed="1" x14ac:dyDescent="0.2">
      <c r="A112" s="52" t="str">
        <f ca="1">Language!A$1010</f>
        <v>Ранее осуществленные инвестиции</v>
      </c>
      <c r="C112" s="100" t="str">
        <f ca="1">CUR_Report</f>
        <v>руб.</v>
      </c>
      <c r="D112" s="300" t="s">
        <v>2210</v>
      </c>
      <c r="F112" s="106">
        <f ca="1">SUMPRODUCT($B12:OFFSET($B13,-1,0),F113:OFFSET(F114,-1,0))</f>
        <v>0</v>
      </c>
      <c r="G112" s="106">
        <f ca="1">SUMPRODUCT($B12:OFFSET($B13,-1,0),G113:OFFSET(G114,-1,0))</f>
        <v>0</v>
      </c>
      <c r="H112" s="106">
        <f ca="1">SUMPRODUCT($B12:OFFSET($B13,-1,0),H113:OFFSET(H114,-1,0))</f>
        <v>0</v>
      </c>
      <c r="I112" s="106">
        <f ca="1">SUMPRODUCT($B12:OFFSET($B13,-1,0),I113:OFFSET(I114,-1,0))</f>
        <v>0</v>
      </c>
      <c r="J112" s="106">
        <f ca="1">SUMPRODUCT($B12:OFFSET($B13,-1,0),J113:OFFSET(J114,-1,0))</f>
        <v>0</v>
      </c>
      <c r="K112" s="106">
        <f ca="1">SUMPRODUCT($B12:OFFSET($B13,-1,0),K113:OFFSET(K114,-1,0))</f>
        <v>0</v>
      </c>
      <c r="M112" s="41"/>
    </row>
    <row r="113" spans="1:13" s="48" customFormat="1" hidden="1" outlineLevel="2" x14ac:dyDescent="0.2">
      <c r="A113" s="41" t="str">
        <f>"        " &amp; A12</f>
        <v xml:space="preserve">        Наименование проекта</v>
      </c>
      <c r="C113" s="301" t="str">
        <f ca="1">CUR_Report</f>
        <v>руб.</v>
      </c>
      <c r="D113" s="48" t="str">
        <f>"[" &amp; F12 &amp; "];int_sum"</f>
        <v>[Проект];int_sum</v>
      </c>
      <c r="F113" s="106">
        <f ca="1">IF(OR(F$33&lt;$B28,F$33&gt;$C28),0,OFFSET(Проект!F$471,0,1-$B28))</f>
        <v>0</v>
      </c>
      <c r="G113" s="106">
        <f ca="1">IF(OR(G$33&lt;$B28,G$33&gt;$C28),0,OFFSET(Проект!G$471,0,1-$B28))</f>
        <v>0</v>
      </c>
      <c r="H113" s="106">
        <f ca="1">IF(OR(H$33&lt;$B28,H$33&gt;$C28),0,OFFSET(Проект!H$471,0,1-$B28))</f>
        <v>0</v>
      </c>
      <c r="I113" s="106">
        <f ca="1">IF(OR(I$33&lt;$B28,I$33&gt;$C28),0,OFFSET(Проект!I$471,0,1-$B28))</f>
        <v>0</v>
      </c>
      <c r="J113" s="106">
        <f ca="1">IF(OR(J$33&lt;$B28,J$33&gt;$C28),0,OFFSET(Проект!J$471,0,1-$B28))</f>
        <v>0</v>
      </c>
      <c r="K113" s="106">
        <f ca="1">IF(OR(K$33&lt;$B28,K$33&gt;$C28),0,OFFSET(Проект!K$471,0,1-$B28))</f>
        <v>0</v>
      </c>
      <c r="M113" s="41"/>
    </row>
    <row r="114" spans="1:13" outlineLevel="1" x14ac:dyDescent="0.2">
      <c r="A114" s="11"/>
      <c r="C114" s="26"/>
      <c r="M114" s="11"/>
    </row>
    <row r="115" spans="1:13" outlineLevel="1" collapsed="1" x14ac:dyDescent="0.2">
      <c r="A115" t="str">
        <f ca="1">Language!A513</f>
        <v>Резерв средств на обеспечение текущих расчетов</v>
      </c>
      <c r="C115" s="100" t="str">
        <f ca="1">CUR_Report</f>
        <v>руб.</v>
      </c>
      <c r="D115" s="300" t="s">
        <v>2210</v>
      </c>
      <c r="F115">
        <f ca="1">SUMPRODUCT($B12:OFFSET($B13,-1,0),F116:OFFSET(F117,-1,0))</f>
        <v>4832916.666666667</v>
      </c>
      <c r="G115">
        <f ca="1">SUMPRODUCT($B12:OFFSET($B13,-1,0),G116:OFFSET(G117,-1,0))</f>
        <v>4870156.666666667</v>
      </c>
      <c r="H115">
        <f ca="1">SUMPRODUCT($B12:OFFSET($B13,-1,0),H116:OFFSET(H117,-1,0))</f>
        <v>4907396.666666667</v>
      </c>
      <c r="I115">
        <f ca="1">SUMPRODUCT($B12:OFFSET($B13,-1,0),I116:OFFSET(I117,-1,0))</f>
        <v>4926016.666666667</v>
      </c>
      <c r="J115">
        <f ca="1">SUMPRODUCT($B12:OFFSET($B13,-1,0),J116:OFFSET(J117,-1,0))</f>
        <v>4926016.666666667</v>
      </c>
      <c r="K115">
        <f ca="1">SUMPRODUCT($B12:OFFSET($B13,-1,0),K116:OFFSET(K117,-1,0))</f>
        <v>4926016.666666667</v>
      </c>
      <c r="M115" s="11"/>
    </row>
    <row r="116" spans="1:13" hidden="1" outlineLevel="2" x14ac:dyDescent="0.2">
      <c r="A116" s="11" t="str">
        <f>"        " &amp; A12</f>
        <v xml:space="preserve">        Наименование проекта</v>
      </c>
      <c r="C116" s="301" t="str">
        <f ca="1">CUR_Report</f>
        <v>руб.</v>
      </c>
      <c r="D116" s="11" t="str">
        <f>"[" &amp; F12 &amp; "];int_sum"</f>
        <v>[Проект];int_sum</v>
      </c>
      <c r="F116">
        <f ca="1">IF(OR(F$33&lt;$B28,F$33&gt;$C28),0,OFFSET(Проект!F$995,0,1-$B28))</f>
        <v>4832916.666666667</v>
      </c>
      <c r="G116">
        <f ca="1">IF(OR(G$33&lt;$B28,G$33&gt;$C28),0,OFFSET(Проект!G$995,0,1-$B28))</f>
        <v>4870156.666666667</v>
      </c>
      <c r="H116">
        <f ca="1">IF(OR(H$33&lt;$B28,H$33&gt;$C28),0,OFFSET(Проект!H$995,0,1-$B28))</f>
        <v>4907396.666666667</v>
      </c>
      <c r="I116">
        <f ca="1">IF(OR(I$33&lt;$B28,I$33&gt;$C28),0,OFFSET(Проект!I$995,0,1-$B28))</f>
        <v>4926016.666666667</v>
      </c>
      <c r="J116">
        <f ca="1">IF(OR(J$33&lt;$B28,J$33&gt;$C28),0,OFFSET(Проект!J$995,0,1-$B28))</f>
        <v>4926016.666666667</v>
      </c>
      <c r="K116">
        <f ca="1">IF(OR(K$33&lt;$B28,K$33&gt;$C28),0,OFFSET(Проект!K$995,0,1-$B28))</f>
        <v>4926016.666666667</v>
      </c>
      <c r="M116" s="11"/>
    </row>
    <row r="117" spans="1:13" outlineLevel="1" x14ac:dyDescent="0.2">
      <c r="A117" s="11"/>
      <c r="C117" s="26"/>
      <c r="M117" s="11"/>
    </row>
    <row r="118" spans="1:13" s="11" customFormat="1" outlineLevel="1" x14ac:dyDescent="0.2">
      <c r="A118" s="11" t="str">
        <f ca="1">Language!A$653</f>
        <v>Справка: Остаток средств на счете (портфель проектов)</v>
      </c>
      <c r="C118" s="26" t="str">
        <f ca="1">CUR_Report</f>
        <v>руб.</v>
      </c>
      <c r="D118" s="16" t="s">
        <v>384</v>
      </c>
      <c r="F118" s="94">
        <f t="shared" ref="F118:J118" ca="1" si="10">F329</f>
        <v>0</v>
      </c>
      <c r="G118" s="94">
        <f t="shared" ca="1" si="10"/>
        <v>15122083.333333332</v>
      </c>
      <c r="H118" s="94">
        <f t="shared" ca="1" si="10"/>
        <v>81971543.333333328</v>
      </c>
      <c r="I118" s="94">
        <f t="shared" ca="1" si="10"/>
        <v>180331403.33333331</v>
      </c>
      <c r="J118" s="94">
        <f t="shared" ca="1" si="10"/>
        <v>271350683.33333331</v>
      </c>
      <c r="K118" s="94">
        <f t="shared" ref="K118" ca="1" si="11">K329</f>
        <v>362989183.33333331</v>
      </c>
    </row>
    <row r="119" spans="1:13" s="11" customFormat="1" outlineLevel="1" x14ac:dyDescent="0.2">
      <c r="A119" s="11" t="str">
        <f ca="1">Language!A$701</f>
        <v>Минимальный остаток средств на счете</v>
      </c>
      <c r="B119" s="196">
        <f ca="1">MIN(F118:K118)</f>
        <v>0</v>
      </c>
      <c r="C119" s="26" t="str">
        <f ca="1">CUR_Report</f>
        <v>руб.</v>
      </c>
    </row>
    <row r="120" spans="1:13" outlineLevel="1" x14ac:dyDescent="0.2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4"/>
    </row>
    <row r="121" spans="1:13" outlineLevel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22"/>
    </row>
    <row r="122" spans="1:13" s="4" customFormat="1" ht="15.9" customHeight="1" thickBot="1" x14ac:dyDescent="0.25">
      <c r="A122" s="166" t="str">
        <f ca="1">Language!A969</f>
        <v xml:space="preserve">         СВОДНЫЙ ОТЧЕТ О ПРИБЫЛЯХ И УБЫТКАХ</v>
      </c>
      <c r="B122" s="166"/>
      <c r="C122" s="166"/>
      <c r="D122" s="166"/>
      <c r="E122" s="166"/>
      <c r="F122" s="178" t="str">
        <f>IF(Проект!ShowRealDates,F36,F34)</f>
        <v>4/ 2020</v>
      </c>
      <c r="G122" s="178" t="str">
        <f>IF(Проект!ShowRealDates,G36,G34)</f>
        <v>5/ 2020</v>
      </c>
      <c r="H122" s="178" t="str">
        <f>IF(Проект!ShowRealDates,H36,H34)</f>
        <v>6/ 2020</v>
      </c>
      <c r="I122" s="178" t="str">
        <f>IF(Проект!ShowRealDates,I36,I34)</f>
        <v>7/ 2020</v>
      </c>
      <c r="J122" s="178" t="str">
        <f>IF(Проект!ShowRealDates,J36,J34)</f>
        <v>8/ 2020</v>
      </c>
      <c r="K122" s="178" t="str">
        <f>IF(Проект!ShowRealDates,K36,K34)</f>
        <v>9/ 2020</v>
      </c>
      <c r="L122" s="167"/>
      <c r="M122" s="195" t="str">
        <f ca="1">Language!A$371</f>
        <v>ИТОГО</v>
      </c>
    </row>
    <row r="123" spans="1:13" ht="10.8" outlineLevel="1" thickTop="1" x14ac:dyDescent="0.2"/>
    <row r="124" spans="1:13" outlineLevel="1" collapsed="1" x14ac:dyDescent="0.2">
      <c r="A124" s="179" t="str">
        <f ca="1">Language!A703</f>
        <v>Выручка (нетто)</v>
      </c>
      <c r="C124" s="115" t="str">
        <f ca="1">CUR_Report</f>
        <v>руб.</v>
      </c>
      <c r="D124" s="205" t="s">
        <v>2210</v>
      </c>
      <c r="F124" s="58">
        <f ca="1">SUMPRODUCT($B12:OFFSET($B13,-1,0),F125:OFFSET(F126,-1,0))</f>
        <v>36000000</v>
      </c>
      <c r="G124" s="58">
        <f ca="1">SUMPRODUCT($B12:OFFSET($B13,-1,0),G125:OFFSET(G126,-1,0))</f>
        <v>84000000</v>
      </c>
      <c r="H124" s="58">
        <f ca="1">SUMPRODUCT($B12:OFFSET($B13,-1,0),H125:OFFSET(H126,-1,0))</f>
        <v>120000000</v>
      </c>
      <c r="I124" s="58">
        <f ca="1">SUMPRODUCT($B12:OFFSET($B13,-1,0),I125:OFFSET(I126,-1,0))</f>
        <v>120000000</v>
      </c>
      <c r="J124" s="58">
        <f ca="1">SUMPRODUCT($B12:OFFSET($B13,-1,0),J125:OFFSET(J126,-1,0))</f>
        <v>120000000</v>
      </c>
      <c r="K124" s="58">
        <f ca="1">SUMPRODUCT($B12:OFFSET($B13,-1,0),K125:OFFSET(K126,-1,0))</f>
        <v>120000000</v>
      </c>
      <c r="L124" s="35"/>
      <c r="M124" s="57">
        <f ca="1">SUM(F124:K124)</f>
        <v>600000000</v>
      </c>
    </row>
    <row r="125" spans="1:13" s="11" customFormat="1" hidden="1" outlineLevel="2" x14ac:dyDescent="0.2">
      <c r="A125" s="11" t="str">
        <f>"        " &amp; A12</f>
        <v xml:space="preserve">        Наименование проекта</v>
      </c>
      <c r="C125" s="199" t="str">
        <f ca="1">CUR_Report</f>
        <v>руб.</v>
      </c>
      <c r="D125" s="11" t="str">
        <f>"[" &amp; F12 &amp; "];int_sum"</f>
        <v>[Проект];int_sum</v>
      </c>
      <c r="F125" s="54">
        <f ca="1">IF(OR(F$33&lt;$B28,F$33&gt;$C28),0,OFFSET(Проект!F$1129,0,1-$B28))</f>
        <v>36000000</v>
      </c>
      <c r="G125" s="54">
        <f ca="1">IF(OR(G$33&lt;$B28,G$33&gt;$C28),0,OFFSET(Проект!G$1129,0,1-$B28))</f>
        <v>84000000</v>
      </c>
      <c r="H125" s="54">
        <f ca="1">IF(OR(H$33&lt;$B28,H$33&gt;$C28),0,OFFSET(Проект!H$1129,0,1-$B28))</f>
        <v>120000000</v>
      </c>
      <c r="I125" s="54">
        <f ca="1">IF(OR(I$33&lt;$B28,I$33&gt;$C28),0,OFFSET(Проект!I$1129,0,1-$B28))</f>
        <v>120000000</v>
      </c>
      <c r="J125" s="54">
        <f ca="1">IF(OR(J$33&lt;$B28,J$33&gt;$C28),0,OFFSET(Проект!J$1129,0,1-$B28))</f>
        <v>120000000</v>
      </c>
      <c r="K125" s="54">
        <f ca="1">IF(OR(K$33&lt;$B28,K$33&gt;$C28),0,OFFSET(Проект!K$1129,0,1-$B28))</f>
        <v>120000000</v>
      </c>
      <c r="M125" s="203">
        <f ca="1">SUM(F125:K125)</f>
        <v>600000000</v>
      </c>
    </row>
    <row r="126" spans="1:13" outlineLevel="1" collapsed="1" x14ac:dyDescent="0.2">
      <c r="A126" s="35" t="str">
        <f ca="1">Language!A704</f>
        <v>Себестоимость</v>
      </c>
      <c r="C126" s="115" t="str">
        <f ca="1">CUR_Report</f>
        <v>руб.</v>
      </c>
      <c r="D126" s="205" t="s">
        <v>2210</v>
      </c>
      <c r="F126" s="207">
        <f ca="1">SUMPRODUCT($B12:OFFSET($B13,-1,0),F127:OFFSET(F128,-1,0))</f>
        <v>672600</v>
      </c>
      <c r="G126" s="207">
        <f ca="1">SUMPRODUCT($B12:OFFSET($B13,-1,0),G127:OFFSET(G128,-1,0))</f>
        <v>832200</v>
      </c>
      <c r="H126" s="207">
        <f ca="1">SUMPRODUCT($B12:OFFSET($B13,-1,0),H127:OFFSET(H128,-1,0))</f>
        <v>991800</v>
      </c>
      <c r="I126" s="207">
        <f ca="1">SUMPRODUCT($B12:OFFSET($B13,-1,0),I127:OFFSET(I128,-1,0))</f>
        <v>1091600</v>
      </c>
      <c r="J126" s="207">
        <f ca="1">SUMPRODUCT($B12:OFFSET($B13,-1,0),J127:OFFSET(J128,-1,0))</f>
        <v>1091600</v>
      </c>
      <c r="K126" s="207">
        <f ca="1">SUMPRODUCT($B12:OFFSET($B13,-1,0),K127:OFFSET(K128,-1,0))</f>
        <v>1092766.6666666667</v>
      </c>
      <c r="L126" s="179"/>
      <c r="M126" s="57">
        <f ca="1">SUM(F126:K126)</f>
        <v>5772566.666666667</v>
      </c>
    </row>
    <row r="127" spans="1:13" s="11" customFormat="1" hidden="1" outlineLevel="2" x14ac:dyDescent="0.2">
      <c r="A127" s="11" t="str">
        <f>"        " &amp; A12</f>
        <v xml:space="preserve">        Наименование проекта</v>
      </c>
      <c r="C127" s="199" t="str">
        <f ca="1">CUR_Report</f>
        <v>руб.</v>
      </c>
      <c r="D127" s="11" t="str">
        <f>"[" &amp; F12 &amp; "];int_sum"</f>
        <v>[Проект];int_sum</v>
      </c>
      <c r="F127" s="54">
        <f ca="1">IF(OR(F$33&lt;$B28,F$33&gt;$C28),0,OFFSET(Проект!F$1130,0,1-$B28))</f>
        <v>672600</v>
      </c>
      <c r="G127" s="54">
        <f ca="1">IF(OR(G$33&lt;$B28,G$33&gt;$C28),0,OFFSET(Проект!G$1130,0,1-$B28))</f>
        <v>832200</v>
      </c>
      <c r="H127" s="54">
        <f ca="1">IF(OR(H$33&lt;$B28,H$33&gt;$C28),0,OFFSET(Проект!H$1130,0,1-$B28))</f>
        <v>991800</v>
      </c>
      <c r="I127" s="54">
        <f ca="1">IF(OR(I$33&lt;$B28,I$33&gt;$C28),0,OFFSET(Проект!I$1130,0,1-$B28))</f>
        <v>1091600</v>
      </c>
      <c r="J127" s="54">
        <f ca="1">IF(OR(J$33&lt;$B28,J$33&gt;$C28),0,OFFSET(Проект!J$1130,0,1-$B28))</f>
        <v>1091600</v>
      </c>
      <c r="K127" s="54">
        <f ca="1">IF(OR(K$33&lt;$B28,K$33&gt;$C28),0,OFFSET(Проект!K$1130,0,1-$B28))</f>
        <v>1092766.6666666667</v>
      </c>
      <c r="M127" s="203">
        <f ca="1">SUM(F127:K127)</f>
        <v>5772566.666666667</v>
      </c>
    </row>
    <row r="128" spans="1:13" outlineLevel="1" x14ac:dyDescent="0.2">
      <c r="A128" t="str">
        <f ca="1">Language!A705</f>
        <v>в том числе</v>
      </c>
      <c r="C128" s="115"/>
      <c r="M128" s="203"/>
    </row>
    <row r="129" spans="1:13" outlineLevel="1" collapsed="1" x14ac:dyDescent="0.2">
      <c r="A129" t="str">
        <f ca="1">Language!A706</f>
        <v xml:space="preserve">    Сырье и материалы</v>
      </c>
      <c r="C129" s="115" t="str">
        <f t="shared" ref="C129:C164" ca="1" si="12">CUR_Report</f>
        <v>руб.</v>
      </c>
      <c r="D129" s="205" t="s">
        <v>2210</v>
      </c>
      <c r="F129" s="43">
        <f ca="1">SUMPRODUCT($B12:OFFSET($B13,-1,0),F130:OFFSET(F131,-1,0))</f>
        <v>0</v>
      </c>
      <c r="G129" s="43">
        <f ca="1">SUMPRODUCT($B12:OFFSET($B13,-1,0),G130:OFFSET(G131,-1,0))</f>
        <v>0</v>
      </c>
      <c r="H129" s="43">
        <f ca="1">SUMPRODUCT($B12:OFFSET($B13,-1,0),H130:OFFSET(H131,-1,0))</f>
        <v>0</v>
      </c>
      <c r="I129" s="43">
        <f ca="1">SUMPRODUCT($B12:OFFSET($B13,-1,0),I130:OFFSET(I131,-1,0))</f>
        <v>0</v>
      </c>
      <c r="J129" s="43">
        <f ca="1">SUMPRODUCT($B12:OFFSET($B13,-1,0),J130:OFFSET(J131,-1,0))</f>
        <v>0</v>
      </c>
      <c r="K129" s="43">
        <f ca="1">SUMPRODUCT($B12:OFFSET($B13,-1,0),K130:OFFSET(K131,-1,0))</f>
        <v>0</v>
      </c>
      <c r="M129" s="203">
        <f t="shared" ref="M129:M170" ca="1" si="13">SUM(F129:K129)</f>
        <v>0</v>
      </c>
    </row>
    <row r="130" spans="1:13" s="11" customFormat="1" hidden="1" outlineLevel="2" x14ac:dyDescent="0.2">
      <c r="A130" s="11" t="str">
        <f>"        " &amp; A12</f>
        <v xml:space="preserve">        Наименование проекта</v>
      </c>
      <c r="C130" s="199" t="str">
        <f t="shared" ca="1" si="12"/>
        <v>руб.</v>
      </c>
      <c r="D130" s="11" t="str">
        <f>"[" &amp; F12 &amp; "];int_sum"</f>
        <v>[Проект];int_sum</v>
      </c>
      <c r="F130" s="54">
        <f ca="1">IF(OR(F$33&lt;$B28,F$33&gt;$C28),0,OFFSET(Проект!F$1132,0,1-$B28))</f>
        <v>0</v>
      </c>
      <c r="G130" s="54">
        <f ca="1">IF(OR(G$33&lt;$B28,G$33&gt;$C28),0,OFFSET(Проект!G$1132,0,1-$B28))</f>
        <v>0</v>
      </c>
      <c r="H130" s="54">
        <f ca="1">IF(OR(H$33&lt;$B28,H$33&gt;$C28),0,OFFSET(Проект!H$1132,0,1-$B28))</f>
        <v>0</v>
      </c>
      <c r="I130" s="54">
        <f ca="1">IF(OR(I$33&lt;$B28,I$33&gt;$C28),0,OFFSET(Проект!I$1132,0,1-$B28))</f>
        <v>0</v>
      </c>
      <c r="J130" s="54">
        <f ca="1">IF(OR(J$33&lt;$B28,J$33&gt;$C28),0,OFFSET(Проект!J$1132,0,1-$B28))</f>
        <v>0</v>
      </c>
      <c r="K130" s="54">
        <f ca="1">IF(OR(K$33&lt;$B28,K$33&gt;$C28),0,OFFSET(Проект!K$1132,0,1-$B28))</f>
        <v>0</v>
      </c>
      <c r="M130" s="203">
        <f t="shared" ca="1" si="13"/>
        <v>0</v>
      </c>
    </row>
    <row r="131" spans="1:13" outlineLevel="1" collapsed="1" x14ac:dyDescent="0.2">
      <c r="A131" t="str">
        <f ca="1">Language!A707</f>
        <v xml:space="preserve">    Прочие переменные расходы</v>
      </c>
      <c r="C131" s="115" t="str">
        <f t="shared" ca="1" si="12"/>
        <v>руб.</v>
      </c>
      <c r="D131" s="205" t="s">
        <v>2210</v>
      </c>
      <c r="F131" s="43">
        <f ca="1">SUMPRODUCT($B12:OFFSET($B13,-1,0),F132:OFFSET(F133,-1,0))</f>
        <v>0</v>
      </c>
      <c r="G131" s="43">
        <f ca="1">SUMPRODUCT($B12:OFFSET($B13,-1,0),G132:OFFSET(G133,-1,0))</f>
        <v>0</v>
      </c>
      <c r="H131" s="43">
        <f ca="1">SUMPRODUCT($B12:OFFSET($B13,-1,0),H132:OFFSET(H133,-1,0))</f>
        <v>0</v>
      </c>
      <c r="I131" s="43">
        <f ca="1">SUMPRODUCT($B12:OFFSET($B13,-1,0),I132:OFFSET(I133,-1,0))</f>
        <v>0</v>
      </c>
      <c r="J131" s="43">
        <f ca="1">SUMPRODUCT($B12:OFFSET($B13,-1,0),J132:OFFSET(J133,-1,0))</f>
        <v>0</v>
      </c>
      <c r="K131" s="43">
        <f ca="1">SUMPRODUCT($B12:OFFSET($B13,-1,0),K132:OFFSET(K133,-1,0))</f>
        <v>0</v>
      </c>
      <c r="M131" s="203">
        <f t="shared" ca="1" si="13"/>
        <v>0</v>
      </c>
    </row>
    <row r="132" spans="1:13" s="11" customFormat="1" hidden="1" outlineLevel="2" x14ac:dyDescent="0.2">
      <c r="A132" s="11" t="str">
        <f>"        " &amp; A12</f>
        <v xml:space="preserve">        Наименование проекта</v>
      </c>
      <c r="C132" s="199" t="str">
        <f t="shared" ca="1" si="12"/>
        <v>руб.</v>
      </c>
      <c r="D132" s="11" t="str">
        <f>"[" &amp; F12 &amp; "];int_sum"</f>
        <v>[Проект];int_sum</v>
      </c>
      <c r="F132" s="54">
        <f ca="1">IF(OR(F$33&lt;$B28,F$33&gt;$C28),0,OFFSET(Проект!F$1133,0,1-$B28))</f>
        <v>0</v>
      </c>
      <c r="G132" s="54">
        <f ca="1">IF(OR(G$33&lt;$B28,G$33&gt;$C28),0,OFFSET(Проект!G$1133,0,1-$B28))</f>
        <v>0</v>
      </c>
      <c r="H132" s="54">
        <f ca="1">IF(OR(H$33&lt;$B28,H$33&gt;$C28),0,OFFSET(Проект!H$1133,0,1-$B28))</f>
        <v>0</v>
      </c>
      <c r="I132" s="54">
        <f ca="1">IF(OR(I$33&lt;$B28,I$33&gt;$C28),0,OFFSET(Проект!I$1133,0,1-$B28))</f>
        <v>0</v>
      </c>
      <c r="J132" s="54">
        <f ca="1">IF(OR(J$33&lt;$B28,J$33&gt;$C28),0,OFFSET(Проект!J$1133,0,1-$B28))</f>
        <v>0</v>
      </c>
      <c r="K132" s="54">
        <f ca="1">IF(OR(K$33&lt;$B28,K$33&gt;$C28),0,OFFSET(Проект!K$1133,0,1-$B28))</f>
        <v>0</v>
      </c>
      <c r="M132" s="203">
        <f t="shared" ca="1" si="13"/>
        <v>0</v>
      </c>
    </row>
    <row r="133" spans="1:13" outlineLevel="1" collapsed="1" x14ac:dyDescent="0.2">
      <c r="A133" t="str">
        <f ca="1">Language!A708</f>
        <v xml:space="preserve">    Оплата производственного персонала</v>
      </c>
      <c r="C133" s="115" t="str">
        <f t="shared" ca="1" si="12"/>
        <v>руб.</v>
      </c>
      <c r="D133" s="205" t="s">
        <v>2210</v>
      </c>
      <c r="F133" s="43">
        <f ca="1">SUMPRODUCT($B12:OFFSET($B13,-1,0),F134:OFFSET(F135,-1,0))</f>
        <v>672600</v>
      </c>
      <c r="G133" s="43">
        <f ca="1">SUMPRODUCT($B12:OFFSET($B13,-1,0),G134:OFFSET(G135,-1,0))</f>
        <v>832200</v>
      </c>
      <c r="H133" s="43">
        <f ca="1">SUMPRODUCT($B12:OFFSET($B13,-1,0),H134:OFFSET(H135,-1,0))</f>
        <v>991800</v>
      </c>
      <c r="I133" s="43">
        <f ca="1">SUMPRODUCT($B12:OFFSET($B13,-1,0),I134:OFFSET(I135,-1,0))</f>
        <v>1071600</v>
      </c>
      <c r="J133" s="43">
        <f ca="1">SUMPRODUCT($B12:OFFSET($B13,-1,0),J134:OFFSET(J135,-1,0))</f>
        <v>1071600</v>
      </c>
      <c r="K133" s="43">
        <f ca="1">SUMPRODUCT($B12:OFFSET($B13,-1,0),K134:OFFSET(K135,-1,0))</f>
        <v>1071600</v>
      </c>
      <c r="M133" s="203">
        <f t="shared" ca="1" si="13"/>
        <v>5711400</v>
      </c>
    </row>
    <row r="134" spans="1:13" s="11" customFormat="1" hidden="1" outlineLevel="2" x14ac:dyDescent="0.2">
      <c r="A134" s="11" t="str">
        <f>"        " &amp; A12</f>
        <v xml:space="preserve">        Наименование проекта</v>
      </c>
      <c r="C134" s="199" t="str">
        <f t="shared" ca="1" si="12"/>
        <v>руб.</v>
      </c>
      <c r="D134" s="11" t="str">
        <f>"[" &amp; F12 &amp; "];int_sum"</f>
        <v>[Проект];int_sum</v>
      </c>
      <c r="F134" s="54">
        <f ca="1">IF(OR(F$33&lt;$B28,F$33&gt;$C28),0,OFFSET(Проект!F$1134,0,1-$B28))</f>
        <v>672600</v>
      </c>
      <c r="G134" s="54">
        <f ca="1">IF(OR(G$33&lt;$B28,G$33&gt;$C28),0,OFFSET(Проект!G$1134,0,1-$B28))</f>
        <v>832200</v>
      </c>
      <c r="H134" s="54">
        <f ca="1">IF(OR(H$33&lt;$B28,H$33&gt;$C28),0,OFFSET(Проект!H$1134,0,1-$B28))</f>
        <v>991800</v>
      </c>
      <c r="I134" s="54">
        <f ca="1">IF(OR(I$33&lt;$B28,I$33&gt;$C28),0,OFFSET(Проект!I$1134,0,1-$B28))</f>
        <v>1071600</v>
      </c>
      <c r="J134" s="54">
        <f ca="1">IF(OR(J$33&lt;$B28,J$33&gt;$C28),0,OFFSET(Проект!J$1134,0,1-$B28))</f>
        <v>1071600</v>
      </c>
      <c r="K134" s="54">
        <f ca="1">IF(OR(K$33&lt;$B28,K$33&gt;$C28),0,OFFSET(Проект!K$1134,0,1-$B28))</f>
        <v>1071600</v>
      </c>
      <c r="M134" s="203">
        <f t="shared" ca="1" si="13"/>
        <v>5711400</v>
      </c>
    </row>
    <row r="135" spans="1:13" outlineLevel="1" collapsed="1" x14ac:dyDescent="0.2">
      <c r="A135" t="str">
        <f ca="1">Language!A709</f>
        <v xml:space="preserve">    Лизинговые платежи</v>
      </c>
      <c r="C135" s="115" t="str">
        <f t="shared" ca="1" si="12"/>
        <v>руб.</v>
      </c>
      <c r="D135" s="205" t="s">
        <v>2210</v>
      </c>
      <c r="F135" s="43">
        <f ca="1">SUMPRODUCT($B12:OFFSET($B13,-1,0),F136:OFFSET(F137,-1,0))</f>
        <v>0</v>
      </c>
      <c r="G135" s="43">
        <f ca="1">SUMPRODUCT($B12:OFFSET($B13,-1,0),G136:OFFSET(G137,-1,0))</f>
        <v>0</v>
      </c>
      <c r="H135" s="43">
        <f ca="1">SUMPRODUCT($B12:OFFSET($B13,-1,0),H136:OFFSET(H137,-1,0))</f>
        <v>0</v>
      </c>
      <c r="I135" s="43">
        <f ca="1">SUMPRODUCT($B12:OFFSET($B13,-1,0),I136:OFFSET(I137,-1,0))</f>
        <v>0</v>
      </c>
      <c r="J135" s="43">
        <f ca="1">SUMPRODUCT($B12:OFFSET($B13,-1,0),J136:OFFSET(J137,-1,0))</f>
        <v>0</v>
      </c>
      <c r="K135" s="43">
        <f ca="1">SUMPRODUCT($B12:OFFSET($B13,-1,0),K136:OFFSET(K137,-1,0))</f>
        <v>0</v>
      </c>
      <c r="M135" s="203">
        <f t="shared" ca="1" si="13"/>
        <v>0</v>
      </c>
    </row>
    <row r="136" spans="1:13" s="11" customFormat="1" hidden="1" outlineLevel="2" x14ac:dyDescent="0.2">
      <c r="A136" s="11" t="str">
        <f>"        " &amp; A12</f>
        <v xml:space="preserve">        Наименование проекта</v>
      </c>
      <c r="C136" s="199" t="str">
        <f t="shared" ca="1" si="12"/>
        <v>руб.</v>
      </c>
      <c r="D136" s="11" t="str">
        <f>"[" &amp; F12 &amp; "];int_sum"</f>
        <v>[Проект];int_sum</v>
      </c>
      <c r="F136" s="54">
        <f ca="1">IF(OR(F$33&lt;$B28,F$33&gt;$C28),0,OFFSET(Проект!F$1135,0,1-$B28))</f>
        <v>0</v>
      </c>
      <c r="G136" s="54">
        <f ca="1">IF(OR(G$33&lt;$B28,G$33&gt;$C28),0,OFFSET(Проект!G$1135,0,1-$B28))</f>
        <v>0</v>
      </c>
      <c r="H136" s="54">
        <f ca="1">IF(OR(H$33&lt;$B28,H$33&gt;$C28),0,OFFSET(Проект!H$1135,0,1-$B28))</f>
        <v>0</v>
      </c>
      <c r="I136" s="54">
        <f ca="1">IF(OR(I$33&lt;$B28,I$33&gt;$C28),0,OFFSET(Проект!I$1135,0,1-$B28))</f>
        <v>0</v>
      </c>
      <c r="J136" s="54">
        <f ca="1">IF(OR(J$33&lt;$B28,J$33&gt;$C28),0,OFFSET(Проект!J$1135,0,1-$B28))</f>
        <v>0</v>
      </c>
      <c r="K136" s="54">
        <f ca="1">IF(OR(K$33&lt;$B28,K$33&gt;$C28),0,OFFSET(Проект!K$1135,0,1-$B28))</f>
        <v>0</v>
      </c>
      <c r="M136" s="203">
        <f t="shared" ca="1" si="13"/>
        <v>0</v>
      </c>
    </row>
    <row r="137" spans="1:13" outlineLevel="1" collapsed="1" x14ac:dyDescent="0.2">
      <c r="A137" t="str">
        <f ca="1">Language!A710</f>
        <v xml:space="preserve">    Прочие производственные расходы</v>
      </c>
      <c r="C137" s="115" t="str">
        <f t="shared" ca="1" si="12"/>
        <v>руб.</v>
      </c>
      <c r="D137" s="205" t="s">
        <v>2210</v>
      </c>
      <c r="F137" s="43">
        <f ca="1">SUMPRODUCT($B12:OFFSET($B13,-1,0),F138:OFFSET(F139,-1,0))</f>
        <v>0</v>
      </c>
      <c r="G137" s="43">
        <f ca="1">SUMPRODUCT($B12:OFFSET($B13,-1,0),G138:OFFSET(G139,-1,0))</f>
        <v>0</v>
      </c>
      <c r="H137" s="43">
        <f ca="1">SUMPRODUCT($B12:OFFSET($B13,-1,0),H138:OFFSET(H139,-1,0))</f>
        <v>0</v>
      </c>
      <c r="I137" s="43">
        <f ca="1">SUMPRODUCT($B12:OFFSET($B13,-1,0),I138:OFFSET(I139,-1,0))</f>
        <v>0</v>
      </c>
      <c r="J137" s="43">
        <f ca="1">SUMPRODUCT($B12:OFFSET($B13,-1,0),J138:OFFSET(J139,-1,0))</f>
        <v>0</v>
      </c>
      <c r="K137" s="43">
        <f ca="1">SUMPRODUCT($B12:OFFSET($B13,-1,0),K138:OFFSET(K139,-1,0))</f>
        <v>0</v>
      </c>
      <c r="M137" s="203">
        <f t="shared" ca="1" si="13"/>
        <v>0</v>
      </c>
    </row>
    <row r="138" spans="1:13" s="11" customFormat="1" hidden="1" outlineLevel="2" x14ac:dyDescent="0.2">
      <c r="A138" s="11" t="str">
        <f>"        " &amp; A12</f>
        <v xml:space="preserve">        Наименование проекта</v>
      </c>
      <c r="C138" s="199" t="str">
        <f t="shared" ca="1" si="12"/>
        <v>руб.</v>
      </c>
      <c r="D138" s="11" t="str">
        <f>"[" &amp; F12 &amp; "];int_sum"</f>
        <v>[Проект];int_sum</v>
      </c>
      <c r="F138" s="54">
        <f ca="1">IF(OR(F$33&lt;$B28,F$33&gt;$C28),0,OFFSET(Проект!F$1136,0,1-$B28))</f>
        <v>0</v>
      </c>
      <c r="G138" s="54">
        <f ca="1">IF(OR(G$33&lt;$B28,G$33&gt;$C28),0,OFFSET(Проект!G$1136,0,1-$B28))</f>
        <v>0</v>
      </c>
      <c r="H138" s="54">
        <f ca="1">IF(OR(H$33&lt;$B28,H$33&gt;$C28),0,OFFSET(Проект!H$1136,0,1-$B28))</f>
        <v>0</v>
      </c>
      <c r="I138" s="54">
        <f ca="1">IF(OR(I$33&lt;$B28,I$33&gt;$C28),0,OFFSET(Проект!I$1136,0,1-$B28))</f>
        <v>0</v>
      </c>
      <c r="J138" s="54">
        <f ca="1">IF(OR(J$33&lt;$B28,J$33&gt;$C28),0,OFFSET(Проект!J$1136,0,1-$B28))</f>
        <v>0</v>
      </c>
      <c r="K138" s="54">
        <f ca="1">IF(OR(K$33&lt;$B28,K$33&gt;$C28),0,OFFSET(Проект!K$1136,0,1-$B28))</f>
        <v>0</v>
      </c>
      <c r="M138" s="203">
        <f t="shared" ca="1" si="13"/>
        <v>0</v>
      </c>
    </row>
    <row r="139" spans="1:13" outlineLevel="1" collapsed="1" x14ac:dyDescent="0.2">
      <c r="A139" t="str">
        <f ca="1">Language!A724</f>
        <v xml:space="preserve">    Амортизация</v>
      </c>
      <c r="C139" s="115" t="str">
        <f ca="1">CUR_Report</f>
        <v>руб.</v>
      </c>
      <c r="D139" s="205" t="s">
        <v>2210</v>
      </c>
      <c r="F139" s="43">
        <f ca="1">SUMPRODUCT($B12:OFFSET($B13,-1,0),F140:OFFSET(F141,-1,0))</f>
        <v>0</v>
      </c>
      <c r="G139" s="43">
        <f ca="1">SUMPRODUCT($B12:OFFSET($B13,-1,0),G140:OFFSET(G141,-1,0))</f>
        <v>0</v>
      </c>
      <c r="H139" s="43">
        <f ca="1">SUMPRODUCT($B12:OFFSET($B13,-1,0),H140:OFFSET(H141,-1,0))</f>
        <v>0</v>
      </c>
      <c r="I139" s="43">
        <f ca="1">SUMPRODUCT($B12:OFFSET($B13,-1,0),I140:OFFSET(I141,-1,0))</f>
        <v>20000</v>
      </c>
      <c r="J139" s="43">
        <f ca="1">SUMPRODUCT($B12:OFFSET($B13,-1,0),J140:OFFSET(J141,-1,0))</f>
        <v>20000</v>
      </c>
      <c r="K139" s="43">
        <f ca="1">SUMPRODUCT($B12:OFFSET($B13,-1,0),K140:OFFSET(K141,-1,0))</f>
        <v>21166.666666666668</v>
      </c>
      <c r="M139" s="203">
        <f t="shared" ca="1" si="13"/>
        <v>61166.666666666672</v>
      </c>
    </row>
    <row r="140" spans="1:13" s="11" customFormat="1" hidden="1" outlineLevel="2" x14ac:dyDescent="0.2">
      <c r="A140" s="11" t="str">
        <f>"        " &amp; A12</f>
        <v xml:space="preserve">        Наименование проекта</v>
      </c>
      <c r="C140" s="199" t="str">
        <f ca="1">CUR_Report</f>
        <v>руб.</v>
      </c>
      <c r="D140" s="11" t="str">
        <f>"[" &amp; F12 &amp; "];int_sum"</f>
        <v>[Проект];int_sum</v>
      </c>
      <c r="F140" s="54">
        <f ca="1">IF(OR(F$33&lt;$B28,F$33&gt;$C28),0,OFFSET(Проект!F$1137,0,1-$B28))</f>
        <v>0</v>
      </c>
      <c r="G140" s="54">
        <f ca="1">IF(OR(G$33&lt;$B28,G$33&gt;$C28),0,OFFSET(Проект!G$1137,0,1-$B28))</f>
        <v>0</v>
      </c>
      <c r="H140" s="54">
        <f ca="1">IF(OR(H$33&lt;$B28,H$33&gt;$C28),0,OFFSET(Проект!H$1137,0,1-$B28))</f>
        <v>0</v>
      </c>
      <c r="I140" s="54">
        <f ca="1">IF(OR(I$33&lt;$B28,I$33&gt;$C28),0,OFFSET(Проект!I$1137,0,1-$B28))</f>
        <v>20000</v>
      </c>
      <c r="J140" s="54">
        <f ca="1">IF(OR(J$33&lt;$B28,J$33&gt;$C28),0,OFFSET(Проект!J$1137,0,1-$B28))</f>
        <v>20000</v>
      </c>
      <c r="K140" s="54">
        <f ca="1">IF(OR(K$33&lt;$B28,K$33&gt;$C28),0,OFFSET(Проект!K$1137,0,1-$B28))</f>
        <v>21166.666666666668</v>
      </c>
      <c r="M140" s="203">
        <f t="shared" ca="1" si="13"/>
        <v>61166.666666666672</v>
      </c>
    </row>
    <row r="141" spans="1:13" outlineLevel="1" collapsed="1" x14ac:dyDescent="0.2">
      <c r="A141" s="179" t="str">
        <f ca="1">Language!A711</f>
        <v>Валовая прибыль</v>
      </c>
      <c r="C141" s="115" t="str">
        <f t="shared" ca="1" si="12"/>
        <v>руб.</v>
      </c>
      <c r="D141" s="205" t="s">
        <v>2210</v>
      </c>
      <c r="F141" s="207">
        <f ca="1">SUMPRODUCT($B12:OFFSET($B13,-1,0),F142:OFFSET(F143,-1,0))</f>
        <v>35327400</v>
      </c>
      <c r="G141" s="207">
        <f ca="1">SUMPRODUCT($B12:OFFSET($B13,-1,0),G142:OFFSET(G143,-1,0))</f>
        <v>83167800</v>
      </c>
      <c r="H141" s="207">
        <f ca="1">SUMPRODUCT($B12:OFFSET($B13,-1,0),H142:OFFSET(H143,-1,0))</f>
        <v>119008200</v>
      </c>
      <c r="I141" s="207">
        <f ca="1">SUMPRODUCT($B12:OFFSET($B13,-1,0),I142:OFFSET(I143,-1,0))</f>
        <v>118908400</v>
      </c>
      <c r="J141" s="207">
        <f ca="1">SUMPRODUCT($B12:OFFSET($B13,-1,0),J142:OFFSET(J143,-1,0))</f>
        <v>118908400</v>
      </c>
      <c r="K141" s="207">
        <f ca="1">SUMPRODUCT($B12:OFFSET($B13,-1,0),K142:OFFSET(K143,-1,0))</f>
        <v>118907233.33333333</v>
      </c>
      <c r="L141" s="179"/>
      <c r="M141" s="57">
        <f t="shared" ca="1" si="13"/>
        <v>594227433.33333337</v>
      </c>
    </row>
    <row r="142" spans="1:13" s="11" customFormat="1" hidden="1" outlineLevel="2" x14ac:dyDescent="0.2">
      <c r="A142" s="11" t="str">
        <f>"        " &amp; A12</f>
        <v xml:space="preserve">        Наименование проекта</v>
      </c>
      <c r="C142" s="199" t="str">
        <f t="shared" ca="1" si="12"/>
        <v>руб.</v>
      </c>
      <c r="D142" s="11" t="str">
        <f>"[" &amp; F12 &amp; "];int_sum"</f>
        <v>[Проект];int_sum</v>
      </c>
      <c r="F142" s="54">
        <f ca="1">IF(OR(F$33&lt;$B28,F$33&gt;$C28),0,OFFSET(Проект!F$1138,0,1-$B28))</f>
        <v>35327400</v>
      </c>
      <c r="G142" s="54">
        <f ca="1">IF(OR(G$33&lt;$B28,G$33&gt;$C28),0,OFFSET(Проект!G$1138,0,1-$B28))</f>
        <v>83167800</v>
      </c>
      <c r="H142" s="54">
        <f ca="1">IF(OR(H$33&lt;$B28,H$33&gt;$C28),0,OFFSET(Проект!H$1138,0,1-$B28))</f>
        <v>119008200</v>
      </c>
      <c r="I142" s="54">
        <f ca="1">IF(OR(I$33&lt;$B28,I$33&gt;$C28),0,OFFSET(Проект!I$1138,0,1-$B28))</f>
        <v>118908400</v>
      </c>
      <c r="J142" s="54">
        <f ca="1">IF(OR(J$33&lt;$B28,J$33&gt;$C28),0,OFFSET(Проект!J$1138,0,1-$B28))</f>
        <v>118908400</v>
      </c>
      <c r="K142" s="54">
        <f ca="1">IF(OR(K$33&lt;$B28,K$33&gt;$C28),0,OFFSET(Проект!K$1138,0,1-$B28))</f>
        <v>118907233.33333333</v>
      </c>
      <c r="M142" s="203">
        <f t="shared" ca="1" si="13"/>
        <v>594227433.33333337</v>
      </c>
    </row>
    <row r="143" spans="1:13" outlineLevel="1" collapsed="1" x14ac:dyDescent="0.2">
      <c r="A143" t="str">
        <f ca="1">Language!A712</f>
        <v>Оплата административного и коммерческого персонала</v>
      </c>
      <c r="C143" s="115" t="str">
        <f t="shared" ca="1" si="12"/>
        <v>руб.</v>
      </c>
      <c r="D143" s="205" t="s">
        <v>2210</v>
      </c>
      <c r="F143" s="43">
        <f ca="1">SUMPRODUCT($B12:OFFSET($B13,-1,0),F144:OFFSET(F145,-1,0))</f>
        <v>39900</v>
      </c>
      <c r="G143" s="43">
        <f ca="1">SUMPRODUCT($B12:OFFSET($B13,-1,0),G144:OFFSET(G145,-1,0))</f>
        <v>39900</v>
      </c>
      <c r="H143" s="43">
        <f ca="1">SUMPRODUCT($B12:OFFSET($B13,-1,0),H144:OFFSET(H145,-1,0))</f>
        <v>39900</v>
      </c>
      <c r="I143" s="43">
        <f ca="1">SUMPRODUCT($B12:OFFSET($B13,-1,0),I144:OFFSET(I145,-1,0))</f>
        <v>39900</v>
      </c>
      <c r="J143" s="43">
        <f ca="1">SUMPRODUCT($B12:OFFSET($B13,-1,0),J144:OFFSET(J145,-1,0))</f>
        <v>39900</v>
      </c>
      <c r="K143" s="43">
        <f ca="1">SUMPRODUCT($B12:OFFSET($B13,-1,0),K144:OFFSET(K145,-1,0))</f>
        <v>39900</v>
      </c>
      <c r="M143" s="203">
        <f t="shared" ca="1" si="13"/>
        <v>239400</v>
      </c>
    </row>
    <row r="144" spans="1:13" s="11" customFormat="1" hidden="1" outlineLevel="2" x14ac:dyDescent="0.2">
      <c r="A144" s="11" t="str">
        <f>"        " &amp; A12</f>
        <v xml:space="preserve">        Наименование проекта</v>
      </c>
      <c r="C144" s="199" t="str">
        <f t="shared" ca="1" si="12"/>
        <v>руб.</v>
      </c>
      <c r="D144" s="11" t="str">
        <f>"[" &amp; F12 &amp; "];int_sum"</f>
        <v>[Проект];int_sum</v>
      </c>
      <c r="F144" s="54">
        <f ca="1">IF(OR(F$33&lt;$B28,F$33&gt;$C28),0,OFFSET(Проект!F$1139,0,1-$B28))</f>
        <v>39900</v>
      </c>
      <c r="G144" s="54">
        <f ca="1">IF(OR(G$33&lt;$B28,G$33&gt;$C28),0,OFFSET(Проект!G$1139,0,1-$B28))</f>
        <v>39900</v>
      </c>
      <c r="H144" s="54">
        <f ca="1">IF(OR(H$33&lt;$B28,H$33&gt;$C28),0,OFFSET(Проект!H$1139,0,1-$B28))</f>
        <v>39900</v>
      </c>
      <c r="I144" s="54">
        <f ca="1">IF(OR(I$33&lt;$B28,I$33&gt;$C28),0,OFFSET(Проект!I$1139,0,1-$B28))</f>
        <v>39900</v>
      </c>
      <c r="J144" s="54">
        <f ca="1">IF(OR(J$33&lt;$B28,J$33&gt;$C28),0,OFFSET(Проект!J$1139,0,1-$B28))</f>
        <v>39900</v>
      </c>
      <c r="K144" s="54">
        <f ca="1">IF(OR(K$33&lt;$B28,K$33&gt;$C28),0,OFFSET(Проект!K$1139,0,1-$B28))</f>
        <v>39900</v>
      </c>
      <c r="M144" s="203">
        <f t="shared" ca="1" si="13"/>
        <v>239400</v>
      </c>
    </row>
    <row r="145" spans="1:13" outlineLevel="1" collapsed="1" x14ac:dyDescent="0.2">
      <c r="A145" t="str">
        <f ca="1">Language!A713</f>
        <v>Административные расходы</v>
      </c>
      <c r="C145" s="115" t="str">
        <f t="shared" ca="1" si="12"/>
        <v>руб.</v>
      </c>
      <c r="D145" s="205" t="s">
        <v>2210</v>
      </c>
      <c r="F145" s="43">
        <f ca="1">SUMPRODUCT($B12:OFFSET($B13,-1,0),F146:OFFSET(F147,-1,0))</f>
        <v>0</v>
      </c>
      <c r="G145" s="43">
        <f ca="1">SUMPRODUCT($B12:OFFSET($B13,-1,0),G146:OFFSET(G147,-1,0))</f>
        <v>0</v>
      </c>
      <c r="H145" s="43">
        <f ca="1">SUMPRODUCT($B12:OFFSET($B13,-1,0),H146:OFFSET(H147,-1,0))</f>
        <v>0</v>
      </c>
      <c r="I145" s="43">
        <f ca="1">SUMPRODUCT($B12:OFFSET($B13,-1,0),I146:OFFSET(I147,-1,0))</f>
        <v>0</v>
      </c>
      <c r="J145" s="43">
        <f ca="1">SUMPRODUCT($B12:OFFSET($B13,-1,0),J146:OFFSET(J147,-1,0))</f>
        <v>0</v>
      </c>
      <c r="K145" s="43">
        <f ca="1">SUMPRODUCT($B12:OFFSET($B13,-1,0),K146:OFFSET(K147,-1,0))</f>
        <v>0</v>
      </c>
      <c r="M145" s="203">
        <f t="shared" ca="1" si="13"/>
        <v>0</v>
      </c>
    </row>
    <row r="146" spans="1:13" s="11" customFormat="1" hidden="1" outlineLevel="2" x14ac:dyDescent="0.2">
      <c r="A146" s="11" t="str">
        <f>"        " &amp; A12</f>
        <v xml:space="preserve">        Наименование проекта</v>
      </c>
      <c r="C146" s="199" t="str">
        <f t="shared" ca="1" si="12"/>
        <v>руб.</v>
      </c>
      <c r="D146" s="11" t="str">
        <f>"[" &amp; F12 &amp; "];int_sum"</f>
        <v>[Проект];int_sum</v>
      </c>
      <c r="F146" s="54">
        <f ca="1">IF(OR(F$33&lt;$B28,F$33&gt;$C28),0,OFFSET(Проект!F$1140,0,1-$B28))</f>
        <v>0</v>
      </c>
      <c r="G146" s="54">
        <f ca="1">IF(OR(G$33&lt;$B28,G$33&gt;$C28),0,OFFSET(Проект!G$1140,0,1-$B28))</f>
        <v>0</v>
      </c>
      <c r="H146" s="54">
        <f ca="1">IF(OR(H$33&lt;$B28,H$33&gt;$C28),0,OFFSET(Проект!H$1140,0,1-$B28))</f>
        <v>0</v>
      </c>
      <c r="I146" s="54">
        <f ca="1">IF(OR(I$33&lt;$B28,I$33&gt;$C28),0,OFFSET(Проект!I$1140,0,1-$B28))</f>
        <v>0</v>
      </c>
      <c r="J146" s="54">
        <f ca="1">IF(OR(J$33&lt;$B28,J$33&gt;$C28),0,OFFSET(Проект!J$1140,0,1-$B28))</f>
        <v>0</v>
      </c>
      <c r="K146" s="54">
        <f ca="1">IF(OR(K$33&lt;$B28,K$33&gt;$C28),0,OFFSET(Проект!K$1140,0,1-$B28))</f>
        <v>0</v>
      </c>
      <c r="M146" s="203">
        <f t="shared" ca="1" si="13"/>
        <v>0</v>
      </c>
    </row>
    <row r="147" spans="1:13" outlineLevel="1" collapsed="1" x14ac:dyDescent="0.2">
      <c r="A147" t="str">
        <f ca="1">Language!A714</f>
        <v>Коммерческие расходы</v>
      </c>
      <c r="C147" s="115" t="str">
        <f t="shared" ca="1" si="12"/>
        <v>руб.</v>
      </c>
      <c r="D147" s="205" t="s">
        <v>2210</v>
      </c>
      <c r="F147" s="43">
        <f ca="1">SUMPRODUCT($B12:OFFSET($B13,-1,0),F148:OFFSET(F149,-1,0))</f>
        <v>20000000</v>
      </c>
      <c r="G147" s="43">
        <f ca="1">SUMPRODUCT($B12:OFFSET($B13,-1,0),G148:OFFSET(G149,-1,0))</f>
        <v>20000000</v>
      </c>
      <c r="H147" s="43">
        <f ca="1">SUMPRODUCT($B12:OFFSET($B13,-1,0),H148:OFFSET(H149,-1,0))</f>
        <v>20000000</v>
      </c>
      <c r="I147" s="43">
        <f ca="1">SUMPRODUCT($B12:OFFSET($B13,-1,0),I148:OFFSET(I149,-1,0))</f>
        <v>20000000</v>
      </c>
      <c r="J147" s="43">
        <f ca="1">SUMPRODUCT($B12:OFFSET($B13,-1,0),J148:OFFSET(J149,-1,0))</f>
        <v>20000000</v>
      </c>
      <c r="K147" s="43">
        <f ca="1">SUMPRODUCT($B12:OFFSET($B13,-1,0),K148:OFFSET(K149,-1,0))</f>
        <v>20000000</v>
      </c>
      <c r="M147" s="203">
        <f t="shared" ca="1" si="13"/>
        <v>120000000</v>
      </c>
    </row>
    <row r="148" spans="1:13" s="11" customFormat="1" hidden="1" outlineLevel="2" x14ac:dyDescent="0.2">
      <c r="A148" s="11" t="str">
        <f>"        " &amp; A12</f>
        <v xml:space="preserve">        Наименование проекта</v>
      </c>
      <c r="C148" s="199" t="str">
        <f t="shared" ca="1" si="12"/>
        <v>руб.</v>
      </c>
      <c r="D148" s="11" t="str">
        <f>"[" &amp; F12 &amp; "];int_sum"</f>
        <v>[Проект];int_sum</v>
      </c>
      <c r="F148" s="54">
        <f ca="1">IF(OR(F$33&lt;$B28,F$33&gt;$C28),0,OFFSET(Проект!F$1141,0,1-$B28))</f>
        <v>20000000</v>
      </c>
      <c r="G148" s="54">
        <f ca="1">IF(OR(G$33&lt;$B28,G$33&gt;$C28),0,OFFSET(Проект!G$1141,0,1-$B28))</f>
        <v>20000000</v>
      </c>
      <c r="H148" s="54">
        <f ca="1">IF(OR(H$33&lt;$B28,H$33&gt;$C28),0,OFFSET(Проект!H$1141,0,1-$B28))</f>
        <v>20000000</v>
      </c>
      <c r="I148" s="54">
        <f ca="1">IF(OR(I$33&lt;$B28,I$33&gt;$C28),0,OFFSET(Проект!I$1141,0,1-$B28))</f>
        <v>20000000</v>
      </c>
      <c r="J148" s="54">
        <f ca="1">IF(OR(J$33&lt;$B28,J$33&gt;$C28),0,OFFSET(Проект!J$1141,0,1-$B28))</f>
        <v>20000000</v>
      </c>
      <c r="K148" s="54">
        <f ca="1">IF(OR(K$33&lt;$B28,K$33&gt;$C28),0,OFFSET(Проект!K$1141,0,1-$B28))</f>
        <v>20000000</v>
      </c>
      <c r="M148" s="203">
        <f t="shared" ca="1" si="13"/>
        <v>120000000</v>
      </c>
    </row>
    <row r="149" spans="1:13" outlineLevel="1" collapsed="1" x14ac:dyDescent="0.2">
      <c r="A149" t="str">
        <f ca="1">Language!A715</f>
        <v>Налоги, кроме налога на прибыль</v>
      </c>
      <c r="C149" s="115" t="str">
        <f t="shared" ca="1" si="12"/>
        <v>руб.</v>
      </c>
      <c r="D149" s="205" t="s">
        <v>2210</v>
      </c>
      <c r="F149" s="43">
        <f ca="1">SUMPRODUCT($B12:OFFSET($B13,-1,0),F150:OFFSET(F151,-1,0))</f>
        <v>0</v>
      </c>
      <c r="G149" s="43">
        <f ca="1">SUMPRODUCT($B12:OFFSET($B13,-1,0),G150:OFFSET(G151,-1,0))</f>
        <v>0</v>
      </c>
      <c r="H149" s="43">
        <f ca="1">SUMPRODUCT($B12:OFFSET($B13,-1,0),H150:OFFSET(H151,-1,0))</f>
        <v>0</v>
      </c>
      <c r="I149" s="43">
        <f ca="1">SUMPRODUCT($B12:OFFSET($B13,-1,0),I150:OFFSET(I151,-1,0))</f>
        <v>0</v>
      </c>
      <c r="J149" s="43">
        <f ca="1">SUMPRODUCT($B12:OFFSET($B13,-1,0),J150:OFFSET(J151,-1,0))</f>
        <v>0</v>
      </c>
      <c r="K149" s="43">
        <f ca="1">SUMPRODUCT($B12:OFFSET($B13,-1,0),K150:OFFSET(K151,-1,0))</f>
        <v>0</v>
      </c>
      <c r="M149" s="203">
        <f t="shared" ca="1" si="13"/>
        <v>0</v>
      </c>
    </row>
    <row r="150" spans="1:13" s="11" customFormat="1" hidden="1" outlineLevel="2" x14ac:dyDescent="0.2">
      <c r="A150" s="11" t="str">
        <f>"        " &amp; A12</f>
        <v xml:space="preserve">        Наименование проекта</v>
      </c>
      <c r="C150" s="199" t="str">
        <f t="shared" ca="1" si="12"/>
        <v>руб.</v>
      </c>
      <c r="D150" s="11" t="str">
        <f>"[" &amp; F12 &amp; "];int_sum"</f>
        <v>[Проект];int_sum</v>
      </c>
      <c r="F150" s="54">
        <f ca="1">IF(OR(F$33&lt;$B28,F$33&gt;$C28),0,OFFSET(Проект!F$1144,0,1-$B28))</f>
        <v>0</v>
      </c>
      <c r="G150" s="54">
        <f ca="1">IF(OR(G$33&lt;$B28,G$33&gt;$C28),0,OFFSET(Проект!G$1144,0,1-$B28))</f>
        <v>0</v>
      </c>
      <c r="H150" s="54">
        <f ca="1">IF(OR(H$33&lt;$B28,H$33&gt;$C28),0,OFFSET(Проект!H$1144,0,1-$B28))</f>
        <v>0</v>
      </c>
      <c r="I150" s="54">
        <f ca="1">IF(OR(I$33&lt;$B28,I$33&gt;$C28),0,OFFSET(Проект!I$1144,0,1-$B28))</f>
        <v>0</v>
      </c>
      <c r="J150" s="54">
        <f ca="1">IF(OR(J$33&lt;$B28,J$33&gt;$C28),0,OFFSET(Проект!J$1144,0,1-$B28))</f>
        <v>0</v>
      </c>
      <c r="K150" s="54">
        <f ca="1">IF(OR(K$33&lt;$B28,K$33&gt;$C28),0,OFFSET(Проект!K$1144,0,1-$B28))</f>
        <v>0</v>
      </c>
      <c r="M150" s="203">
        <f t="shared" ca="1" si="13"/>
        <v>0</v>
      </c>
    </row>
    <row r="151" spans="1:13" outlineLevel="1" collapsed="1" x14ac:dyDescent="0.2">
      <c r="A151" t="str">
        <f ca="1">Language!A726</f>
        <v>Проценты</v>
      </c>
      <c r="C151" s="115" t="str">
        <f ca="1">CUR_Report</f>
        <v>руб.</v>
      </c>
      <c r="D151" s="205" t="s">
        <v>2210</v>
      </c>
      <c r="F151" s="43">
        <f ca="1">SUMPRODUCT($B12:OFFSET($B13,-1,0),F152:OFFSET(F153,-1,0))</f>
        <v>0</v>
      </c>
      <c r="G151" s="43">
        <f ca="1">SUMPRODUCT($B12:OFFSET($B13,-1,0),G152:OFFSET(G153,-1,0))</f>
        <v>0</v>
      </c>
      <c r="H151" s="43">
        <f ca="1">SUMPRODUCT($B12:OFFSET($B13,-1,0),H152:OFFSET(H153,-1,0))</f>
        <v>0</v>
      </c>
      <c r="I151" s="43">
        <f ca="1">SUMPRODUCT($B12:OFFSET($B13,-1,0),I152:OFFSET(I153,-1,0))</f>
        <v>0</v>
      </c>
      <c r="J151" s="43">
        <f ca="1">SUMPRODUCT($B12:OFFSET($B13,-1,0),J152:OFFSET(J153,-1,0))</f>
        <v>0</v>
      </c>
      <c r="K151" s="43">
        <f ca="1">SUMPRODUCT($B12:OFFSET($B13,-1,0),K152:OFFSET(K153,-1,0))</f>
        <v>0</v>
      </c>
      <c r="M151" s="203">
        <f t="shared" ca="1" si="13"/>
        <v>0</v>
      </c>
    </row>
    <row r="152" spans="1:13" s="11" customFormat="1" hidden="1" outlineLevel="2" x14ac:dyDescent="0.2">
      <c r="A152" s="11" t="str">
        <f>"        " &amp; A12</f>
        <v xml:space="preserve">        Наименование проекта</v>
      </c>
      <c r="C152" s="199" t="str">
        <f ca="1">CUR_Report</f>
        <v>руб.</v>
      </c>
      <c r="D152" s="11" t="str">
        <f>"[" &amp; F12 &amp; "];int_sum"</f>
        <v>[Проект];int_sum</v>
      </c>
      <c r="F152" s="54">
        <f ca="1">IF(OR(F$33&lt;$B28,F$33&gt;$C28),0,OFFSET(Проект!F$1142,0,1-$B28))</f>
        <v>0</v>
      </c>
      <c r="G152" s="54">
        <f ca="1">IF(OR(G$33&lt;$B28,G$33&gt;$C28),0,OFFSET(Проект!G$1142,0,1-$B28))</f>
        <v>0</v>
      </c>
      <c r="H152" s="54">
        <f ca="1">IF(OR(H$33&lt;$B28,H$33&gt;$C28),0,OFFSET(Проект!H$1142,0,1-$B28))</f>
        <v>0</v>
      </c>
      <c r="I152" s="54">
        <f ca="1">IF(OR(I$33&lt;$B28,I$33&gt;$C28),0,OFFSET(Проект!I$1142,0,1-$B28))</f>
        <v>0</v>
      </c>
      <c r="J152" s="54">
        <f ca="1">IF(OR(J$33&lt;$B28,J$33&gt;$C28),0,OFFSET(Проект!J$1142,0,1-$B28))</f>
        <v>0</v>
      </c>
      <c r="K152" s="54">
        <f ca="1">IF(OR(K$33&lt;$B28,K$33&gt;$C28),0,OFFSET(Проект!K$1142,0,1-$B28))</f>
        <v>0</v>
      </c>
      <c r="M152" s="203">
        <f t="shared" ca="1" si="13"/>
        <v>0</v>
      </c>
    </row>
    <row r="153" spans="1:13" outlineLevel="1" collapsed="1" x14ac:dyDescent="0.2">
      <c r="A153" s="179" t="str">
        <f ca="1">Language!A716</f>
        <v>Прибыль (убыток) от операционной деятельности</v>
      </c>
      <c r="C153" s="115" t="str">
        <f t="shared" ca="1" si="12"/>
        <v>руб.</v>
      </c>
      <c r="D153" s="205" t="s">
        <v>2210</v>
      </c>
      <c r="F153" s="207">
        <f ca="1">SUMPRODUCT($B12:OFFSET($B13,-1,0),F154:OFFSET(F155,-1,0))</f>
        <v>15287500</v>
      </c>
      <c r="G153" s="207">
        <f ca="1">SUMPRODUCT($B12:OFFSET($B13,-1,0),G154:OFFSET(G155,-1,0))</f>
        <v>63127900</v>
      </c>
      <c r="H153" s="207">
        <f ca="1">SUMPRODUCT($B12:OFFSET($B13,-1,0),H154:OFFSET(H155,-1,0))</f>
        <v>98968300</v>
      </c>
      <c r="I153" s="207">
        <f ca="1">SUMPRODUCT($B12:OFFSET($B13,-1,0),I154:OFFSET(I155,-1,0))</f>
        <v>98868500</v>
      </c>
      <c r="J153" s="207">
        <f ca="1">SUMPRODUCT($B12:OFFSET($B13,-1,0),J154:OFFSET(J155,-1,0))</f>
        <v>98868500</v>
      </c>
      <c r="K153" s="207">
        <f ca="1">SUMPRODUCT($B12:OFFSET($B13,-1,0),K154:OFFSET(K155,-1,0))</f>
        <v>98867333.333333328</v>
      </c>
      <c r="L153" s="179"/>
      <c r="M153" s="57">
        <f t="shared" ca="1" si="13"/>
        <v>473988033.33333331</v>
      </c>
    </row>
    <row r="154" spans="1:13" s="11" customFormat="1" hidden="1" outlineLevel="2" x14ac:dyDescent="0.2">
      <c r="A154" s="11" t="str">
        <f>"        " &amp; A12</f>
        <v xml:space="preserve">        Наименование проекта</v>
      </c>
      <c r="C154" s="199" t="str">
        <f t="shared" ca="1" si="12"/>
        <v>руб.</v>
      </c>
      <c r="D154" s="11" t="str">
        <f>"[" &amp; F12 &amp; "];int_sum"</f>
        <v>[Проект];int_sum</v>
      </c>
      <c r="F154" s="54">
        <f ca="1">IF(OR(F$33&lt;$B28,F$33&gt;$C28),0,OFFSET(Проект!F$1145,0,1-$B28))</f>
        <v>15287500</v>
      </c>
      <c r="G154" s="54">
        <f ca="1">IF(OR(G$33&lt;$B28,G$33&gt;$C28),0,OFFSET(Проект!G$1145,0,1-$B28))</f>
        <v>63127900</v>
      </c>
      <c r="H154" s="54">
        <f ca="1">IF(OR(H$33&lt;$B28,H$33&gt;$C28),0,OFFSET(Проект!H$1145,0,1-$B28))</f>
        <v>98968300</v>
      </c>
      <c r="I154" s="54">
        <f ca="1">IF(OR(I$33&lt;$B28,I$33&gt;$C28),0,OFFSET(Проект!I$1145,0,1-$B28))</f>
        <v>98868500</v>
      </c>
      <c r="J154" s="54">
        <f ca="1">IF(OR(J$33&lt;$B28,J$33&gt;$C28),0,OFFSET(Проект!J$1145,0,1-$B28))</f>
        <v>98868500</v>
      </c>
      <c r="K154" s="54">
        <f ca="1">IF(OR(K$33&lt;$B28,K$33&gt;$C28),0,OFFSET(Проект!K$1145,0,1-$B28))</f>
        <v>98867333.333333328</v>
      </c>
      <c r="M154" s="203">
        <f t="shared" ca="1" si="13"/>
        <v>473988033.33333331</v>
      </c>
    </row>
    <row r="155" spans="1:13" outlineLevel="1" collapsed="1" x14ac:dyDescent="0.2">
      <c r="A155" t="str">
        <f ca="1">Language!A718</f>
        <v>Прибыль / убыток от реализации внеоборотных активов</v>
      </c>
      <c r="C155" s="115" t="str">
        <f t="shared" ca="1" si="12"/>
        <v>руб.</v>
      </c>
      <c r="D155" s="205" t="s">
        <v>2210</v>
      </c>
      <c r="F155" s="43">
        <f ca="1">SUMPRODUCT($B12:OFFSET($B13,-1,0),F156:OFFSET(F157,-1,0))</f>
        <v>0</v>
      </c>
      <c r="G155" s="43">
        <f ca="1">SUMPRODUCT($B12:OFFSET($B13,-1,0),G156:OFFSET(G157,-1,0))</f>
        <v>0</v>
      </c>
      <c r="H155" s="43">
        <f ca="1">SUMPRODUCT($B12:OFFSET($B13,-1,0),H156:OFFSET(H157,-1,0))</f>
        <v>0</v>
      </c>
      <c r="I155" s="43">
        <f ca="1">SUMPRODUCT($B12:OFFSET($B13,-1,0),I156:OFFSET(I157,-1,0))</f>
        <v>0</v>
      </c>
      <c r="J155" s="43">
        <f ca="1">SUMPRODUCT($B12:OFFSET($B13,-1,0),J156:OFFSET(J157,-1,0))</f>
        <v>0</v>
      </c>
      <c r="K155" s="43">
        <f ca="1">SUMPRODUCT($B12:OFFSET($B13,-1,0),K156:OFFSET(K157,-1,0))</f>
        <v>0</v>
      </c>
      <c r="M155" s="203">
        <f t="shared" ca="1" si="13"/>
        <v>0</v>
      </c>
    </row>
    <row r="156" spans="1:13" s="11" customFormat="1" hidden="1" outlineLevel="2" x14ac:dyDescent="0.2">
      <c r="A156" s="11" t="str">
        <f>"        " &amp; A12</f>
        <v xml:space="preserve">        Наименование проекта</v>
      </c>
      <c r="C156" s="199" t="str">
        <f t="shared" ca="1" si="12"/>
        <v>руб.</v>
      </c>
      <c r="D156" s="11" t="str">
        <f>"[" &amp; F12 &amp; "];int_sum"</f>
        <v>[Проект];int_sum</v>
      </c>
      <c r="F156" s="54">
        <f ca="1">IF(OR(F$33&lt;$B28,F$33&gt;$C28),0,OFFSET(Проект!F$1146,0,1-$B28))</f>
        <v>0</v>
      </c>
      <c r="G156" s="54">
        <f ca="1">IF(OR(G$33&lt;$B28,G$33&gt;$C28),0,OFFSET(Проект!G$1146,0,1-$B28))</f>
        <v>0</v>
      </c>
      <c r="H156" s="54">
        <f ca="1">IF(OR(H$33&lt;$B28,H$33&gt;$C28),0,OFFSET(Проект!H$1146,0,1-$B28))</f>
        <v>0</v>
      </c>
      <c r="I156" s="54">
        <f ca="1">IF(OR(I$33&lt;$B28,I$33&gt;$C28),0,OFFSET(Проект!I$1146,0,1-$B28))</f>
        <v>0</v>
      </c>
      <c r="J156" s="54">
        <f ca="1">IF(OR(J$33&lt;$B28,J$33&gt;$C28),0,OFFSET(Проект!J$1146,0,1-$B28))</f>
        <v>0</v>
      </c>
      <c r="K156" s="54">
        <f ca="1">IF(OR(K$33&lt;$B28,K$33&gt;$C28),0,OFFSET(Проект!K$1146,0,1-$B28))</f>
        <v>0</v>
      </c>
      <c r="M156" s="203">
        <f t="shared" ca="1" si="13"/>
        <v>0</v>
      </c>
    </row>
    <row r="157" spans="1:13" s="11" customFormat="1" outlineLevel="1" collapsed="1" x14ac:dyDescent="0.2">
      <c r="A157" t="str">
        <f ca="1">Language!A719</f>
        <v>Прибыль / убыток от строительной деятельности</v>
      </c>
      <c r="C157" s="115" t="str">
        <f t="shared" ca="1" si="12"/>
        <v>руб.</v>
      </c>
      <c r="D157" s="205" t="s">
        <v>2210</v>
      </c>
      <c r="F157" s="43">
        <f ca="1">SUMPRODUCT($B12:OFFSET($B13,-1,0),F158:OFFSET(F159,-1,0))</f>
        <v>0</v>
      </c>
      <c r="G157" s="43">
        <f ca="1">SUMPRODUCT($B12:OFFSET($B13,-1,0),G158:OFFSET(G159,-1,0))</f>
        <v>0</v>
      </c>
      <c r="H157" s="43">
        <f ca="1">SUMPRODUCT($B12:OFFSET($B13,-1,0),H158:OFFSET(H159,-1,0))</f>
        <v>0</v>
      </c>
      <c r="I157" s="43">
        <f ca="1">SUMPRODUCT($B12:OFFSET($B13,-1,0),I158:OFFSET(I159,-1,0))</f>
        <v>0</v>
      </c>
      <c r="J157" s="43">
        <f ca="1">SUMPRODUCT($B12:OFFSET($B13,-1,0),J158:OFFSET(J159,-1,0))</f>
        <v>0</v>
      </c>
      <c r="K157" s="43">
        <f ca="1">SUMPRODUCT($B12:OFFSET($B13,-1,0),K158:OFFSET(K159,-1,0))</f>
        <v>0</v>
      </c>
      <c r="M157" s="203">
        <f t="shared" ca="1" si="13"/>
        <v>0</v>
      </c>
    </row>
    <row r="158" spans="1:13" s="11" customFormat="1" hidden="1" outlineLevel="2" x14ac:dyDescent="0.2">
      <c r="A158" s="11" t="str">
        <f>"        " &amp; A12</f>
        <v xml:space="preserve">        Наименование проекта</v>
      </c>
      <c r="C158" s="199" t="str">
        <f t="shared" ca="1" si="12"/>
        <v>руб.</v>
      </c>
      <c r="D158" s="11" t="str">
        <f>"[" &amp; F12 &amp; "];int_sum"</f>
        <v>[Проект];int_sum</v>
      </c>
      <c r="F158" s="54">
        <f ca="1">IF(OR(F$33&lt;$B28,F$33&gt;$C28),0,OFFSET(Проект!F$1143,0,1-$B28))</f>
        <v>0</v>
      </c>
      <c r="G158" s="54">
        <f ca="1">IF(OR(G$33&lt;$B28,G$33&gt;$C28),0,OFFSET(Проект!G$1143,0,1-$B28))</f>
        <v>0</v>
      </c>
      <c r="H158" s="54">
        <f ca="1">IF(OR(H$33&lt;$B28,H$33&gt;$C28),0,OFFSET(Проект!H$1143,0,1-$B28))</f>
        <v>0</v>
      </c>
      <c r="I158" s="54">
        <f ca="1">IF(OR(I$33&lt;$B28,I$33&gt;$C28),0,OFFSET(Проект!I$1143,0,1-$B28))</f>
        <v>0</v>
      </c>
      <c r="J158" s="54">
        <f ca="1">IF(OR(J$33&lt;$B28,J$33&gt;$C28),0,OFFSET(Проект!J$1143,0,1-$B28))</f>
        <v>0</v>
      </c>
      <c r="K158" s="54">
        <f ca="1">IF(OR(K$33&lt;$B28,K$33&gt;$C28),0,OFFSET(Проект!K$1143,0,1-$B28))</f>
        <v>0</v>
      </c>
      <c r="M158" s="203">
        <f t="shared" ca="1" si="13"/>
        <v>0</v>
      </c>
    </row>
    <row r="159" spans="1:13" outlineLevel="1" collapsed="1" x14ac:dyDescent="0.2">
      <c r="A159" t="str">
        <f ca="1">Language!A720</f>
        <v>Курсовые разницы</v>
      </c>
      <c r="C159" s="115" t="str">
        <f t="shared" ca="1" si="12"/>
        <v>руб.</v>
      </c>
      <c r="D159" s="205" t="s">
        <v>2210</v>
      </c>
      <c r="F159" s="43">
        <f ca="1">SUMPRODUCT($B12:OFFSET($B13,-1,0),F160:OFFSET(F161,-1,0))</f>
        <v>0</v>
      </c>
      <c r="G159" s="43">
        <f ca="1">SUMPRODUCT($B12:OFFSET($B13,-1,0),G160:OFFSET(G161,-1,0))</f>
        <v>0</v>
      </c>
      <c r="H159" s="43">
        <f ca="1">SUMPRODUCT($B12:OFFSET($B13,-1,0),H160:OFFSET(H161,-1,0))</f>
        <v>0</v>
      </c>
      <c r="I159" s="43">
        <f ca="1">SUMPRODUCT($B12:OFFSET($B13,-1,0),I160:OFFSET(I161,-1,0))</f>
        <v>0</v>
      </c>
      <c r="J159" s="43">
        <f ca="1">SUMPRODUCT($B12:OFFSET($B13,-1,0),J160:OFFSET(J161,-1,0))</f>
        <v>0</v>
      </c>
      <c r="K159" s="43">
        <f ca="1">SUMPRODUCT($B12:OFFSET($B13,-1,0),K160:OFFSET(K161,-1,0))</f>
        <v>0</v>
      </c>
      <c r="M159" s="203">
        <f t="shared" ca="1" si="13"/>
        <v>0</v>
      </c>
    </row>
    <row r="160" spans="1:13" s="11" customFormat="1" hidden="1" outlineLevel="2" x14ac:dyDescent="0.2">
      <c r="A160" s="11" t="str">
        <f>"        " &amp; A12</f>
        <v xml:space="preserve">        Наименование проекта</v>
      </c>
      <c r="C160" s="199" t="str">
        <f t="shared" ca="1" si="12"/>
        <v>руб.</v>
      </c>
      <c r="D160" s="11" t="str">
        <f>"[" &amp; F12 &amp; "];int_sum"</f>
        <v>[Проект];int_sum</v>
      </c>
      <c r="F160" s="54">
        <f ca="1">IF(OR(F$33&lt;$B28,F$33&gt;$C28),0,OFFSET(Проект!F$1147,0,1-$B28))</f>
        <v>0</v>
      </c>
      <c r="G160" s="54">
        <f ca="1">IF(OR(G$33&lt;$B28,G$33&gt;$C28),0,OFFSET(Проект!G$1147,0,1-$B28))</f>
        <v>0</v>
      </c>
      <c r="H160" s="54">
        <f ca="1">IF(OR(H$33&lt;$B28,H$33&gt;$C28),0,OFFSET(Проект!H$1147,0,1-$B28))</f>
        <v>0</v>
      </c>
      <c r="I160" s="54">
        <f ca="1">IF(OR(I$33&lt;$B28,I$33&gt;$C28),0,OFFSET(Проект!I$1147,0,1-$B28))</f>
        <v>0</v>
      </c>
      <c r="J160" s="54">
        <f ca="1">IF(OR(J$33&lt;$B28,J$33&gt;$C28),0,OFFSET(Проект!J$1147,0,1-$B28))</f>
        <v>0</v>
      </c>
      <c r="K160" s="54">
        <f ca="1">IF(OR(K$33&lt;$B28,K$33&gt;$C28),0,OFFSET(Проект!K$1147,0,1-$B28))</f>
        <v>0</v>
      </c>
      <c r="M160" s="203">
        <f t="shared" ca="1" si="13"/>
        <v>0</v>
      </c>
    </row>
    <row r="161" spans="1:13" outlineLevel="1" collapsed="1" x14ac:dyDescent="0.2">
      <c r="A161" t="str">
        <f ca="1">Language!A721</f>
        <v>Прочие доходы</v>
      </c>
      <c r="C161" s="115" t="str">
        <f t="shared" ca="1" si="12"/>
        <v>руб.</v>
      </c>
      <c r="D161" s="205" t="s">
        <v>2210</v>
      </c>
      <c r="F161" s="43">
        <f ca="1">SUMPRODUCT($B12:OFFSET($B13,-1,0),F162:OFFSET(F163,-1,0))</f>
        <v>0</v>
      </c>
      <c r="G161" s="43">
        <f ca="1">SUMPRODUCT($B12:OFFSET($B13,-1,0),G162:OFFSET(G163,-1,0))</f>
        <v>0</v>
      </c>
      <c r="H161" s="43">
        <f ca="1">SUMPRODUCT($B12:OFFSET($B13,-1,0),H162:OFFSET(H163,-1,0))</f>
        <v>0</v>
      </c>
      <c r="I161" s="43">
        <f ca="1">SUMPRODUCT($B12:OFFSET($B13,-1,0),I162:OFFSET(I163,-1,0))</f>
        <v>0</v>
      </c>
      <c r="J161" s="43">
        <f ca="1">SUMPRODUCT($B12:OFFSET($B13,-1,0),J162:OFFSET(J163,-1,0))</f>
        <v>0</v>
      </c>
      <c r="K161" s="43">
        <f ca="1">SUMPRODUCT($B12:OFFSET($B13,-1,0),K162:OFFSET(K163,-1,0))</f>
        <v>0</v>
      </c>
      <c r="M161" s="203">
        <f t="shared" ca="1" si="13"/>
        <v>0</v>
      </c>
    </row>
    <row r="162" spans="1:13" s="11" customFormat="1" hidden="1" outlineLevel="2" x14ac:dyDescent="0.2">
      <c r="A162" s="11" t="str">
        <f>"        " &amp; A12</f>
        <v xml:space="preserve">        Наименование проекта</v>
      </c>
      <c r="C162" s="199" t="str">
        <f t="shared" ca="1" si="12"/>
        <v>руб.</v>
      </c>
      <c r="D162" s="11" t="str">
        <f>"[" &amp; F12 &amp; "];int_sum"</f>
        <v>[Проект];int_sum</v>
      </c>
      <c r="F162" s="54">
        <f ca="1">IF(OR(F$33&lt;$B28,F$33&gt;$C28),0,OFFSET(Проект!F$1148,0,1-$B28))</f>
        <v>0</v>
      </c>
      <c r="G162" s="54">
        <f ca="1">IF(OR(G$33&lt;$B28,G$33&gt;$C28),0,OFFSET(Проект!G$1148,0,1-$B28))</f>
        <v>0</v>
      </c>
      <c r="H162" s="54">
        <f ca="1">IF(OR(H$33&lt;$B28,H$33&gt;$C28),0,OFFSET(Проект!H$1148,0,1-$B28))</f>
        <v>0</v>
      </c>
      <c r="I162" s="54">
        <f ca="1">IF(OR(I$33&lt;$B28,I$33&gt;$C28),0,OFFSET(Проект!I$1148,0,1-$B28))</f>
        <v>0</v>
      </c>
      <c r="J162" s="54">
        <f ca="1">IF(OR(J$33&lt;$B28,J$33&gt;$C28),0,OFFSET(Проект!J$1148,0,1-$B28))</f>
        <v>0</v>
      </c>
      <c r="K162" s="54">
        <f ca="1">IF(OR(K$33&lt;$B28,K$33&gt;$C28),0,OFFSET(Проект!K$1148,0,1-$B28))</f>
        <v>0</v>
      </c>
      <c r="M162" s="203">
        <f t="shared" ca="1" si="13"/>
        <v>0</v>
      </c>
    </row>
    <row r="163" spans="1:13" s="11" customFormat="1" outlineLevel="1" collapsed="1" x14ac:dyDescent="0.2">
      <c r="A163" t="str">
        <f ca="1">Language!A722</f>
        <v>Прочие расходы</v>
      </c>
      <c r="C163" s="115" t="str">
        <f t="shared" ca="1" si="12"/>
        <v>руб.</v>
      </c>
      <c r="D163" s="205" t="s">
        <v>2210</v>
      </c>
      <c r="F163" s="43">
        <f ca="1">SUMPRODUCT($B12:OFFSET($B13,-1,0),F164:OFFSET(F165,-1,0))</f>
        <v>0</v>
      </c>
      <c r="G163" s="43">
        <f ca="1">SUMPRODUCT($B12:OFFSET($B13,-1,0),G164:OFFSET(G165,-1,0))</f>
        <v>0</v>
      </c>
      <c r="H163" s="43">
        <f ca="1">SUMPRODUCT($B12:OFFSET($B13,-1,0),H164:OFFSET(H165,-1,0))</f>
        <v>0</v>
      </c>
      <c r="I163" s="43">
        <f ca="1">SUMPRODUCT($B12:OFFSET($B13,-1,0),I164:OFFSET(I165,-1,0))</f>
        <v>0</v>
      </c>
      <c r="J163" s="43">
        <f ca="1">SUMPRODUCT($B12:OFFSET($B13,-1,0),J164:OFFSET(J165,-1,0))</f>
        <v>0</v>
      </c>
      <c r="K163" s="43">
        <f ca="1">SUMPRODUCT($B12:OFFSET($B13,-1,0),K164:OFFSET(K165,-1,0))</f>
        <v>0</v>
      </c>
      <c r="M163" s="203">
        <f t="shared" ca="1" si="13"/>
        <v>0</v>
      </c>
    </row>
    <row r="164" spans="1:13" s="11" customFormat="1" hidden="1" outlineLevel="2" x14ac:dyDescent="0.2">
      <c r="A164" s="11" t="str">
        <f>"        " &amp; A12</f>
        <v xml:space="preserve">        Наименование проекта</v>
      </c>
      <c r="C164" s="199" t="str">
        <f t="shared" ca="1" si="12"/>
        <v>руб.</v>
      </c>
      <c r="D164" s="11" t="str">
        <f>"[" &amp; F12 &amp; "];int_sum"</f>
        <v>[Проект];int_sum</v>
      </c>
      <c r="F164" s="54">
        <f ca="1">IF(OR(F$33&lt;$B28,F$33&gt;$C28),0,OFFSET(Проект!F$1149,0,1-$B28))</f>
        <v>0</v>
      </c>
      <c r="G164" s="54">
        <f ca="1">IF(OR(G$33&lt;$B28,G$33&gt;$C28),0,OFFSET(Проект!G$1149,0,1-$B28))</f>
        <v>0</v>
      </c>
      <c r="H164" s="54">
        <f ca="1">IF(OR(H$33&lt;$B28,H$33&gt;$C28),0,OFFSET(Проект!H$1149,0,1-$B28))</f>
        <v>0</v>
      </c>
      <c r="I164" s="54">
        <f ca="1">IF(OR(I$33&lt;$B28,I$33&gt;$C28),0,OFFSET(Проект!I$1149,0,1-$B28))</f>
        <v>0</v>
      </c>
      <c r="J164" s="54">
        <f ca="1">IF(OR(J$33&lt;$B28,J$33&gt;$C28),0,OFFSET(Проект!J$1149,0,1-$B28))</f>
        <v>0</v>
      </c>
      <c r="K164" s="54">
        <f ca="1">IF(OR(K$33&lt;$B28,K$33&gt;$C28),0,OFFSET(Проект!K$1149,0,1-$B28))</f>
        <v>0</v>
      </c>
      <c r="M164" s="203">
        <f t="shared" ca="1" si="13"/>
        <v>0</v>
      </c>
    </row>
    <row r="165" spans="1:13" outlineLevel="1" collapsed="1" x14ac:dyDescent="0.2">
      <c r="A165" s="35" t="str">
        <f ca="1">Language!A727</f>
        <v>Прибыль до налогообложения</v>
      </c>
      <c r="C165" s="115" t="str">
        <f t="shared" ref="C165:C187" ca="1" si="14">CUR_Report</f>
        <v>руб.</v>
      </c>
      <c r="D165" s="205" t="s">
        <v>2210</v>
      </c>
      <c r="F165" s="58">
        <f ca="1">SUMPRODUCT($B12:OFFSET($B13,-1,0),F166:OFFSET(F167,-1,0))</f>
        <v>15287500</v>
      </c>
      <c r="G165" s="58">
        <f ca="1">SUMPRODUCT($B12:OFFSET($B13,-1,0),G166:OFFSET(G167,-1,0))</f>
        <v>63127900</v>
      </c>
      <c r="H165" s="58">
        <f ca="1">SUMPRODUCT($B12:OFFSET($B13,-1,0),H166:OFFSET(H167,-1,0))</f>
        <v>98968300</v>
      </c>
      <c r="I165" s="58">
        <f ca="1">SUMPRODUCT($B12:OFFSET($B13,-1,0),I166:OFFSET(I167,-1,0))</f>
        <v>98868500</v>
      </c>
      <c r="J165" s="58">
        <f ca="1">SUMPRODUCT($B12:OFFSET($B13,-1,0),J166:OFFSET(J167,-1,0))</f>
        <v>98868500</v>
      </c>
      <c r="K165" s="58">
        <f ca="1">SUMPRODUCT($B12:OFFSET($B13,-1,0),K166:OFFSET(K167,-1,0))</f>
        <v>98867333.333333328</v>
      </c>
      <c r="L165" s="35"/>
      <c r="M165" s="57">
        <f t="shared" ca="1" si="13"/>
        <v>473988033.33333331</v>
      </c>
    </row>
    <row r="166" spans="1:13" s="11" customFormat="1" hidden="1" outlineLevel="2" x14ac:dyDescent="0.2">
      <c r="A166" s="11" t="str">
        <f>"        " &amp; A12</f>
        <v xml:space="preserve">        Наименование проекта</v>
      </c>
      <c r="C166" s="199" t="str">
        <f t="shared" ca="1" si="14"/>
        <v>руб.</v>
      </c>
      <c r="D166" s="11" t="str">
        <f>"[" &amp; F12 &amp; "];int_sum"</f>
        <v>[Проект];int_sum</v>
      </c>
      <c r="F166" s="54">
        <f ca="1">IF(OR(F$33&lt;$B28,F$33&gt;$C28),0,OFFSET(Проект!F$1150,0,1-$B28))</f>
        <v>15287500</v>
      </c>
      <c r="G166" s="54">
        <f ca="1">IF(OR(G$33&lt;$B28,G$33&gt;$C28),0,OFFSET(Проект!G$1150,0,1-$B28))</f>
        <v>63127900</v>
      </c>
      <c r="H166" s="54">
        <f ca="1">IF(OR(H$33&lt;$B28,H$33&gt;$C28),0,OFFSET(Проект!H$1150,0,1-$B28))</f>
        <v>98968300</v>
      </c>
      <c r="I166" s="54">
        <f ca="1">IF(OR(I$33&lt;$B28,I$33&gt;$C28),0,OFFSET(Проект!I$1150,0,1-$B28))</f>
        <v>98868500</v>
      </c>
      <c r="J166" s="54">
        <f ca="1">IF(OR(J$33&lt;$B28,J$33&gt;$C28),0,OFFSET(Проект!J$1150,0,1-$B28))</f>
        <v>98868500</v>
      </c>
      <c r="K166" s="54">
        <f ca="1">IF(OR(K$33&lt;$B28,K$33&gt;$C28),0,OFFSET(Проект!K$1150,0,1-$B28))</f>
        <v>98867333.333333328</v>
      </c>
      <c r="M166" s="203">
        <f t="shared" ca="1" si="13"/>
        <v>473988033.33333331</v>
      </c>
    </row>
    <row r="167" spans="1:13" outlineLevel="1" collapsed="1" x14ac:dyDescent="0.2">
      <c r="A167" t="str">
        <f ca="1">Language!A728</f>
        <v>Налог на прибыль</v>
      </c>
      <c r="C167" s="115" t="str">
        <f t="shared" ca="1" si="14"/>
        <v>руб.</v>
      </c>
      <c r="D167" s="205" t="s">
        <v>2210</v>
      </c>
      <c r="F167" s="109">
        <f ca="1">IF($B12=2,SUMPRODUCT($B12:OFFSET($B13,-1,0),F168:OFFSET(F169,-1,0)),F44+F61)</f>
        <v>2160000</v>
      </c>
      <c r="G167" s="109">
        <f ca="1">IF($B12=2,SUMPRODUCT($B12:OFFSET($B13,-1,0),G168:OFFSET(G169,-1,0)),G44+G61)</f>
        <v>5040000</v>
      </c>
      <c r="H167" s="109">
        <f ca="1">IF($B12=2,SUMPRODUCT($B12:OFFSET($B13,-1,0),H168:OFFSET(H169,-1,0)),H44+H61)</f>
        <v>7200000</v>
      </c>
      <c r="I167" s="109">
        <f ca="1">IF($B12=2,SUMPRODUCT($B12:OFFSET($B13,-1,0),I168:OFFSET(I169,-1,0)),I44+I61)</f>
        <v>7200000</v>
      </c>
      <c r="J167" s="109">
        <f ca="1">IF($B12=2,SUMPRODUCT($B12:OFFSET($B13,-1,0),J168:OFFSET(J169,-1,0)),J44+J61)</f>
        <v>7200000</v>
      </c>
      <c r="K167" s="109">
        <f ca="1">IF($B12=2,SUMPRODUCT($B12:OFFSET($B13,-1,0),K168:OFFSET(K169,-1,0)),K44+K61)</f>
        <v>7200000</v>
      </c>
      <c r="M167" s="203">
        <f t="shared" ca="1" si="13"/>
        <v>36000000</v>
      </c>
    </row>
    <row r="168" spans="1:13" s="11" customFormat="1" hidden="1" outlineLevel="2" x14ac:dyDescent="0.2">
      <c r="A168" s="11" t="str">
        <f>"        " &amp; A12</f>
        <v xml:space="preserve">        Наименование проекта</v>
      </c>
      <c r="C168" s="199" t="str">
        <f t="shared" ca="1" si="14"/>
        <v>руб.</v>
      </c>
      <c r="D168" s="11" t="str">
        <f>"[" &amp; F12 &amp; "];int_sum"</f>
        <v>[Проект];int_sum</v>
      </c>
      <c r="F168" s="54">
        <f ca="1">IF(OR(F$33&lt;$B28,F$33&gt;$C28),0,OFFSET(Проект!F$1151,0,1-$B28))</f>
        <v>2160000</v>
      </c>
      <c r="G168" s="54">
        <f ca="1">IF(OR(G$33&lt;$B28,G$33&gt;$C28),0,OFFSET(Проект!G$1151,0,1-$B28))</f>
        <v>5040000</v>
      </c>
      <c r="H168" s="54">
        <f ca="1">IF(OR(H$33&lt;$B28,H$33&gt;$C28),0,OFFSET(Проект!H$1151,0,1-$B28))</f>
        <v>7200000</v>
      </c>
      <c r="I168" s="54">
        <f ca="1">IF(OR(I$33&lt;$B28,I$33&gt;$C28),0,OFFSET(Проект!I$1151,0,1-$B28))</f>
        <v>7200000</v>
      </c>
      <c r="J168" s="54">
        <f ca="1">IF(OR(J$33&lt;$B28,J$33&gt;$C28),0,OFFSET(Проект!J$1151,0,1-$B28))</f>
        <v>7200000</v>
      </c>
      <c r="K168" s="54">
        <f ca="1">IF(OR(K$33&lt;$B28,K$33&gt;$C28),0,OFFSET(Проект!K$1151,0,1-$B28))</f>
        <v>7200000</v>
      </c>
      <c r="M168" s="203">
        <f t="shared" ca="1" si="13"/>
        <v>36000000</v>
      </c>
    </row>
    <row r="169" spans="1:13" outlineLevel="1" collapsed="1" x14ac:dyDescent="0.2">
      <c r="A169" s="179" t="str">
        <f ca="1">Language!A729</f>
        <v>Чистая прибыль (убыток)</v>
      </c>
      <c r="C169" s="115" t="str">
        <f t="shared" ca="1" si="14"/>
        <v>руб.</v>
      </c>
      <c r="D169" s="205" t="s">
        <v>2210</v>
      </c>
      <c r="F169" s="207">
        <f ca="1">IF($B41=2,SUMPRODUCT($B12:OFFSET($B13,-1,0),F170:OFFSET(F171,-1,0)),F165-F167)</f>
        <v>13127500</v>
      </c>
      <c r="G169" s="207">
        <f ca="1">IF($B41=2,SUMPRODUCT($B12:OFFSET($B13,-1,0),G170:OFFSET(G171,-1,0)),G165-G167)</f>
        <v>58087900</v>
      </c>
      <c r="H169" s="207">
        <f ca="1">IF($B41=2,SUMPRODUCT($B12:OFFSET($B13,-1,0),H170:OFFSET(H171,-1,0)),H165-H167)</f>
        <v>91768300</v>
      </c>
      <c r="I169" s="207">
        <f ca="1">IF($B41=2,SUMPRODUCT($B12:OFFSET($B13,-1,0),I170:OFFSET(I171,-1,0)),I165-I167)</f>
        <v>91668500</v>
      </c>
      <c r="J169" s="207">
        <f ca="1">IF($B41=2,SUMPRODUCT($B12:OFFSET($B13,-1,0),J170:OFFSET(J171,-1,0)),J165-J167)</f>
        <v>91668500</v>
      </c>
      <c r="K169" s="207">
        <f ca="1">IF($B41=2,SUMPRODUCT($B12:OFFSET($B13,-1,0),K170:OFFSET(K171,-1,0)),K165-K167)</f>
        <v>91667333.333333328</v>
      </c>
      <c r="L169" s="179"/>
      <c r="M169" s="57">
        <f t="shared" ca="1" si="13"/>
        <v>437988033.33333331</v>
      </c>
    </row>
    <row r="170" spans="1:13" s="11" customFormat="1" hidden="1" outlineLevel="2" x14ac:dyDescent="0.2">
      <c r="A170" s="11" t="str">
        <f>"        " &amp; A12</f>
        <v xml:space="preserve">        Наименование проекта</v>
      </c>
      <c r="C170" s="199" t="str">
        <f t="shared" ca="1" si="14"/>
        <v>руб.</v>
      </c>
      <c r="D170" s="11" t="str">
        <f>"[" &amp; F12 &amp; "];int_sum"</f>
        <v>[Проект];int_sum</v>
      </c>
      <c r="F170" s="54">
        <f ca="1">IF(OR(F$33&lt;$B28,F$33&gt;$C28),0,OFFSET(Проект!F$1152,0,1-$B28))</f>
        <v>13127500</v>
      </c>
      <c r="G170" s="54">
        <f ca="1">IF(OR(G$33&lt;$B28,G$33&gt;$C28),0,OFFSET(Проект!G$1152,0,1-$B28))</f>
        <v>58087900</v>
      </c>
      <c r="H170" s="54">
        <f ca="1">IF(OR(H$33&lt;$B28,H$33&gt;$C28),0,OFFSET(Проект!H$1152,0,1-$B28))</f>
        <v>91768300</v>
      </c>
      <c r="I170" s="54">
        <f ca="1">IF(OR(I$33&lt;$B28,I$33&gt;$C28),0,OFFSET(Проект!I$1152,0,1-$B28))</f>
        <v>91668500</v>
      </c>
      <c r="J170" s="54">
        <f ca="1">IF(OR(J$33&lt;$B28,J$33&gt;$C28),0,OFFSET(Проект!J$1152,0,1-$B28))</f>
        <v>91668500</v>
      </c>
      <c r="K170" s="54">
        <f ca="1">IF(OR(K$33&lt;$B28,K$33&gt;$C28),0,OFFSET(Проект!K$1152,0,1-$B28))</f>
        <v>91667333.333333328</v>
      </c>
      <c r="M170" s="203">
        <f t="shared" ca="1" si="13"/>
        <v>437988033.33333331</v>
      </c>
    </row>
    <row r="171" spans="1:13" s="11" customFormat="1" outlineLevel="1" x14ac:dyDescent="0.2">
      <c r="C171" s="199"/>
      <c r="F171" s="54"/>
      <c r="G171" s="54"/>
      <c r="H171" s="54"/>
      <c r="I171" s="54"/>
      <c r="J171" s="54"/>
      <c r="K171" s="54"/>
      <c r="M171" s="203"/>
    </row>
    <row r="172" spans="1:13" s="11" customFormat="1" outlineLevel="1" x14ac:dyDescent="0.2">
      <c r="A172" s="11" t="s">
        <v>1930</v>
      </c>
      <c r="C172" s="199"/>
      <c r="F172" s="54"/>
      <c r="G172" s="54"/>
      <c r="H172" s="54"/>
      <c r="I172" s="54"/>
      <c r="J172" s="54"/>
      <c r="K172" s="54"/>
      <c r="M172" s="203"/>
    </row>
    <row r="173" spans="1:13" outlineLevel="1" collapsed="1" x14ac:dyDescent="0.2">
      <c r="A173" s="23" t="str">
        <f ca="1">Language!A723</f>
        <v>Прибыль до налога, процентов и амортизации (EBITDA)</v>
      </c>
      <c r="C173" s="115" t="str">
        <f t="shared" ref="C173:C178" ca="1" si="15">CUR_Report</f>
        <v>руб.</v>
      </c>
      <c r="D173" s="205" t="s">
        <v>2210</v>
      </c>
      <c r="F173" s="109">
        <f t="shared" ref="F173:J173" ca="1" si="16">F165+F151+F139</f>
        <v>15287500</v>
      </c>
      <c r="G173" s="109">
        <f t="shared" ca="1" si="16"/>
        <v>63127900</v>
      </c>
      <c r="H173" s="109">
        <f t="shared" ca="1" si="16"/>
        <v>98968300</v>
      </c>
      <c r="I173" s="109">
        <f t="shared" ca="1" si="16"/>
        <v>98888500</v>
      </c>
      <c r="J173" s="109">
        <f t="shared" ca="1" si="16"/>
        <v>98888500</v>
      </c>
      <c r="K173" s="109">
        <f t="shared" ref="K173" ca="1" si="17">K165+K151+K139</f>
        <v>98888500</v>
      </c>
      <c r="L173" s="23"/>
      <c r="M173" s="54">
        <f t="shared" ref="M173:M178" ca="1" si="18">SUM(F173:K173)</f>
        <v>474049200</v>
      </c>
    </row>
    <row r="174" spans="1:13" s="11" customFormat="1" hidden="1" outlineLevel="2" x14ac:dyDescent="0.2">
      <c r="A174" s="11" t="str">
        <f>"        " &amp; A12</f>
        <v xml:space="preserve">        Наименование проекта</v>
      </c>
      <c r="C174" s="199" t="str">
        <f t="shared" ca="1" si="15"/>
        <v>руб.</v>
      </c>
      <c r="D174" s="11" t="str">
        <f>"[" &amp; F12 &amp; "];int_sum"</f>
        <v>[Проект];int_sum</v>
      </c>
      <c r="F174" s="54">
        <f ca="1">IF(OR(F$33&lt;$B28,F$33&gt;$C28),0,OFFSET(Проект!F$1215,0,1-$B28))</f>
        <v>15287500</v>
      </c>
      <c r="G174" s="54">
        <f ca="1">IF(OR(G$33&lt;$B28,G$33&gt;$C28),0,OFFSET(Проект!G$1215,0,1-$B28))</f>
        <v>63127900</v>
      </c>
      <c r="H174" s="54">
        <f ca="1">IF(OR(H$33&lt;$B28,H$33&gt;$C28),0,OFFSET(Проект!H$1215,0,1-$B28))</f>
        <v>98968300</v>
      </c>
      <c r="I174" s="54">
        <f ca="1">IF(OR(I$33&lt;$B28,I$33&gt;$C28),0,OFFSET(Проект!I$1215,0,1-$B28))</f>
        <v>98888500</v>
      </c>
      <c r="J174" s="54">
        <f ca="1">IF(OR(J$33&lt;$B28,J$33&gt;$C28),0,OFFSET(Проект!J$1215,0,1-$B28))</f>
        <v>98888500</v>
      </c>
      <c r="K174" s="54">
        <f ca="1">IF(OR(K$33&lt;$B28,K$33&gt;$C28),0,OFFSET(Проект!K$1215,0,1-$B28))</f>
        <v>98888500</v>
      </c>
      <c r="M174" s="203">
        <f t="shared" ca="1" si="18"/>
        <v>474049200</v>
      </c>
    </row>
    <row r="175" spans="1:13" outlineLevel="1" collapsed="1" x14ac:dyDescent="0.2">
      <c r="A175" s="23" t="str">
        <f ca="1">Language!A725</f>
        <v>Прибыль до процентов и налога (EBIT)</v>
      </c>
      <c r="C175" s="115" t="str">
        <f t="shared" ca="1" si="15"/>
        <v>руб.</v>
      </c>
      <c r="D175" s="205" t="s">
        <v>2210</v>
      </c>
      <c r="F175" s="109">
        <f t="shared" ref="F175:J175" ca="1" si="19">F173-F139</f>
        <v>15287500</v>
      </c>
      <c r="G175" s="109">
        <f t="shared" ca="1" si="19"/>
        <v>63127900</v>
      </c>
      <c r="H175" s="109">
        <f t="shared" ca="1" si="19"/>
        <v>98968300</v>
      </c>
      <c r="I175" s="109">
        <f t="shared" ca="1" si="19"/>
        <v>98868500</v>
      </c>
      <c r="J175" s="109">
        <f t="shared" ca="1" si="19"/>
        <v>98868500</v>
      </c>
      <c r="K175" s="109">
        <f t="shared" ref="K175" ca="1" si="20">K173-K139</f>
        <v>98867333.333333328</v>
      </c>
      <c r="L175" s="23"/>
      <c r="M175" s="54">
        <f t="shared" ca="1" si="18"/>
        <v>473988033.33333331</v>
      </c>
    </row>
    <row r="176" spans="1:13" s="11" customFormat="1" hidden="1" outlineLevel="2" x14ac:dyDescent="0.2">
      <c r="A176" s="11" t="str">
        <f>"        " &amp; A12</f>
        <v xml:space="preserve">        Наименование проекта</v>
      </c>
      <c r="C176" s="199" t="str">
        <f t="shared" ca="1" si="15"/>
        <v>руб.</v>
      </c>
      <c r="D176" s="11" t="str">
        <f>"[" &amp; F12 &amp; "];int_sum"</f>
        <v>[Проект];int_sum</v>
      </c>
      <c r="F176" s="54">
        <f ca="1">IF(OR(F$33&lt;$B28,F$33&gt;$C28),0,OFFSET(Проект!F$1216,0,1-$B28))</f>
        <v>15287500</v>
      </c>
      <c r="G176" s="54">
        <f ca="1">IF(OR(G$33&lt;$B28,G$33&gt;$C28),0,OFFSET(Проект!G$1216,0,1-$B28))</f>
        <v>63127900</v>
      </c>
      <c r="H176" s="54">
        <f ca="1">IF(OR(H$33&lt;$B28,H$33&gt;$C28),0,OFFSET(Проект!H$1216,0,1-$B28))</f>
        <v>98968300</v>
      </c>
      <c r="I176" s="54">
        <f ca="1">IF(OR(I$33&lt;$B28,I$33&gt;$C28),0,OFFSET(Проект!I$1216,0,1-$B28))</f>
        <v>98868500</v>
      </c>
      <c r="J176" s="54">
        <f ca="1">IF(OR(J$33&lt;$B28,J$33&gt;$C28),0,OFFSET(Проект!J$1216,0,1-$B28))</f>
        <v>98868500</v>
      </c>
      <c r="K176" s="54">
        <f ca="1">IF(OR(K$33&lt;$B28,K$33&gt;$C28),0,OFFSET(Проект!K$1216,0,1-$B28))</f>
        <v>98867333.333333328</v>
      </c>
      <c r="M176" s="203">
        <f t="shared" ca="1" si="18"/>
        <v>473988033.33333331</v>
      </c>
    </row>
    <row r="177" spans="1:13" outlineLevel="1" collapsed="1" x14ac:dyDescent="0.2">
      <c r="A177" s="23" t="str">
        <f ca="1">Language!A889</f>
        <v>Посленалоговая операционная прибыль (NOPLAT)</v>
      </c>
      <c r="C177" s="115" t="str">
        <f t="shared" ca="1" si="15"/>
        <v>руб.</v>
      </c>
      <c r="D177" s="205" t="s">
        <v>2210</v>
      </c>
      <c r="F177" s="109">
        <f t="shared" ref="F177:J177" ca="1" si="21">F153-F167</f>
        <v>13127500</v>
      </c>
      <c r="G177" s="109">
        <f t="shared" ca="1" si="21"/>
        <v>58087900</v>
      </c>
      <c r="H177" s="109">
        <f t="shared" ca="1" si="21"/>
        <v>91768300</v>
      </c>
      <c r="I177" s="109">
        <f t="shared" ca="1" si="21"/>
        <v>91668500</v>
      </c>
      <c r="J177" s="109">
        <f t="shared" ca="1" si="21"/>
        <v>91668500</v>
      </c>
      <c r="K177" s="109">
        <f t="shared" ref="K177" ca="1" si="22">K153-K167</f>
        <v>91667333.333333328</v>
      </c>
      <c r="L177" s="23"/>
      <c r="M177" s="54">
        <f t="shared" ca="1" si="18"/>
        <v>437988033.33333331</v>
      </c>
    </row>
    <row r="178" spans="1:13" s="11" customFormat="1" hidden="1" outlineLevel="2" x14ac:dyDescent="0.2">
      <c r="A178" s="11" t="str">
        <f>"        " &amp; A12</f>
        <v xml:space="preserve">        Наименование проекта</v>
      </c>
      <c r="C178" s="199" t="str">
        <f t="shared" ca="1" si="15"/>
        <v>руб.</v>
      </c>
      <c r="D178" s="11" t="str">
        <f>"[" &amp; F12 &amp; "];int_sum"</f>
        <v>[Проект];int_sum</v>
      </c>
      <c r="F178" s="54">
        <f ca="1">IF(OR(F$33&lt;$B28,F$33&gt;$C28),0,OFFSET(Проект!F1217,0,1-$B28))</f>
        <v>13127500</v>
      </c>
      <c r="G178" s="54">
        <f ca="1">IF(OR(G$33&lt;$B28,G$33&gt;$C28),0,OFFSET(Проект!G1217,0,1-$B28))</f>
        <v>58087900</v>
      </c>
      <c r="H178" s="54">
        <f ca="1">IF(OR(H$33&lt;$B28,H$33&gt;$C28),0,OFFSET(Проект!H1217,0,1-$B28))</f>
        <v>91768300</v>
      </c>
      <c r="I178" s="54">
        <f ca="1">IF(OR(I$33&lt;$B28,I$33&gt;$C28),0,OFFSET(Проект!I1217,0,1-$B28))</f>
        <v>91668500</v>
      </c>
      <c r="J178" s="54">
        <f ca="1">IF(OR(J$33&lt;$B28,J$33&gt;$C28),0,OFFSET(Проект!J1217,0,1-$B28))</f>
        <v>91668500</v>
      </c>
      <c r="K178" s="54">
        <f ca="1">IF(OR(K$33&lt;$B28,K$33&gt;$C28),0,OFFSET(Проект!K1217,0,1-$B28))</f>
        <v>91667333.333333328</v>
      </c>
      <c r="M178" s="203">
        <f t="shared" ca="1" si="18"/>
        <v>437988033.33333331</v>
      </c>
    </row>
    <row r="179" spans="1:13" s="11" customFormat="1" outlineLevel="1" x14ac:dyDescent="0.2">
      <c r="C179" s="199"/>
      <c r="F179" s="54"/>
      <c r="G179" s="54"/>
      <c r="H179" s="54"/>
      <c r="I179" s="54"/>
      <c r="J179" s="54"/>
      <c r="K179" s="54"/>
      <c r="M179" s="203"/>
    </row>
    <row r="180" spans="1:13" s="11" customFormat="1" outlineLevel="1" collapsed="1" x14ac:dyDescent="0.2">
      <c r="A180" t="str">
        <f ca="1">Language!A737</f>
        <v>Дивиденды</v>
      </c>
      <c r="C180" s="115" t="str">
        <f t="shared" ca="1" si="14"/>
        <v>руб.</v>
      </c>
      <c r="D180" s="205" t="s">
        <v>2210</v>
      </c>
      <c r="F180" s="109">
        <f ca="1">SUMPRODUCT($B12:OFFSET($B13,-1,0),F181:OFFSET(F182,-1,0))</f>
        <v>0</v>
      </c>
      <c r="G180" s="109">
        <f ca="1">SUMPRODUCT($B12:OFFSET($B13,-1,0),G181:OFFSET(G182,-1,0))</f>
        <v>0</v>
      </c>
      <c r="H180" s="109">
        <f ca="1">SUMPRODUCT($B12:OFFSET($B13,-1,0),H181:OFFSET(H182,-1,0))</f>
        <v>0</v>
      </c>
      <c r="I180" s="109">
        <f ca="1">SUMPRODUCT($B12:OFFSET($B13,-1,0),I181:OFFSET(I182,-1,0))</f>
        <v>0</v>
      </c>
      <c r="J180" s="109">
        <f ca="1">SUMPRODUCT($B12:OFFSET($B13,-1,0),J181:OFFSET(J182,-1,0))</f>
        <v>0</v>
      </c>
      <c r="K180" s="109">
        <f ca="1">SUMPRODUCT($B12:OFFSET($B13,-1,0),K181:OFFSET(K182,-1,0))</f>
        <v>0</v>
      </c>
      <c r="M180" s="203">
        <f ca="1">SUM(F180:K180)</f>
        <v>0</v>
      </c>
    </row>
    <row r="181" spans="1:13" s="11" customFormat="1" hidden="1" outlineLevel="2" x14ac:dyDescent="0.2">
      <c r="A181" s="11" t="str">
        <f>"        " &amp; A12</f>
        <v xml:space="preserve">        Наименование проекта</v>
      </c>
      <c r="C181" s="199" t="str">
        <f t="shared" ca="1" si="14"/>
        <v>руб.</v>
      </c>
      <c r="D181" s="11" t="str">
        <f>"[" &amp; F12 &amp; "];int_sum"</f>
        <v>[Проект];int_sum</v>
      </c>
      <c r="F181" s="54">
        <f ca="1">IF(OR(F$33&lt;$B28,F$33&gt;$C28),0,OFFSET(Проект!F$1213,0,1-$B28))</f>
        <v>0</v>
      </c>
      <c r="G181" s="54">
        <f ca="1">IF(OR(G$33&lt;$B28,G$33&gt;$C28),0,OFFSET(Проект!G$1213,0,1-$B28))</f>
        <v>0</v>
      </c>
      <c r="H181" s="54">
        <f ca="1">IF(OR(H$33&lt;$B28,H$33&gt;$C28),0,OFFSET(Проект!H$1213,0,1-$B28))</f>
        <v>0</v>
      </c>
      <c r="I181" s="54">
        <f ca="1">IF(OR(I$33&lt;$B28,I$33&gt;$C28),0,OFFSET(Проект!I$1213,0,1-$B28))</f>
        <v>0</v>
      </c>
      <c r="J181" s="54">
        <f ca="1">IF(OR(J$33&lt;$B28,J$33&gt;$C28),0,OFFSET(Проект!J$1213,0,1-$B28))</f>
        <v>0</v>
      </c>
      <c r="K181" s="54">
        <f ca="1">IF(OR(K$33&lt;$B28,K$33&gt;$C28),0,OFFSET(Проект!K$1213,0,1-$B28))</f>
        <v>0</v>
      </c>
      <c r="M181" s="203">
        <f ca="1">SUM(F181:K181)</f>
        <v>0</v>
      </c>
    </row>
    <row r="182" spans="1:13" s="11" customFormat="1" outlineLevel="1" collapsed="1" x14ac:dyDescent="0.2">
      <c r="A182" s="23" t="str">
        <f ca="1">Language!A738</f>
        <v>Нераспределенная прибыль (за период)</v>
      </c>
      <c r="C182" s="115" t="str">
        <f t="shared" ca="1" si="14"/>
        <v>руб.</v>
      </c>
      <c r="D182" s="205" t="s">
        <v>2210</v>
      </c>
      <c r="F182" s="109">
        <f ca="1">IF($B41=2,SUMPRODUCT($B12:OFFSET($B13,-1,0),F183:OFFSET(F184,-1,0)),F169-F180)</f>
        <v>13127500</v>
      </c>
      <c r="G182" s="109">
        <f ca="1">IF($B41=2,SUMPRODUCT($B12:OFFSET($B13,-1,0),G183:OFFSET(G184,-1,0)),G169-G180)</f>
        <v>58087900</v>
      </c>
      <c r="H182" s="109">
        <f ca="1">IF($B41=2,SUMPRODUCT($B12:OFFSET($B13,-1,0),H183:OFFSET(H184,-1,0)),H169-H180)</f>
        <v>91768300</v>
      </c>
      <c r="I182" s="109">
        <f ca="1">IF($B41=2,SUMPRODUCT($B12:OFFSET($B13,-1,0),I183:OFFSET(I184,-1,0)),I169-I180)</f>
        <v>91668500</v>
      </c>
      <c r="J182" s="109">
        <f ca="1">IF($B41=2,SUMPRODUCT($B12:OFFSET($B13,-1,0),J183:OFFSET(J184,-1,0)),J169-J180)</f>
        <v>91668500</v>
      </c>
      <c r="K182" s="109">
        <f ca="1">IF($B41=2,SUMPRODUCT($B12:OFFSET($B13,-1,0),K183:OFFSET(K184,-1,0)),K169-K180)</f>
        <v>91667333.333333328</v>
      </c>
      <c r="M182" s="203">
        <f ca="1">SUM(F182:K182)</f>
        <v>437988033.33333331</v>
      </c>
    </row>
    <row r="183" spans="1:13" s="11" customFormat="1" hidden="1" outlineLevel="2" x14ac:dyDescent="0.2">
      <c r="A183" s="11" t="str">
        <f>"        " &amp; A12</f>
        <v xml:space="preserve">        Наименование проекта</v>
      </c>
      <c r="C183" s="199" t="str">
        <f t="shared" ca="1" si="14"/>
        <v>руб.</v>
      </c>
      <c r="D183" s="11" t="str">
        <f>"[" &amp; F12 &amp; "];int_sum"</f>
        <v>[Проект];int_sum</v>
      </c>
      <c r="F183" s="54">
        <f ca="1">IF(OR(F$33&lt;$B28,F$33&gt;$C28),0,OFFSET(Проект!F$1219,0,1-$B28))</f>
        <v>13127500</v>
      </c>
      <c r="G183" s="54">
        <f ca="1">IF(OR(G$33&lt;$B28,G$33&gt;$C28),0,OFFSET(Проект!G$1219,0,1-$B28))</f>
        <v>58087900</v>
      </c>
      <c r="H183" s="54">
        <f ca="1">IF(OR(H$33&lt;$B28,H$33&gt;$C28),0,OFFSET(Проект!H$1219,0,1-$B28))</f>
        <v>91768300</v>
      </c>
      <c r="I183" s="54">
        <f ca="1">IF(OR(I$33&lt;$B28,I$33&gt;$C28),0,OFFSET(Проект!I$1219,0,1-$B28))</f>
        <v>91668500</v>
      </c>
      <c r="J183" s="54">
        <f ca="1">IF(OR(J$33&lt;$B28,J$33&gt;$C28),0,OFFSET(Проект!J$1219,0,1-$B28))</f>
        <v>91668500</v>
      </c>
      <c r="K183" s="54">
        <f ca="1">IF(OR(K$33&lt;$B28,K$33&gt;$C28),0,OFFSET(Проект!K$1219,0,1-$B28))</f>
        <v>91667333.333333328</v>
      </c>
      <c r="M183" s="203">
        <f ca="1">SUM(F183:K183)</f>
        <v>437988033.33333331</v>
      </c>
    </row>
    <row r="184" spans="1:13" s="11" customFormat="1" outlineLevel="1" collapsed="1" x14ac:dyDescent="0.2">
      <c r="A184" s="23" t="str">
        <f ca="1">Language!A739</f>
        <v>Нераспределенная прибыль (на начало периода, нарастающим итогом)</v>
      </c>
      <c r="C184" s="115" t="str">
        <f t="shared" ca="1" si="14"/>
        <v>руб.</v>
      </c>
      <c r="D184" s="205" t="s">
        <v>675</v>
      </c>
      <c r="F184" s="210">
        <f ca="1">IF($B41=2,SUMPRODUCT($B12:OFFSET($B13,-1,0),F185:OFFSET(F186,-1,0)),SUMPRODUCT($B12:OFFSET($B13,-1,0),F185:OFFSET(F186,-1,0))+SUMPRODUCT($B12:OFFSET($B13,-1,0),F45:OFFSET(F46,-1,0))-F44)</f>
        <v>0</v>
      </c>
      <c r="G184" s="210">
        <f ca="1">IF($B41=2,SUMPRODUCT($B12:OFFSET($B13,-1,0),G185:OFFSET(G186,-1,0)),SUMPRODUCT($B12:OFFSET($B13,-1,0),G185:OFFSET(G186,-1,0))+SUMPRODUCT($B12:OFFSET($B13,-1,0),G45:OFFSET(G46,-1,0))-G44)</f>
        <v>13127500</v>
      </c>
      <c r="H184" s="210">
        <f ca="1">IF($B41=2,SUMPRODUCT($B12:OFFSET($B13,-1,0),H185:OFFSET(H186,-1,0)),SUMPRODUCT($B12:OFFSET($B13,-1,0),H185:OFFSET(H186,-1,0))+SUMPRODUCT($B12:OFFSET($B13,-1,0),H45:OFFSET(H46,-1,0))-H44)</f>
        <v>71215400</v>
      </c>
      <c r="I184" s="210">
        <f ca="1">IF($B41=2,SUMPRODUCT($B12:OFFSET($B13,-1,0),I185:OFFSET(I186,-1,0)),SUMPRODUCT($B12:OFFSET($B13,-1,0),I185:OFFSET(I186,-1,0))+SUMPRODUCT($B12:OFFSET($B13,-1,0),I45:OFFSET(I46,-1,0))-I44)</f>
        <v>162983700</v>
      </c>
      <c r="J184" s="210">
        <f ca="1">IF($B41=2,SUMPRODUCT($B12:OFFSET($B13,-1,0),J185:OFFSET(J186,-1,0)),SUMPRODUCT($B12:OFFSET($B13,-1,0),J185:OFFSET(J186,-1,0))+SUMPRODUCT($B12:OFFSET($B13,-1,0),J45:OFFSET(J46,-1,0))-J44)</f>
        <v>254652200</v>
      </c>
      <c r="K184" s="210">
        <f ca="1">IF($B41=2,SUMPRODUCT($B12:OFFSET($B13,-1,0),K185:OFFSET(K186,-1,0)),SUMPRODUCT($B12:OFFSET($B13,-1,0),K185:OFFSET(K186,-1,0))+SUMPRODUCT($B12:OFFSET($B13,-1,0),K45:OFFSET(K46,-1,0))-K44)</f>
        <v>346320700</v>
      </c>
      <c r="M184" s="203"/>
    </row>
    <row r="185" spans="1:13" s="11" customFormat="1" hidden="1" outlineLevel="2" x14ac:dyDescent="0.2">
      <c r="A185" s="11" t="str">
        <f>"        " &amp; A12</f>
        <v xml:space="preserve">        Наименование проекта</v>
      </c>
      <c r="C185" s="199" t="str">
        <f t="shared" ca="1" si="14"/>
        <v>руб.</v>
      </c>
      <c r="D185" s="11" t="str">
        <f>"[" &amp; F12 &amp; "];int_end"</f>
        <v>[Проект];int_end</v>
      </c>
      <c r="E185" s="54"/>
      <c r="F185" s="54">
        <f ca="1">IF(F$33&lt;$B28,0,IF(F$33&gt;$C28,IF(LIFE_PRJ=1,E185,0),OFFSET(Проект!F$1220,0,1-$B28)))</f>
        <v>0</v>
      </c>
      <c r="G185" s="54">
        <f ca="1">IF(G$33&lt;$B28,0,IF(G$33&gt;$C28,IF(LIFE_PRJ=1,F185,0),OFFSET(Проект!G$1220,0,1-$B28)))</f>
        <v>13127500</v>
      </c>
      <c r="H185" s="54">
        <f ca="1">IF(H$33&lt;$B28,0,IF(H$33&gt;$C28,IF(LIFE_PRJ=1,G185,0),OFFSET(Проект!H$1220,0,1-$B28)))</f>
        <v>71215400</v>
      </c>
      <c r="I185" s="54">
        <f ca="1">IF(I$33&lt;$B28,0,IF(I$33&gt;$C28,IF(LIFE_PRJ=1,H185,0),OFFSET(Проект!I$1220,0,1-$B28)))</f>
        <v>162983700</v>
      </c>
      <c r="J185" s="54">
        <f ca="1">IF(J$33&lt;$B28,0,IF(J$33&gt;$C28,IF(LIFE_PRJ=1,I185,0),OFFSET(Проект!J$1220,0,1-$B28)))</f>
        <v>254652200</v>
      </c>
      <c r="K185" s="54">
        <f ca="1">IF(K$33&lt;$B28,0,IF(K$33&gt;$C28,IF(LIFE_PRJ=1,J185,0),OFFSET(Проект!K$1220,0,1-$B28)))</f>
        <v>346320700</v>
      </c>
      <c r="M185" s="54"/>
    </row>
    <row r="186" spans="1:13" s="11" customFormat="1" outlineLevel="1" collapsed="1" x14ac:dyDescent="0.2">
      <c r="A186" s="23" t="str">
        <f ca="1">Language!A740</f>
        <v>Нераспределенная прибыль (на конец периода, нарастающим итогом)</v>
      </c>
      <c r="C186" s="115" t="str">
        <f t="shared" ca="1" si="14"/>
        <v>руб.</v>
      </c>
      <c r="D186" s="205" t="s">
        <v>2211</v>
      </c>
      <c r="F186" s="210">
        <f ca="1">IF($B41=2,SUMPRODUCT($B12:OFFSET($B13,-1,0),F187:OFFSET(F188,-1,0)),SUMPRODUCT($B12:OFFSET($B13,-1,0),F187:OFFSET(F188,-1,0))+SUMPRODUCT($B12:OFFSET($B13,-1,0),F45:OFFSET(F46,-1,0))-F44)</f>
        <v>13127500</v>
      </c>
      <c r="G186" s="210">
        <f ca="1">IF($B41=2,SUMPRODUCT($B12:OFFSET($B13,-1,0),G187:OFFSET(G188,-1,0)),SUMPRODUCT($B12:OFFSET($B13,-1,0),G187:OFFSET(G188,-1,0))+SUMPRODUCT($B12:OFFSET($B13,-1,0),G45:OFFSET(G46,-1,0))-G44)</f>
        <v>71215400</v>
      </c>
      <c r="H186" s="210">
        <f ca="1">IF($B41=2,SUMPRODUCT($B12:OFFSET($B13,-1,0),H187:OFFSET(H188,-1,0)),SUMPRODUCT($B12:OFFSET($B13,-1,0),H187:OFFSET(H188,-1,0))+SUMPRODUCT($B12:OFFSET($B13,-1,0),H45:OFFSET(H46,-1,0))-H44)</f>
        <v>162983700</v>
      </c>
      <c r="I186" s="210">
        <f ca="1">IF($B41=2,SUMPRODUCT($B12:OFFSET($B13,-1,0),I187:OFFSET(I188,-1,0)),SUMPRODUCT($B12:OFFSET($B13,-1,0),I187:OFFSET(I188,-1,0))+SUMPRODUCT($B12:OFFSET($B13,-1,0),I45:OFFSET(I46,-1,0))-I44)</f>
        <v>254652200</v>
      </c>
      <c r="J186" s="210">
        <f ca="1">IF($B41=2,SUMPRODUCT($B12:OFFSET($B13,-1,0),J187:OFFSET(J188,-1,0)),SUMPRODUCT($B12:OFFSET($B13,-1,0),J187:OFFSET(J188,-1,0))+SUMPRODUCT($B12:OFFSET($B13,-1,0),J45:OFFSET(J46,-1,0))-J44)</f>
        <v>346320700</v>
      </c>
      <c r="K186" s="210">
        <f ca="1">IF($B41=2,SUMPRODUCT($B12:OFFSET($B13,-1,0),K187:OFFSET(K188,-1,0)),SUMPRODUCT($B12:OFFSET($B13,-1,0),K187:OFFSET(K188,-1,0))+SUMPRODUCT($B12:OFFSET($B13,-1,0),K45:OFFSET(K46,-1,0))-K44)</f>
        <v>437988033.33333331</v>
      </c>
      <c r="M186" s="203"/>
    </row>
    <row r="187" spans="1:13" s="11" customFormat="1" hidden="1" outlineLevel="2" x14ac:dyDescent="0.2">
      <c r="A187" s="11" t="str">
        <f>"        " &amp; A12</f>
        <v xml:space="preserve">        Наименование проекта</v>
      </c>
      <c r="C187" s="199" t="str">
        <f t="shared" ca="1" si="14"/>
        <v>руб.</v>
      </c>
      <c r="D187" s="11" t="str">
        <f>"[" &amp; F12 &amp; "];int_end"</f>
        <v>[Проект];int_end</v>
      </c>
      <c r="E187" s="54"/>
      <c r="F187" s="54">
        <f ca="1">IF(F$33&lt;$B28,0,IF(F$33&gt;$C28,IF(LIFE_PRJ=1,E187,0),OFFSET(Проект!F$1221,0,1-$B28)))</f>
        <v>13127500</v>
      </c>
      <c r="G187" s="54">
        <f ca="1">IF(G$33&lt;$B28,0,IF(G$33&gt;$C28,IF(LIFE_PRJ=1,F187,0),OFFSET(Проект!G$1221,0,1-$B28)))</f>
        <v>71215400</v>
      </c>
      <c r="H187" s="54">
        <f ca="1">IF(H$33&lt;$B28,0,IF(H$33&gt;$C28,IF(LIFE_PRJ=1,G187,0),OFFSET(Проект!H$1221,0,1-$B28)))</f>
        <v>162983700</v>
      </c>
      <c r="I187" s="54">
        <f ca="1">IF(I$33&lt;$B28,0,IF(I$33&gt;$C28,IF(LIFE_PRJ=1,H187,0),OFFSET(Проект!I$1221,0,1-$B28)))</f>
        <v>254652200</v>
      </c>
      <c r="J187" s="54">
        <f ca="1">IF(J$33&lt;$B28,0,IF(J$33&gt;$C28,IF(LIFE_PRJ=1,I187,0),OFFSET(Проект!J$1221,0,1-$B28)))</f>
        <v>346320700</v>
      </c>
      <c r="K187" s="54">
        <f ca="1">IF(K$33&lt;$B28,0,IF(K$33&gt;$C28,IF(LIFE_PRJ=1,J187,0),OFFSET(Проект!K$1221,0,1-$B28)))</f>
        <v>437988033.33333331</v>
      </c>
      <c r="M187" s="54"/>
    </row>
    <row r="188" spans="1:13" outlineLevel="1" x14ac:dyDescent="0.2">
      <c r="A188" s="63"/>
      <c r="B188" s="63"/>
      <c r="C188" s="63"/>
      <c r="D188" s="63"/>
      <c r="E188" s="63"/>
      <c r="F188" s="63"/>
      <c r="G188" s="63"/>
      <c r="H188" s="63"/>
      <c r="I188" s="63"/>
      <c r="J188" s="63"/>
      <c r="K188" s="63"/>
      <c r="L188" s="63"/>
      <c r="M188" s="204"/>
    </row>
    <row r="189" spans="1:13" outlineLevel="1" collapsed="1" x14ac:dyDescent="0.2">
      <c r="A189" s="22" t="str">
        <f ca="1">Language!A$964 &amp; ", " &amp; CUR_Report</f>
        <v>График: Суммарная выручка проектов, руб.</v>
      </c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206"/>
    </row>
    <row r="190" spans="1:13" hidden="1" outlineLevel="2" x14ac:dyDescent="0.2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206"/>
    </row>
    <row r="191" spans="1:13" hidden="1" outlineLevel="2" x14ac:dyDescent="0.2"/>
    <row r="192" spans="1:13" hidden="1" outlineLevel="2" x14ac:dyDescent="0.2"/>
    <row r="193" hidden="1" outlineLevel="2" x14ac:dyDescent="0.2"/>
    <row r="194" hidden="1" outlineLevel="2" x14ac:dyDescent="0.2"/>
    <row r="195" hidden="1" outlineLevel="2" x14ac:dyDescent="0.2"/>
    <row r="196" hidden="1" outlineLevel="2" x14ac:dyDescent="0.2"/>
    <row r="197" hidden="1" outlineLevel="2" x14ac:dyDescent="0.2"/>
    <row r="198" hidden="1" outlineLevel="2" x14ac:dyDescent="0.2"/>
    <row r="199" hidden="1" outlineLevel="2" x14ac:dyDescent="0.2"/>
    <row r="200" hidden="1" outlineLevel="2" x14ac:dyDescent="0.2"/>
    <row r="201" hidden="1" outlineLevel="2" x14ac:dyDescent="0.2"/>
    <row r="202" hidden="1" outlineLevel="2" x14ac:dyDescent="0.2"/>
    <row r="203" hidden="1" outlineLevel="2" x14ac:dyDescent="0.2"/>
    <row r="204" hidden="1" outlineLevel="2" x14ac:dyDescent="0.2"/>
    <row r="205" hidden="1" outlineLevel="2" x14ac:dyDescent="0.2"/>
    <row r="206" hidden="1" outlineLevel="2" x14ac:dyDescent="0.2"/>
    <row r="207" hidden="1" outlineLevel="2" x14ac:dyDescent="0.2"/>
    <row r="208" hidden="1" outlineLevel="2" x14ac:dyDescent="0.2"/>
    <row r="209" spans="1:1" hidden="1" outlineLevel="2" x14ac:dyDescent="0.2"/>
    <row r="210" spans="1:1" hidden="1" outlineLevel="2" x14ac:dyDescent="0.2"/>
    <row r="211" spans="1:1" hidden="1" outlineLevel="2" x14ac:dyDescent="0.2"/>
    <row r="212" spans="1:1" hidden="1" outlineLevel="2" x14ac:dyDescent="0.2"/>
    <row r="213" spans="1:1" outlineLevel="1" x14ac:dyDescent="0.2"/>
    <row r="214" spans="1:1" outlineLevel="1" collapsed="1" x14ac:dyDescent="0.2">
      <c r="A214" s="22" t="str">
        <f ca="1">Language!A965 &amp; ", " &amp; CUR_Report</f>
        <v>График: Прибыль проектов, руб.</v>
      </c>
    </row>
    <row r="215" spans="1:1" hidden="1" outlineLevel="2" x14ac:dyDescent="0.2"/>
    <row r="216" spans="1:1" hidden="1" outlineLevel="2" x14ac:dyDescent="0.2"/>
    <row r="217" spans="1:1" hidden="1" outlineLevel="2" x14ac:dyDescent="0.2"/>
    <row r="218" spans="1:1" hidden="1" outlineLevel="2" x14ac:dyDescent="0.2"/>
    <row r="219" spans="1:1" hidden="1" outlineLevel="2" x14ac:dyDescent="0.2"/>
    <row r="220" spans="1:1" hidden="1" outlineLevel="2" x14ac:dyDescent="0.2"/>
    <row r="221" spans="1:1" hidden="1" outlineLevel="2" x14ac:dyDescent="0.2"/>
    <row r="222" spans="1:1" hidden="1" outlineLevel="2" x14ac:dyDescent="0.2"/>
    <row r="223" spans="1:1" hidden="1" outlineLevel="2" x14ac:dyDescent="0.2"/>
    <row r="224" spans="1:1" hidden="1" outlineLevel="2" x14ac:dyDescent="0.2"/>
    <row r="225" spans="1:1" hidden="1" outlineLevel="2" x14ac:dyDescent="0.2"/>
    <row r="226" spans="1:1" hidden="1" outlineLevel="2" x14ac:dyDescent="0.2"/>
    <row r="227" spans="1:1" hidden="1" outlineLevel="2" x14ac:dyDescent="0.2"/>
    <row r="228" spans="1:1" hidden="1" outlineLevel="2" x14ac:dyDescent="0.2"/>
    <row r="229" spans="1:1" hidden="1" outlineLevel="2" x14ac:dyDescent="0.2"/>
    <row r="230" spans="1:1" hidden="1" outlineLevel="2" x14ac:dyDescent="0.2"/>
    <row r="231" spans="1:1" hidden="1" outlineLevel="2" x14ac:dyDescent="0.2"/>
    <row r="232" spans="1:1" hidden="1" outlineLevel="2" x14ac:dyDescent="0.2"/>
    <row r="233" spans="1:1" hidden="1" outlineLevel="2" x14ac:dyDescent="0.2"/>
    <row r="234" spans="1:1" hidden="1" outlineLevel="2" x14ac:dyDescent="0.2"/>
    <row r="235" spans="1:1" hidden="1" outlineLevel="2" x14ac:dyDescent="0.2"/>
    <row r="236" spans="1:1" hidden="1" outlineLevel="2" x14ac:dyDescent="0.2"/>
    <row r="237" spans="1:1" hidden="1" outlineLevel="2" x14ac:dyDescent="0.2"/>
    <row r="238" spans="1:1" outlineLevel="1" x14ac:dyDescent="0.2"/>
    <row r="239" spans="1:1" outlineLevel="1" collapsed="1" x14ac:dyDescent="0.2">
      <c r="A239" s="295" t="str">
        <f ca="1">Language!A$1009 &amp; ", " &amp; CUR_Report</f>
        <v>График: EBITDA, руб.</v>
      </c>
    </row>
    <row r="240" spans="1:1" hidden="1" outlineLevel="2" x14ac:dyDescent="0.2"/>
    <row r="241" hidden="1" outlineLevel="2" x14ac:dyDescent="0.2"/>
    <row r="242" hidden="1" outlineLevel="2" x14ac:dyDescent="0.2"/>
    <row r="243" hidden="1" outlineLevel="2" x14ac:dyDescent="0.2"/>
    <row r="244" hidden="1" outlineLevel="2" x14ac:dyDescent="0.2"/>
    <row r="245" hidden="1" outlineLevel="2" x14ac:dyDescent="0.2"/>
    <row r="246" hidden="1" outlineLevel="2" x14ac:dyDescent="0.2"/>
    <row r="247" hidden="1" outlineLevel="2" x14ac:dyDescent="0.2"/>
    <row r="248" hidden="1" outlineLevel="2" x14ac:dyDescent="0.2"/>
    <row r="249" hidden="1" outlineLevel="2" x14ac:dyDescent="0.2"/>
    <row r="250" hidden="1" outlineLevel="2" x14ac:dyDescent="0.2"/>
    <row r="251" hidden="1" outlineLevel="2" x14ac:dyDescent="0.2"/>
    <row r="252" hidden="1" outlineLevel="2" x14ac:dyDescent="0.2"/>
    <row r="253" hidden="1" outlineLevel="2" x14ac:dyDescent="0.2"/>
    <row r="254" hidden="1" outlineLevel="2" x14ac:dyDescent="0.2"/>
    <row r="255" hidden="1" outlineLevel="2" x14ac:dyDescent="0.2"/>
    <row r="256" hidden="1" outlineLevel="2" x14ac:dyDescent="0.2"/>
    <row r="257" spans="1:13" hidden="1" outlineLevel="2" x14ac:dyDescent="0.2"/>
    <row r="258" spans="1:13" hidden="1" outlineLevel="2" x14ac:dyDescent="0.2"/>
    <row r="259" spans="1:13" hidden="1" outlineLevel="2" x14ac:dyDescent="0.2"/>
    <row r="260" spans="1:13" hidden="1" outlineLevel="2" x14ac:dyDescent="0.2"/>
    <row r="261" spans="1:13" hidden="1" outlineLevel="2" x14ac:dyDescent="0.2"/>
    <row r="262" spans="1:13" hidden="1" outlineLevel="2" x14ac:dyDescent="0.2"/>
    <row r="263" spans="1:13" outlineLevel="1" x14ac:dyDescent="0.2"/>
    <row r="264" spans="1:13" outlineLevel="1" x14ac:dyDescent="0.2"/>
    <row r="265" spans="1:13" s="4" customFormat="1" ht="15.9" customHeight="1" thickBot="1" x14ac:dyDescent="0.25">
      <c r="A265" s="166" t="str">
        <f ca="1">Language!A970</f>
        <v xml:space="preserve">         СВОДНЫЙ ОТЧЕТ О ДВИЖЕНИИ ДЕНЕЖНЫХ СРЕДСТВ</v>
      </c>
      <c r="B265" s="166"/>
      <c r="C265" s="166"/>
      <c r="D265" s="166"/>
      <c r="E265" s="166"/>
      <c r="F265" s="178" t="str">
        <f>IF(Проект!ShowRealDates,F36,F34)</f>
        <v>4/ 2020</v>
      </c>
      <c r="G265" s="178" t="str">
        <f>IF(Проект!ShowRealDates,G36,G34)</f>
        <v>5/ 2020</v>
      </c>
      <c r="H265" s="178" t="str">
        <f>IF(Проект!ShowRealDates,H36,H34)</f>
        <v>6/ 2020</v>
      </c>
      <c r="I265" s="178" t="str">
        <f>IF(Проект!ShowRealDates,I36,I34)</f>
        <v>7/ 2020</v>
      </c>
      <c r="J265" s="178" t="str">
        <f>IF(Проект!ShowRealDates,J36,J34)</f>
        <v>8/ 2020</v>
      </c>
      <c r="K265" s="178" t="str">
        <f>IF(Проект!ShowRealDates,K36,K34)</f>
        <v>9/ 2020</v>
      </c>
      <c r="L265" s="167"/>
      <c r="M265" s="195" t="str">
        <f ca="1">Language!A$371</f>
        <v>ИТОГО</v>
      </c>
    </row>
    <row r="266" spans="1:13" ht="10.8" outlineLevel="1" thickTop="1" x14ac:dyDescent="0.2"/>
    <row r="267" spans="1:13" outlineLevel="1" collapsed="1" x14ac:dyDescent="0.2">
      <c r="A267" t="str">
        <f ca="1">Language!A$742</f>
        <v>Поступления от продаж</v>
      </c>
      <c r="C267" s="5" t="str">
        <f t="shared" ref="C267:C284" ca="1" si="23">CUR_Report</f>
        <v>руб.</v>
      </c>
      <c r="D267" s="205" t="s">
        <v>2210</v>
      </c>
      <c r="F267" s="43">
        <f ca="1">SUMPRODUCT($B12:OFFSET($B13,-1,0),F268:OFFSET(F269,-1,0))</f>
        <v>36000000</v>
      </c>
      <c r="G267" s="43">
        <f ca="1">SUMPRODUCT($B12:OFFSET($B13,-1,0),G268:OFFSET(G269,-1,0))</f>
        <v>84000000</v>
      </c>
      <c r="H267" s="43">
        <f ca="1">SUMPRODUCT($B12:OFFSET($B13,-1,0),H268:OFFSET(H269,-1,0))</f>
        <v>120000000</v>
      </c>
      <c r="I267" s="43">
        <f ca="1">SUMPRODUCT($B12:OFFSET($B13,-1,0),I268:OFFSET(I269,-1,0))</f>
        <v>120000000</v>
      </c>
      <c r="J267" s="43">
        <f ca="1">SUMPRODUCT($B12:OFFSET($B13,-1,0),J268:OFFSET(J269,-1,0))</f>
        <v>120000000</v>
      </c>
      <c r="K267" s="43">
        <f ca="1">SUMPRODUCT($B12:OFFSET($B13,-1,0),K268:OFFSET(K269,-1,0))</f>
        <v>120000000</v>
      </c>
      <c r="M267" s="54">
        <f t="shared" ref="M267:M284" ca="1" si="24">SUM(F267:K267)</f>
        <v>600000000</v>
      </c>
    </row>
    <row r="268" spans="1:13" s="181" customFormat="1" hidden="1" outlineLevel="2" x14ac:dyDescent="0.2">
      <c r="A268" s="11" t="str">
        <f>"        " &amp; A12</f>
        <v xml:space="preserve">        Наименование проекта</v>
      </c>
      <c r="B268" s="11"/>
      <c r="C268" s="36" t="str">
        <f t="shared" ca="1" si="23"/>
        <v>руб.</v>
      </c>
      <c r="D268" s="11" t="str">
        <f>"[" &amp; F12 &amp; "];int_sum"</f>
        <v>[Проект];int_sum</v>
      </c>
      <c r="E268" s="11"/>
      <c r="F268" s="54">
        <f ca="1">IF(OR(F$33&lt;$B28,F$33&gt;$C28),0,OFFSET(Проект!F$1251,0,1-$B28))</f>
        <v>36000000</v>
      </c>
      <c r="G268" s="54">
        <f ca="1">IF(OR(G$33&lt;$B28,G$33&gt;$C28),0,OFFSET(Проект!G$1251,0,1-$B28))</f>
        <v>84000000</v>
      </c>
      <c r="H268" s="54">
        <f ca="1">IF(OR(H$33&lt;$B28,H$33&gt;$C28),0,OFFSET(Проект!H$1251,0,1-$B28))</f>
        <v>120000000</v>
      </c>
      <c r="I268" s="54">
        <f ca="1">IF(OR(I$33&lt;$B28,I$33&gt;$C28),0,OFFSET(Проект!I$1251,0,1-$B28))</f>
        <v>120000000</v>
      </c>
      <c r="J268" s="54">
        <f ca="1">IF(OR(J$33&lt;$B28,J$33&gt;$C28),0,OFFSET(Проект!J$1251,0,1-$B28))</f>
        <v>120000000</v>
      </c>
      <c r="K268" s="54">
        <f ca="1">IF(OR(K$33&lt;$B28,K$33&gt;$C28),0,OFFSET(Проект!K$1251,0,1-$B28))</f>
        <v>120000000</v>
      </c>
      <c r="M268" s="54">
        <f t="shared" ca="1" si="24"/>
        <v>600000000</v>
      </c>
    </row>
    <row r="269" spans="1:13" outlineLevel="1" collapsed="1" x14ac:dyDescent="0.2">
      <c r="A269" t="str">
        <f ca="1">Language!A$743</f>
        <v>Затраты на материалы и комплектующие</v>
      </c>
      <c r="C269" s="5" t="str">
        <f t="shared" ca="1" si="23"/>
        <v>руб.</v>
      </c>
      <c r="D269" s="205" t="s">
        <v>2210</v>
      </c>
      <c r="F269" s="43">
        <f ca="1">SUMPRODUCT($B12:OFFSET($B13,-1,0),F270:OFFSET(F271,-1,0))</f>
        <v>0</v>
      </c>
      <c r="G269" s="43">
        <f ca="1">SUMPRODUCT($B12:OFFSET($B13,-1,0),G270:OFFSET(G271,-1,0))</f>
        <v>0</v>
      </c>
      <c r="H269" s="43">
        <f ca="1">SUMPRODUCT($B12:OFFSET($B13,-1,0),H270:OFFSET(H271,-1,0))</f>
        <v>0</v>
      </c>
      <c r="I269" s="43">
        <f ca="1">SUMPRODUCT($B12:OFFSET($B13,-1,0),I270:OFFSET(I271,-1,0))</f>
        <v>0</v>
      </c>
      <c r="J269" s="43">
        <f ca="1">SUMPRODUCT($B12:OFFSET($B13,-1,0),J270:OFFSET(J271,-1,0))</f>
        <v>0</v>
      </c>
      <c r="K269" s="43">
        <f ca="1">SUMPRODUCT($B12:OFFSET($B13,-1,0),K270:OFFSET(K271,-1,0))</f>
        <v>0</v>
      </c>
      <c r="M269" s="54">
        <f t="shared" ca="1" si="24"/>
        <v>0</v>
      </c>
    </row>
    <row r="270" spans="1:13" s="181" customFormat="1" hidden="1" outlineLevel="2" x14ac:dyDescent="0.2">
      <c r="A270" s="181" t="str">
        <f>"        " &amp; A12</f>
        <v xml:space="preserve">        Наименование проекта</v>
      </c>
      <c r="C270" s="209" t="str">
        <f t="shared" ca="1" si="23"/>
        <v>руб.</v>
      </c>
      <c r="D270" s="181" t="str">
        <f>"[" &amp; F12 &amp; "];int_sum"</f>
        <v>[Проект];int_sum</v>
      </c>
      <c r="F270" s="54">
        <f ca="1">IF(OR(F$33&lt;$B28,F$33&gt;$C28),0,OFFSET(Проект!F$1252,0,1-$B28))</f>
        <v>0</v>
      </c>
      <c r="G270" s="54">
        <f ca="1">IF(OR(G$33&lt;$B28,G$33&gt;$C28),0,OFFSET(Проект!G$1252,0,1-$B28))</f>
        <v>0</v>
      </c>
      <c r="H270" s="54">
        <f ca="1">IF(OR(H$33&lt;$B28,H$33&gt;$C28),0,OFFSET(Проект!H$1252,0,1-$B28))</f>
        <v>0</v>
      </c>
      <c r="I270" s="54">
        <f ca="1">IF(OR(I$33&lt;$B28,I$33&gt;$C28),0,OFFSET(Проект!I$1252,0,1-$B28))</f>
        <v>0</v>
      </c>
      <c r="J270" s="54">
        <f ca="1">IF(OR(J$33&lt;$B28,J$33&gt;$C28),0,OFFSET(Проект!J$1252,0,1-$B28))</f>
        <v>0</v>
      </c>
      <c r="K270" s="54">
        <f ca="1">IF(OR(K$33&lt;$B28,K$33&gt;$C28),0,OFFSET(Проект!K$1252,0,1-$B28))</f>
        <v>0</v>
      </c>
      <c r="M270" s="54">
        <f t="shared" ca="1" si="24"/>
        <v>0</v>
      </c>
    </row>
    <row r="271" spans="1:13" outlineLevel="1" collapsed="1" x14ac:dyDescent="0.2">
      <c r="A271" t="str">
        <f ca="1">Language!A$599</f>
        <v>Прочие переменные затраты</v>
      </c>
      <c r="C271" s="5" t="str">
        <f t="shared" ca="1" si="23"/>
        <v>руб.</v>
      </c>
      <c r="D271" s="205" t="s">
        <v>2210</v>
      </c>
      <c r="F271" s="43">
        <f ca="1">SUMPRODUCT($B12:OFFSET($B13,-1,0),F272:OFFSET(F273,-1,0))</f>
        <v>0</v>
      </c>
      <c r="G271" s="43">
        <f ca="1">SUMPRODUCT($B12:OFFSET($B13,-1,0),G272:OFFSET(G273,-1,0))</f>
        <v>0</v>
      </c>
      <c r="H271" s="43">
        <f ca="1">SUMPRODUCT($B12:OFFSET($B13,-1,0),H272:OFFSET(H273,-1,0))</f>
        <v>0</v>
      </c>
      <c r="I271" s="43">
        <f ca="1">SUMPRODUCT($B12:OFFSET($B13,-1,0),I272:OFFSET(I273,-1,0))</f>
        <v>0</v>
      </c>
      <c r="J271" s="43">
        <f ca="1">SUMPRODUCT($B12:OFFSET($B13,-1,0),J272:OFFSET(J273,-1,0))</f>
        <v>0</v>
      </c>
      <c r="K271" s="43">
        <f ca="1">SUMPRODUCT($B12:OFFSET($B13,-1,0),K272:OFFSET(K273,-1,0))</f>
        <v>0</v>
      </c>
      <c r="M271" s="54">
        <f t="shared" ca="1" si="24"/>
        <v>0</v>
      </c>
    </row>
    <row r="272" spans="1:13" s="181" customFormat="1" hidden="1" outlineLevel="2" x14ac:dyDescent="0.2">
      <c r="A272" s="181" t="str">
        <f>"        " &amp; A12</f>
        <v xml:space="preserve">        Наименование проекта</v>
      </c>
      <c r="C272" s="209" t="str">
        <f t="shared" ca="1" si="23"/>
        <v>руб.</v>
      </c>
      <c r="D272" s="181" t="str">
        <f>"[" &amp; F12 &amp; "];int_sum"</f>
        <v>[Проект];int_sum</v>
      </c>
      <c r="F272" s="54">
        <f ca="1">IF(OR(F$33&lt;$B28,F$33&gt;$C28),0,OFFSET(Проект!F$1253,0,1-$B28))</f>
        <v>0</v>
      </c>
      <c r="G272" s="54">
        <f ca="1">IF(OR(G$33&lt;$B28,G$33&gt;$C28),0,OFFSET(Проект!G$1253,0,1-$B28))</f>
        <v>0</v>
      </c>
      <c r="H272" s="54">
        <f ca="1">IF(OR(H$33&lt;$B28,H$33&gt;$C28),0,OFFSET(Проект!H$1253,0,1-$B28))</f>
        <v>0</v>
      </c>
      <c r="I272" s="54">
        <f ca="1">IF(OR(I$33&lt;$B28,I$33&gt;$C28),0,OFFSET(Проект!I$1253,0,1-$B28))</f>
        <v>0</v>
      </c>
      <c r="J272" s="54">
        <f ca="1">IF(OR(J$33&lt;$B28,J$33&gt;$C28),0,OFFSET(Проект!J$1253,0,1-$B28))</f>
        <v>0</v>
      </c>
      <c r="K272" s="54">
        <f ca="1">IF(OR(K$33&lt;$B28,K$33&gt;$C28),0,OFFSET(Проект!K$1253,0,1-$B28))</f>
        <v>0</v>
      </c>
      <c r="M272" s="54">
        <f t="shared" ca="1" si="24"/>
        <v>0</v>
      </c>
    </row>
    <row r="273" spans="1:18" outlineLevel="1" collapsed="1" x14ac:dyDescent="0.2">
      <c r="A273" t="str">
        <f ca="1">Language!A$744</f>
        <v>Зарплата</v>
      </c>
      <c r="C273" s="5" t="str">
        <f t="shared" ca="1" si="23"/>
        <v>руб.</v>
      </c>
      <c r="D273" s="205" t="s">
        <v>2210</v>
      </c>
      <c r="F273" s="43">
        <f ca="1">SUMPRODUCT($B12:OFFSET($B13,-1,0),F274:OFFSET(F275,-1,0))</f>
        <v>-625000</v>
      </c>
      <c r="G273" s="43">
        <f ca="1">SUMPRODUCT($B12:OFFSET($B13,-1,0),G274:OFFSET(G275,-1,0))</f>
        <v>-765000</v>
      </c>
      <c r="H273" s="43">
        <f ca="1">SUMPRODUCT($B12:OFFSET($B13,-1,0),H274:OFFSET(H275,-1,0))</f>
        <v>-905000</v>
      </c>
      <c r="I273" s="43">
        <f ca="1">SUMPRODUCT($B12:OFFSET($B13,-1,0),I274:OFFSET(I275,-1,0))</f>
        <v>-975000</v>
      </c>
      <c r="J273" s="43">
        <f ca="1">SUMPRODUCT($B12:OFFSET($B13,-1,0),J274:OFFSET(J275,-1,0))</f>
        <v>-975000</v>
      </c>
      <c r="K273" s="43">
        <f ca="1">SUMPRODUCT($B12:OFFSET($B13,-1,0),K274:OFFSET(K275,-1,0))</f>
        <v>-975000</v>
      </c>
      <c r="M273" s="54">
        <f t="shared" ca="1" si="24"/>
        <v>-5220000</v>
      </c>
    </row>
    <row r="274" spans="1:18" s="181" customFormat="1" hidden="1" outlineLevel="2" x14ac:dyDescent="0.2">
      <c r="A274" s="181" t="str">
        <f>"        " &amp; A12</f>
        <v xml:space="preserve">        Наименование проекта</v>
      </c>
      <c r="C274" s="209" t="str">
        <f t="shared" ca="1" si="23"/>
        <v>руб.</v>
      </c>
      <c r="D274" s="181" t="str">
        <f>"[" &amp; F12 &amp; "];int_sum"</f>
        <v>[Проект];int_sum</v>
      </c>
      <c r="F274" s="54">
        <f ca="1">IF(OR(F$33&lt;$B28,F$33&gt;$C28),0,OFFSET(Проект!F$1254,0,1-$B28))</f>
        <v>-625000</v>
      </c>
      <c r="G274" s="54">
        <f ca="1">IF(OR(G$33&lt;$B28,G$33&gt;$C28),0,OFFSET(Проект!G$1254,0,1-$B28))</f>
        <v>-765000</v>
      </c>
      <c r="H274" s="54">
        <f ca="1">IF(OR(H$33&lt;$B28,H$33&gt;$C28),0,OFFSET(Проект!H$1254,0,1-$B28))</f>
        <v>-905000</v>
      </c>
      <c r="I274" s="54">
        <f ca="1">IF(OR(I$33&lt;$B28,I$33&gt;$C28),0,OFFSET(Проект!I$1254,0,1-$B28))</f>
        <v>-975000</v>
      </c>
      <c r="J274" s="54">
        <f ca="1">IF(OR(J$33&lt;$B28,J$33&gt;$C28),0,OFFSET(Проект!J$1254,0,1-$B28))</f>
        <v>-975000</v>
      </c>
      <c r="K274" s="54">
        <f ca="1">IF(OR(K$33&lt;$B28,K$33&gt;$C28),0,OFFSET(Проект!K$1254,0,1-$B28))</f>
        <v>-975000</v>
      </c>
      <c r="M274" s="54">
        <f t="shared" ca="1" si="24"/>
        <v>-5220000</v>
      </c>
    </row>
    <row r="275" spans="1:18" outlineLevel="1" collapsed="1" x14ac:dyDescent="0.2">
      <c r="A275" t="str">
        <f ca="1">Language!A$745</f>
        <v>Общие затраты</v>
      </c>
      <c r="C275" s="5" t="str">
        <f t="shared" ca="1" si="23"/>
        <v>руб.</v>
      </c>
      <c r="D275" s="205" t="s">
        <v>2210</v>
      </c>
      <c r="F275" s="43">
        <f ca="1">SUMPRODUCT($B12:OFFSET($B13,-1,0),F276:OFFSET(F277,-1,0))</f>
        <v>-20000000</v>
      </c>
      <c r="G275" s="43">
        <f ca="1">SUMPRODUCT($B12:OFFSET($B13,-1,0),G276:OFFSET(G277,-1,0))</f>
        <v>-20000000</v>
      </c>
      <c r="H275" s="43">
        <f ca="1">SUMPRODUCT($B12:OFFSET($B13,-1,0),H276:OFFSET(H277,-1,0))</f>
        <v>-20000000</v>
      </c>
      <c r="I275" s="43">
        <f ca="1">SUMPRODUCT($B12:OFFSET($B13,-1,0),I276:OFFSET(I277,-1,0))</f>
        <v>-20000000</v>
      </c>
      <c r="J275" s="43">
        <f ca="1">SUMPRODUCT($B12:OFFSET($B13,-1,0),J276:OFFSET(J277,-1,0))</f>
        <v>-20000000</v>
      </c>
      <c r="K275" s="43">
        <f ca="1">SUMPRODUCT($B12:OFFSET($B13,-1,0),K276:OFFSET(K277,-1,0))</f>
        <v>-20000000</v>
      </c>
      <c r="M275" s="54">
        <f t="shared" ca="1" si="24"/>
        <v>-120000000</v>
      </c>
    </row>
    <row r="276" spans="1:18" s="181" customFormat="1" hidden="1" outlineLevel="2" x14ac:dyDescent="0.2">
      <c r="A276" s="181" t="str">
        <f>"        " &amp; A12</f>
        <v xml:space="preserve">        Наименование проекта</v>
      </c>
      <c r="C276" s="209" t="str">
        <f t="shared" ca="1" si="23"/>
        <v>руб.</v>
      </c>
      <c r="D276" s="181" t="str">
        <f>"[" &amp; F12 &amp; "];int_sum"</f>
        <v>[Проект];int_sum</v>
      </c>
      <c r="F276" s="54">
        <f ca="1">IF(OR(F$33&lt;$B28,F$33&gt;$C28),0,OFFSET(Проект!F$1255,0,1-$B28))</f>
        <v>-20000000</v>
      </c>
      <c r="G276" s="54">
        <f ca="1">IF(OR(G$33&lt;$B28,G$33&gt;$C28),0,OFFSET(Проект!G$1255,0,1-$B28))</f>
        <v>-20000000</v>
      </c>
      <c r="H276" s="54">
        <f ca="1">IF(OR(H$33&lt;$B28,H$33&gt;$C28),0,OFFSET(Проект!H$1255,0,1-$B28))</f>
        <v>-20000000</v>
      </c>
      <c r="I276" s="54">
        <f ca="1">IF(OR(I$33&lt;$B28,I$33&gt;$C28),0,OFFSET(Проект!I$1255,0,1-$B28))</f>
        <v>-20000000</v>
      </c>
      <c r="J276" s="54">
        <f ca="1">IF(OR(J$33&lt;$B28,J$33&gt;$C28),0,OFFSET(Проект!J$1255,0,1-$B28))</f>
        <v>-20000000</v>
      </c>
      <c r="K276" s="54">
        <f ca="1">IF(OR(K$33&lt;$B28,K$33&gt;$C28),0,OFFSET(Проект!K$1255,0,1-$B28))</f>
        <v>-20000000</v>
      </c>
      <c r="M276" s="54">
        <f t="shared" ca="1" si="24"/>
        <v>-120000000</v>
      </c>
    </row>
    <row r="277" spans="1:18" outlineLevel="1" collapsed="1" x14ac:dyDescent="0.2">
      <c r="A277" t="str">
        <f ca="1">Language!A$746</f>
        <v>Налоги</v>
      </c>
      <c r="C277" s="5" t="str">
        <f t="shared" ca="1" si="23"/>
        <v>руб.</v>
      </c>
      <c r="D277" s="205" t="s">
        <v>2210</v>
      </c>
      <c r="F277" s="84">
        <f ca="1">IF($B12=2,SUMPRODUCT($B12:OFFSET($B13,-1,0),F278:OFFSET(F279,-1,0)),SUMPRODUCT($B12:OFFSET($B13,-1,0),F278:OFFSET(F279,-1,0))+SUMPRODUCT($B12:OFFSET($B13,-1,0),F45:OFFSET(F46,-1,0))-F44)</f>
        <v>-2247500</v>
      </c>
      <c r="G277" s="84">
        <f ca="1">IF($B12=2,SUMPRODUCT($B12:OFFSET($B13,-1,0),G278:OFFSET(G279,-1,0)),SUMPRODUCT($B12:OFFSET($B13,-1,0),G278:OFFSET(G279,-1,0))+SUMPRODUCT($B12:OFFSET($B13,-1,0),G45:OFFSET(G46,-1,0))-G44)</f>
        <v>-5147100</v>
      </c>
      <c r="H277" s="84">
        <f ca="1">IF($B12=2,SUMPRODUCT($B12:OFFSET($B13,-1,0),H278:OFFSET(H279,-1,0)),SUMPRODUCT($B12:OFFSET($B13,-1,0),H278:OFFSET(H279,-1,0))+SUMPRODUCT($B12:OFFSET($B13,-1,0),H45:OFFSET(H46,-1,0))-H44)</f>
        <v>-7326700</v>
      </c>
      <c r="I277" s="84">
        <f ca="1">IF($B12=2,SUMPRODUCT($B12:OFFSET($B13,-1,0),I278:OFFSET(I279,-1,0)),SUMPRODUCT($B12:OFFSET($B13,-1,0),I278:OFFSET(I279,-1,0))+SUMPRODUCT($B12:OFFSET($B13,-1,0),I45:OFFSET(I46,-1,0))-I44)</f>
        <v>-7336500</v>
      </c>
      <c r="J277" s="84">
        <f ca="1">IF($B12=2,SUMPRODUCT($B12:OFFSET($B13,-1,0),J278:OFFSET(J279,-1,0)),SUMPRODUCT($B12:OFFSET($B13,-1,0),J278:OFFSET(J279,-1,0))+SUMPRODUCT($B12:OFFSET($B13,-1,0),J45:OFFSET(J46,-1,0))-J44)</f>
        <v>-7336500</v>
      </c>
      <c r="K277" s="84">
        <f ca="1">IF($B12=2,SUMPRODUCT($B12:OFFSET($B13,-1,0),K278:OFFSET(K279,-1,0)),SUMPRODUCT($B12:OFFSET($B13,-1,0),K278:OFFSET(K279,-1,0))+SUMPRODUCT($B12:OFFSET($B13,-1,0),K45:OFFSET(K46,-1,0))-K44)</f>
        <v>-7336500</v>
      </c>
      <c r="M277" s="54">
        <f t="shared" ca="1" si="24"/>
        <v>-36730800</v>
      </c>
    </row>
    <row r="278" spans="1:18" s="181" customFormat="1" hidden="1" outlineLevel="2" x14ac:dyDescent="0.2">
      <c r="A278" s="181" t="str">
        <f>"        " &amp; A12</f>
        <v xml:space="preserve">        Наименование проекта</v>
      </c>
      <c r="C278" s="209" t="str">
        <f t="shared" ca="1" si="23"/>
        <v>руб.</v>
      </c>
      <c r="D278" s="181" t="str">
        <f>"[" &amp; F12 &amp; "];int_sum"</f>
        <v>[Проект];int_sum</v>
      </c>
      <c r="F278" s="54">
        <f ca="1">IF(OR(F$33&lt;$B28,F$33&gt;$C28),0,OFFSET(Проект!F$1256,0,1-$B28))</f>
        <v>-2247500</v>
      </c>
      <c r="G278" s="54">
        <f ca="1">IF(OR(G$33&lt;$B28,G$33&gt;$C28),0,OFFSET(Проект!G$1256,0,1-$B28))</f>
        <v>-5147100</v>
      </c>
      <c r="H278" s="54">
        <f ca="1">IF(OR(H$33&lt;$B28,H$33&gt;$C28),0,OFFSET(Проект!H$1256,0,1-$B28))</f>
        <v>-7326700</v>
      </c>
      <c r="I278" s="54">
        <f ca="1">IF(OR(I$33&lt;$B28,I$33&gt;$C28),0,OFFSET(Проект!I$1256,0,1-$B28))</f>
        <v>-7336500</v>
      </c>
      <c r="J278" s="54">
        <f ca="1">IF(OR(J$33&lt;$B28,J$33&gt;$C28),0,OFFSET(Проект!J$1256,0,1-$B28))</f>
        <v>-7336500</v>
      </c>
      <c r="K278" s="54">
        <f ca="1">IF(OR(K$33&lt;$B28,K$33&gt;$C28),0,OFFSET(Проект!K$1256,0,1-$B28))</f>
        <v>-7336500</v>
      </c>
      <c r="M278" s="54">
        <f t="shared" ca="1" si="24"/>
        <v>-36730800</v>
      </c>
    </row>
    <row r="279" spans="1:18" outlineLevel="1" collapsed="1" x14ac:dyDescent="0.2">
      <c r="A279" t="str">
        <f ca="1">Language!A$747</f>
        <v>Выплата процентов по кредитам</v>
      </c>
      <c r="C279" s="5" t="str">
        <f t="shared" ca="1" si="23"/>
        <v>руб.</v>
      </c>
      <c r="D279" s="205" t="s">
        <v>2210</v>
      </c>
      <c r="F279" s="43">
        <f ca="1">SUMPRODUCT($B12:OFFSET($B13,-1,0),F280:OFFSET(F281,-1,0))</f>
        <v>0</v>
      </c>
      <c r="G279" s="43">
        <f ca="1">SUMPRODUCT($B12:OFFSET($B13,-1,0),G280:OFFSET(G281,-1,0))</f>
        <v>0</v>
      </c>
      <c r="H279" s="43">
        <f ca="1">SUMPRODUCT($B12:OFFSET($B13,-1,0),H280:OFFSET(H281,-1,0))</f>
        <v>0</v>
      </c>
      <c r="I279" s="43">
        <f ca="1">SUMPRODUCT($B12:OFFSET($B13,-1,0),I280:OFFSET(I281,-1,0))</f>
        <v>0</v>
      </c>
      <c r="J279" s="43">
        <f ca="1">SUMPRODUCT($B12:OFFSET($B13,-1,0),J280:OFFSET(J281,-1,0))</f>
        <v>0</v>
      </c>
      <c r="K279" s="43">
        <f ca="1">SUMPRODUCT($B12:OFFSET($B13,-1,0),K280:OFFSET(K281,-1,0))</f>
        <v>0</v>
      </c>
      <c r="M279" s="54">
        <f t="shared" ca="1" si="24"/>
        <v>0</v>
      </c>
    </row>
    <row r="280" spans="1:18" s="181" customFormat="1" hidden="1" outlineLevel="2" x14ac:dyDescent="0.2">
      <c r="A280" s="181" t="str">
        <f>"        " &amp; A12</f>
        <v xml:space="preserve">        Наименование проекта</v>
      </c>
      <c r="C280" s="209" t="str">
        <f t="shared" ca="1" si="23"/>
        <v>руб.</v>
      </c>
      <c r="D280" s="181" t="str">
        <f>"[" &amp; F12 &amp; "];int_sum"</f>
        <v>[Проект];int_sum</v>
      </c>
      <c r="F280" s="54">
        <f ca="1">IF(OR(F$33&lt;$B28,F$33&gt;$C28),0,OFFSET(Проект!F$1257,0,1-$B28))</f>
        <v>0</v>
      </c>
      <c r="G280" s="54">
        <f ca="1">IF(OR(G$33&lt;$B28,G$33&gt;$C28),0,OFFSET(Проект!G$1257,0,1-$B28))</f>
        <v>0</v>
      </c>
      <c r="H280" s="54">
        <f ca="1">IF(OR(H$33&lt;$B28,H$33&gt;$C28),0,OFFSET(Проект!H$1257,0,1-$B28))</f>
        <v>0</v>
      </c>
      <c r="I280" s="54">
        <f ca="1">IF(OR(I$33&lt;$B28,I$33&gt;$C28),0,OFFSET(Проект!I$1257,0,1-$B28))</f>
        <v>0</v>
      </c>
      <c r="J280" s="54">
        <f ca="1">IF(OR(J$33&lt;$B28,J$33&gt;$C28),0,OFFSET(Проект!J$1257,0,1-$B28))</f>
        <v>0</v>
      </c>
      <c r="K280" s="54">
        <f ca="1">IF(OR(K$33&lt;$B28,K$33&gt;$C28),0,OFFSET(Проект!K$1257,0,1-$B28))</f>
        <v>0</v>
      </c>
      <c r="M280" s="54">
        <f t="shared" ca="1" si="24"/>
        <v>0</v>
      </c>
    </row>
    <row r="281" spans="1:18" outlineLevel="1" collapsed="1" x14ac:dyDescent="0.2">
      <c r="A281" t="str">
        <f ca="1">Language!A$748</f>
        <v>Прочие поступления</v>
      </c>
      <c r="C281" s="5" t="str">
        <f t="shared" ca="1" si="23"/>
        <v>руб.</v>
      </c>
      <c r="D281" s="205" t="s">
        <v>2210</v>
      </c>
      <c r="F281" s="43">
        <f ca="1">SUMPRODUCT($B12:OFFSET($B13,-1,0),F282:OFFSET(F283,-1,0))</f>
        <v>0</v>
      </c>
      <c r="G281" s="43">
        <f ca="1">SUMPRODUCT($B12:OFFSET($B13,-1,0),G282:OFFSET(G283,-1,0))</f>
        <v>0</v>
      </c>
      <c r="H281" s="43">
        <f ca="1">SUMPRODUCT($B12:OFFSET($B13,-1,0),H282:OFFSET(H283,-1,0))</f>
        <v>0</v>
      </c>
      <c r="I281" s="43">
        <f ca="1">SUMPRODUCT($B12:OFFSET($B13,-1,0),I282:OFFSET(I283,-1,0))</f>
        <v>0</v>
      </c>
      <c r="J281" s="43">
        <f ca="1">SUMPRODUCT($B12:OFFSET($B13,-1,0),J282:OFFSET(J283,-1,0))</f>
        <v>0</v>
      </c>
      <c r="K281" s="43">
        <f ca="1">SUMPRODUCT($B12:OFFSET($B13,-1,0),K282:OFFSET(K283,-1,0))</f>
        <v>0</v>
      </c>
      <c r="M281" s="54">
        <f t="shared" ca="1" si="24"/>
        <v>0</v>
      </c>
    </row>
    <row r="282" spans="1:18" s="181" customFormat="1" hidden="1" outlineLevel="2" x14ac:dyDescent="0.2">
      <c r="A282" s="181" t="str">
        <f>"        " &amp; A12</f>
        <v xml:space="preserve">        Наименование проекта</v>
      </c>
      <c r="C282" s="209" t="str">
        <f t="shared" ca="1" si="23"/>
        <v>руб.</v>
      </c>
      <c r="D282" s="181" t="str">
        <f>"[" &amp; F12 &amp; "];int_sum"</f>
        <v>[Проект];int_sum</v>
      </c>
      <c r="F282" s="54">
        <f ca="1">IF(OR(F$33&lt;$B28,F$33&gt;$C28),0,OFFSET(Проект!F$1258,0,1-$B28))</f>
        <v>0</v>
      </c>
      <c r="G282" s="54">
        <f ca="1">IF(OR(G$33&lt;$B28,G$33&gt;$C28),0,OFFSET(Проект!G$1258,0,1-$B28))</f>
        <v>0</v>
      </c>
      <c r="H282" s="54">
        <f ca="1">IF(OR(H$33&lt;$B28,H$33&gt;$C28),0,OFFSET(Проект!H$1258,0,1-$B28))</f>
        <v>0</v>
      </c>
      <c r="I282" s="54">
        <f ca="1">IF(OR(I$33&lt;$B28,I$33&gt;$C28),0,OFFSET(Проект!I$1258,0,1-$B28))</f>
        <v>0</v>
      </c>
      <c r="J282" s="54">
        <f ca="1">IF(OR(J$33&lt;$B28,J$33&gt;$C28),0,OFFSET(Проект!J$1258,0,1-$B28))</f>
        <v>0</v>
      </c>
      <c r="K282" s="54">
        <f ca="1">IF(OR(K$33&lt;$B28,K$33&gt;$C28),0,OFFSET(Проект!K$1258,0,1-$B28))</f>
        <v>0</v>
      </c>
      <c r="M282" s="54">
        <f t="shared" ca="1" si="24"/>
        <v>0</v>
      </c>
    </row>
    <row r="283" spans="1:18" outlineLevel="1" collapsed="1" x14ac:dyDescent="0.2">
      <c r="A283" t="str">
        <f ca="1">Language!A$749</f>
        <v>Прочие затраты</v>
      </c>
      <c r="C283" s="5" t="str">
        <f t="shared" ca="1" si="23"/>
        <v>руб.</v>
      </c>
      <c r="D283" s="205" t="s">
        <v>2210</v>
      </c>
      <c r="F283" s="43">
        <f ca="1">SUMPRODUCT($B12:OFFSET($B13,-1,0),F284:OFFSET(F285,-1,0))</f>
        <v>0</v>
      </c>
      <c r="G283" s="43">
        <f ca="1">SUMPRODUCT($B12:OFFSET($B13,-1,0),G284:OFFSET(G285,-1,0))</f>
        <v>0</v>
      </c>
      <c r="H283" s="43">
        <f ca="1">SUMPRODUCT($B12:OFFSET($B13,-1,0),H284:OFFSET(H285,-1,0))</f>
        <v>0</v>
      </c>
      <c r="I283" s="43">
        <f ca="1">SUMPRODUCT($B12:OFFSET($B13,-1,0),I284:OFFSET(I285,-1,0))</f>
        <v>0</v>
      </c>
      <c r="J283" s="43">
        <f ca="1">SUMPRODUCT($B12:OFFSET($B13,-1,0),J284:OFFSET(J285,-1,0))</f>
        <v>0</v>
      </c>
      <c r="K283" s="43">
        <f ca="1">SUMPRODUCT($B12:OFFSET($B13,-1,0),K284:OFFSET(K285,-1,0))</f>
        <v>0</v>
      </c>
      <c r="M283" s="54">
        <f t="shared" ca="1" si="24"/>
        <v>0</v>
      </c>
    </row>
    <row r="284" spans="1:18" s="181" customFormat="1" hidden="1" outlineLevel="2" x14ac:dyDescent="0.2">
      <c r="A284" s="181" t="str">
        <f>"        " &amp; A12</f>
        <v xml:space="preserve">        Наименование проекта</v>
      </c>
      <c r="C284" s="209" t="str">
        <f t="shared" ca="1" si="23"/>
        <v>руб.</v>
      </c>
      <c r="D284" s="181" t="str">
        <f>"[" &amp; F12 &amp; "];int_sum"</f>
        <v>[Проект];int_sum</v>
      </c>
      <c r="F284" s="54">
        <f ca="1">IF(OR(F$33&lt;$B28,F$33&gt;$C28),0,OFFSET(Проект!F$1259,0,1-$B28))</f>
        <v>0</v>
      </c>
      <c r="G284" s="54">
        <f ca="1">IF(OR(G$33&lt;$B28,G$33&gt;$C28),0,OFFSET(Проект!G$1259,0,1-$B28))</f>
        <v>0</v>
      </c>
      <c r="H284" s="54">
        <f ca="1">IF(OR(H$33&lt;$B28,H$33&gt;$C28),0,OFFSET(Проект!H$1259,0,1-$B28))</f>
        <v>0</v>
      </c>
      <c r="I284" s="54">
        <f ca="1">IF(OR(I$33&lt;$B28,I$33&gt;$C28),0,OFFSET(Проект!I$1259,0,1-$B28))</f>
        <v>0</v>
      </c>
      <c r="J284" s="54">
        <f ca="1">IF(OR(J$33&lt;$B28,J$33&gt;$C28),0,OFFSET(Проект!J$1259,0,1-$B28))</f>
        <v>0</v>
      </c>
      <c r="K284" s="54">
        <f ca="1">IF(OR(K$33&lt;$B28,K$33&gt;$C28),0,OFFSET(Проект!K$1259,0,1-$B28))</f>
        <v>0</v>
      </c>
      <c r="M284" s="54">
        <f t="shared" ca="1" si="24"/>
        <v>0</v>
      </c>
      <c r="N284" s="57"/>
      <c r="O284" s="57"/>
      <c r="P284" s="57"/>
      <c r="Q284" s="57"/>
      <c r="R284" s="57"/>
    </row>
    <row r="285" spans="1:18" outlineLevel="1" x14ac:dyDescent="0.2">
      <c r="M285" s="57"/>
      <c r="N285" s="58"/>
      <c r="O285" s="58"/>
      <c r="P285" s="58"/>
      <c r="Q285" s="58"/>
      <c r="R285" s="58"/>
    </row>
    <row r="286" spans="1:18" outlineLevel="1" collapsed="1" x14ac:dyDescent="0.2">
      <c r="A286" s="35" t="str">
        <f ca="1">Language!A$750</f>
        <v>Денежные потоки от операционной деятельности</v>
      </c>
      <c r="C286" s="5" t="str">
        <f ca="1">CUR_Report</f>
        <v>руб.</v>
      </c>
      <c r="D286" s="205" t="s">
        <v>2210</v>
      </c>
      <c r="F286" s="160">
        <f ca="1">IF($B12=2,SUMPRODUCT($B12:OFFSET($B13,-1,0),F287:OFFSET(F288,-1,0)),F283+F281+F279+F277+F275+F273+F271+F269+F267)</f>
        <v>13127500</v>
      </c>
      <c r="G286" s="160">
        <f ca="1">IF($B12=2,SUMPRODUCT($B12:OFFSET($B13,-1,0),G287:OFFSET(G288,-1,0)),G283+G281+G279+G277+G275+G273+G271+G269+G267)</f>
        <v>58087900</v>
      </c>
      <c r="H286" s="160">
        <f ca="1">IF($B12=2,SUMPRODUCT($B12:OFFSET($B13,-1,0),H287:OFFSET(H288,-1,0)),H283+H281+H279+H277+H275+H273+H271+H269+H267)</f>
        <v>91768300</v>
      </c>
      <c r="I286" s="160">
        <f ca="1">IF($B12=2,SUMPRODUCT($B12:OFFSET($B13,-1,0),I287:OFFSET(I288,-1,0)),I283+I281+I279+I277+I275+I273+I271+I269+I267)</f>
        <v>91688500</v>
      </c>
      <c r="J286" s="160">
        <f ca="1">IF($B12=2,SUMPRODUCT($B12:OFFSET($B13,-1,0),J287:OFFSET(J288,-1,0)),J283+J281+J279+J277+J275+J273+J271+J269+J267)</f>
        <v>91688500</v>
      </c>
      <c r="K286" s="160">
        <f ca="1">IF($B12=2,SUMPRODUCT($B12:OFFSET($B13,-1,0),K287:OFFSET(K288,-1,0)),K283+K281+K279+K277+K275+K273+K271+K269+K267)</f>
        <v>91688500</v>
      </c>
      <c r="M286" s="57">
        <f ca="1">SUM(F286:K286)</f>
        <v>438049200</v>
      </c>
    </row>
    <row r="287" spans="1:18" s="11" customFormat="1" hidden="1" outlineLevel="2" x14ac:dyDescent="0.2">
      <c r="A287" s="11" t="str">
        <f>"        " &amp; A12</f>
        <v xml:space="preserve">        Наименование проекта</v>
      </c>
      <c r="C287" s="36" t="str">
        <f ca="1">CUR_Report</f>
        <v>руб.</v>
      </c>
      <c r="D287" s="11" t="str">
        <f>"[" &amp; F12 &amp; "];int_sum"</f>
        <v>[Проект];int_sum</v>
      </c>
      <c r="F287" s="54">
        <f ca="1">IF(OR(F$33&lt;$B28,F$33&gt;$C28),0,OFFSET(Проект!F$1261,0,1-$B28))</f>
        <v>13127500</v>
      </c>
      <c r="G287" s="54">
        <f ca="1">IF(OR(G$33&lt;$B28,G$33&gt;$C28),0,OFFSET(Проект!G$1261,0,1-$B28))</f>
        <v>58087900</v>
      </c>
      <c r="H287" s="54">
        <f ca="1">IF(OR(H$33&lt;$B28,H$33&gt;$C28),0,OFFSET(Проект!H$1261,0,1-$B28))</f>
        <v>91768300</v>
      </c>
      <c r="I287" s="54">
        <f ca="1">IF(OR(I$33&lt;$B28,I$33&gt;$C28),0,OFFSET(Проект!I$1261,0,1-$B28))</f>
        <v>91688500</v>
      </c>
      <c r="J287" s="54">
        <f ca="1">IF(OR(J$33&lt;$B28,J$33&gt;$C28),0,OFFSET(Проект!J$1261,0,1-$B28))</f>
        <v>91688500</v>
      </c>
      <c r="K287" s="54">
        <f ca="1">IF(OR(K$33&lt;$B28,K$33&gt;$C28),0,OFFSET(Проект!K$1261,0,1-$B28))</f>
        <v>91688500</v>
      </c>
      <c r="M287" s="54">
        <f ca="1">SUM(F287:K287)</f>
        <v>438049200</v>
      </c>
    </row>
    <row r="288" spans="1:18" outlineLevel="1" x14ac:dyDescent="0.2">
      <c r="M288" s="57"/>
      <c r="N288" s="58"/>
      <c r="O288" s="58"/>
      <c r="P288" s="58"/>
      <c r="Q288" s="58"/>
      <c r="R288" s="58"/>
    </row>
    <row r="289" spans="1:13" outlineLevel="1" collapsed="1" x14ac:dyDescent="0.2">
      <c r="A289" t="str">
        <f ca="1">Language!A$688</f>
        <v>Инвестиции в земельные участки</v>
      </c>
      <c r="C289" s="5" t="str">
        <f t="shared" ref="C289:C304" ca="1" si="25">CUR_Report</f>
        <v>руб.</v>
      </c>
      <c r="D289" s="205" t="s">
        <v>2210</v>
      </c>
      <c r="F289" s="43">
        <f ca="1">SUMPRODUCT($B12:OFFSET($B13,-1,0),F290:OFFSET(F291,-1,0))</f>
        <v>0</v>
      </c>
      <c r="G289" s="43">
        <f ca="1">SUMPRODUCT($B12:OFFSET($B13,-1,0),G290:OFFSET(G291,-1,0))</f>
        <v>0</v>
      </c>
      <c r="H289" s="43">
        <f ca="1">SUMPRODUCT($B12:OFFSET($B13,-1,0),H290:OFFSET(H291,-1,0))</f>
        <v>0</v>
      </c>
      <c r="I289" s="43">
        <f ca="1">SUMPRODUCT($B12:OFFSET($B13,-1,0),I290:OFFSET(I291,-1,0))</f>
        <v>0</v>
      </c>
      <c r="J289" s="43">
        <f ca="1">SUMPRODUCT($B12:OFFSET($B13,-1,0),J290:OFFSET(J291,-1,0))</f>
        <v>0</v>
      </c>
      <c r="K289" s="43">
        <f ca="1">SUMPRODUCT($B12:OFFSET($B13,-1,0),K290:OFFSET(K291,-1,0))</f>
        <v>0</v>
      </c>
      <c r="M289" s="54">
        <f t="shared" ref="M289:M304" ca="1" si="26">SUM(F289:K289)</f>
        <v>0</v>
      </c>
    </row>
    <row r="290" spans="1:13" s="181" customFormat="1" hidden="1" outlineLevel="2" x14ac:dyDescent="0.2">
      <c r="A290" s="11" t="str">
        <f>"        " &amp; A12</f>
        <v xml:space="preserve">        Наименование проекта</v>
      </c>
      <c r="B290" s="11"/>
      <c r="C290" s="36" t="str">
        <f t="shared" ca="1" si="25"/>
        <v>руб.</v>
      </c>
      <c r="D290" s="11" t="str">
        <f>"[" &amp; F12 &amp; "];int_sum"</f>
        <v>[Проект];int_sum</v>
      </c>
      <c r="E290" s="11"/>
      <c r="F290" s="54">
        <f ca="1">IF(OR(F$33&lt;$B28,F$33&gt;$C28),0,OFFSET(Проект!F$1263,0,1-$B28))</f>
        <v>0</v>
      </c>
      <c r="G290" s="54">
        <f ca="1">IF(OR(G$33&lt;$B28,G$33&gt;$C28),0,OFFSET(Проект!G$1263,0,1-$B28))</f>
        <v>0</v>
      </c>
      <c r="H290" s="54">
        <f ca="1">IF(OR(H$33&lt;$B28,H$33&gt;$C28),0,OFFSET(Проект!H$1263,0,1-$B28))</f>
        <v>0</v>
      </c>
      <c r="I290" s="54">
        <f ca="1">IF(OR(I$33&lt;$B28,I$33&gt;$C28),0,OFFSET(Проект!I$1263,0,1-$B28))</f>
        <v>0</v>
      </c>
      <c r="J290" s="54">
        <f ca="1">IF(OR(J$33&lt;$B28,J$33&gt;$C28),0,OFFSET(Проект!J$1263,0,1-$B28))</f>
        <v>0</v>
      </c>
      <c r="K290" s="54">
        <f ca="1">IF(OR(K$33&lt;$B28,K$33&gt;$C28),0,OFFSET(Проект!K$1263,0,1-$B28))</f>
        <v>0</v>
      </c>
      <c r="M290" s="54">
        <f t="shared" ca="1" si="26"/>
        <v>0</v>
      </c>
    </row>
    <row r="291" spans="1:13" outlineLevel="1" collapsed="1" x14ac:dyDescent="0.2">
      <c r="A291" t="str">
        <f ca="1">Language!A$691</f>
        <v>Инвестиции в здания и сооружения</v>
      </c>
      <c r="C291" s="5" t="str">
        <f t="shared" ca="1" si="25"/>
        <v>руб.</v>
      </c>
      <c r="D291" s="205" t="s">
        <v>2210</v>
      </c>
      <c r="F291" s="43">
        <f ca="1">SUMPRODUCT($B12:OFFSET($B13,-1,0),F292:OFFSET(F293,-1,0))</f>
        <v>-40000</v>
      </c>
      <c r="G291" s="43">
        <f ca="1">SUMPRODUCT($B12:OFFSET($B13,-1,0),G292:OFFSET(G293,-1,0))</f>
        <v>-40000</v>
      </c>
      <c r="H291" s="43">
        <f ca="1">SUMPRODUCT($B12:OFFSET($B13,-1,0),H292:OFFSET(H293,-1,0))</f>
        <v>-50000</v>
      </c>
      <c r="I291" s="43">
        <f ca="1">SUMPRODUCT($B12:OFFSET($B13,-1,0),I292:OFFSET(I293,-1,0))</f>
        <v>-50000</v>
      </c>
      <c r="J291" s="43">
        <f ca="1">SUMPRODUCT($B12:OFFSET($B13,-1,0),J292:OFFSET(J293,-1,0))</f>
        <v>-50000</v>
      </c>
      <c r="K291" s="43">
        <f ca="1">SUMPRODUCT($B12:OFFSET($B13,-1,0),K292:OFFSET(K293,-1,0))</f>
        <v>-50000</v>
      </c>
      <c r="M291" s="54">
        <f t="shared" ca="1" si="26"/>
        <v>-280000</v>
      </c>
    </row>
    <row r="292" spans="1:13" s="181" customFormat="1" hidden="1" outlineLevel="2" x14ac:dyDescent="0.2">
      <c r="A292" s="181" t="str">
        <f>"        " &amp; A12</f>
        <v xml:space="preserve">        Наименование проекта</v>
      </c>
      <c r="C292" s="209" t="str">
        <f t="shared" ca="1" si="25"/>
        <v>руб.</v>
      </c>
      <c r="D292" s="181" t="str">
        <f>"[" &amp; F12 &amp; "];int_sum"</f>
        <v>[Проект];int_sum</v>
      </c>
      <c r="F292" s="54">
        <f ca="1">IF(OR(F$33&lt;$B28,F$33&gt;$C28),0,OFFSET(Проект!F$1264,0,1-$B28))</f>
        <v>-40000</v>
      </c>
      <c r="G292" s="54">
        <f ca="1">IF(OR(G$33&lt;$B28,G$33&gt;$C28),0,OFFSET(Проект!G$1264,0,1-$B28))</f>
        <v>-40000</v>
      </c>
      <c r="H292" s="54">
        <f ca="1">IF(OR(H$33&lt;$B28,H$33&gt;$C28),0,OFFSET(Проект!H$1264,0,1-$B28))</f>
        <v>-50000</v>
      </c>
      <c r="I292" s="54">
        <f ca="1">IF(OR(I$33&lt;$B28,I$33&gt;$C28),0,OFFSET(Проект!I$1264,0,1-$B28))</f>
        <v>-50000</v>
      </c>
      <c r="J292" s="54">
        <f ca="1">IF(OR(J$33&lt;$B28,J$33&gt;$C28),0,OFFSET(Проект!J$1264,0,1-$B28))</f>
        <v>-50000</v>
      </c>
      <c r="K292" s="54">
        <f ca="1">IF(OR(K$33&lt;$B28,K$33&gt;$C28),0,OFFSET(Проект!K$1264,0,1-$B28))</f>
        <v>-50000</v>
      </c>
      <c r="M292" s="54">
        <f t="shared" ca="1" si="26"/>
        <v>-280000</v>
      </c>
    </row>
    <row r="293" spans="1:13" outlineLevel="1" collapsed="1" x14ac:dyDescent="0.2">
      <c r="A293" t="str">
        <f ca="1">Language!A$692</f>
        <v>Инвестиции в оборудование и прочие активы</v>
      </c>
      <c r="C293" s="5" t="str">
        <f t="shared" ca="1" si="25"/>
        <v>руб.</v>
      </c>
      <c r="D293" s="205" t="s">
        <v>2210</v>
      </c>
      <c r="F293" s="43">
        <f ca="1">SUMPRODUCT($B12:OFFSET($B13,-1,0),F294:OFFSET(F295,-1,0))</f>
        <v>-500000</v>
      </c>
      <c r="G293" s="43">
        <f ca="1">SUMPRODUCT($B12:OFFSET($B13,-1,0),G294:OFFSET(G295,-1,0))</f>
        <v>0</v>
      </c>
      <c r="H293" s="43">
        <f ca="1">SUMPRODUCT($B12:OFFSET($B13,-1,0),H294:OFFSET(H295,-1,0))</f>
        <v>0</v>
      </c>
      <c r="I293" s="43">
        <f ca="1">SUMPRODUCT($B12:OFFSET($B13,-1,0),I294:OFFSET(I295,-1,0))</f>
        <v>-700000</v>
      </c>
      <c r="J293" s="43">
        <f ca="1">SUMPRODUCT($B12:OFFSET($B13,-1,0),J294:OFFSET(J295,-1,0))</f>
        <v>0</v>
      </c>
      <c r="K293" s="43">
        <f ca="1">SUMPRODUCT($B12:OFFSET($B13,-1,0),K294:OFFSET(K295,-1,0))</f>
        <v>0</v>
      </c>
      <c r="M293" s="54">
        <f t="shared" ca="1" si="26"/>
        <v>-1200000</v>
      </c>
    </row>
    <row r="294" spans="1:13" s="181" customFormat="1" hidden="1" outlineLevel="2" x14ac:dyDescent="0.2">
      <c r="A294" s="181" t="str">
        <f>"        " &amp; A12</f>
        <v xml:space="preserve">        Наименование проекта</v>
      </c>
      <c r="C294" s="209" t="str">
        <f t="shared" ca="1" si="25"/>
        <v>руб.</v>
      </c>
      <c r="D294" s="181" t="str">
        <f>"[" &amp; F12 &amp; "];int_sum"</f>
        <v>[Проект];int_sum</v>
      </c>
      <c r="F294" s="54">
        <f ca="1">IF(OR(F$33&lt;$B28,F$33&gt;$C28),0,OFFSET(Проект!F$1265,0,1-$B28))</f>
        <v>-500000</v>
      </c>
      <c r="G294" s="54">
        <f ca="1">IF(OR(G$33&lt;$B28,G$33&gt;$C28),0,OFFSET(Проект!G$1265,0,1-$B28))</f>
        <v>0</v>
      </c>
      <c r="H294" s="54">
        <f ca="1">IF(OR(H$33&lt;$B28,H$33&gt;$C28),0,OFFSET(Проект!H$1265,0,1-$B28))</f>
        <v>0</v>
      </c>
      <c r="I294" s="54">
        <f ca="1">IF(OR(I$33&lt;$B28,I$33&gt;$C28),0,OFFSET(Проект!I$1265,0,1-$B28))</f>
        <v>-700000</v>
      </c>
      <c r="J294" s="54">
        <f ca="1">IF(OR(J$33&lt;$B28,J$33&gt;$C28),0,OFFSET(Проект!J$1265,0,1-$B28))</f>
        <v>0</v>
      </c>
      <c r="K294" s="54">
        <f ca="1">IF(OR(K$33&lt;$B28,K$33&gt;$C28),0,OFFSET(Проект!K$1265,0,1-$B28))</f>
        <v>0</v>
      </c>
      <c r="M294" s="54">
        <f t="shared" ca="1" si="26"/>
        <v>-1200000</v>
      </c>
    </row>
    <row r="295" spans="1:13" outlineLevel="1" collapsed="1" x14ac:dyDescent="0.2">
      <c r="A295" t="str">
        <f ca="1">Language!A$689</f>
        <v>Инвестиции в нематериальные активы</v>
      </c>
      <c r="C295" s="5" t="str">
        <f t="shared" ca="1" si="25"/>
        <v>руб.</v>
      </c>
      <c r="D295" s="205" t="s">
        <v>2210</v>
      </c>
      <c r="F295" s="43">
        <f ca="1">SUMPRODUCT($B12:OFFSET($B13,-1,0),F296:OFFSET(F297,-1,0))</f>
        <v>0</v>
      </c>
      <c r="G295" s="43">
        <f ca="1">SUMPRODUCT($B12:OFFSET($B13,-1,0),G296:OFFSET(G297,-1,0))</f>
        <v>0</v>
      </c>
      <c r="H295" s="43">
        <f ca="1">SUMPRODUCT($B12:OFFSET($B13,-1,0),H296:OFFSET(H297,-1,0))</f>
        <v>0</v>
      </c>
      <c r="I295" s="43">
        <f ca="1">SUMPRODUCT($B12:OFFSET($B13,-1,0),I296:OFFSET(I297,-1,0))</f>
        <v>0</v>
      </c>
      <c r="J295" s="43">
        <f ca="1">SUMPRODUCT($B12:OFFSET($B13,-1,0),J296:OFFSET(J297,-1,0))</f>
        <v>0</v>
      </c>
      <c r="K295" s="43">
        <f ca="1">SUMPRODUCT($B12:OFFSET($B13,-1,0),K296:OFFSET(K297,-1,0))</f>
        <v>0</v>
      </c>
      <c r="M295" s="54">
        <f t="shared" ca="1" si="26"/>
        <v>0</v>
      </c>
    </row>
    <row r="296" spans="1:13" s="181" customFormat="1" hidden="1" outlineLevel="2" x14ac:dyDescent="0.2">
      <c r="A296" s="181" t="str">
        <f>"        " &amp; A12</f>
        <v xml:space="preserve">        Наименование проекта</v>
      </c>
      <c r="C296" s="209" t="str">
        <f t="shared" ca="1" si="25"/>
        <v>руб.</v>
      </c>
      <c r="D296" s="181" t="str">
        <f>"[" &amp; F12 &amp; "];int_sum"</f>
        <v>[Проект];int_sum</v>
      </c>
      <c r="F296" s="54">
        <f ca="1">IF(OR(F$33&lt;$B28,F$33&gt;$C28),0,OFFSET(Проект!F$1266,0,1-$B28))</f>
        <v>0</v>
      </c>
      <c r="G296" s="54">
        <f ca="1">IF(OR(G$33&lt;$B28,G$33&gt;$C28),0,OFFSET(Проект!G$1266,0,1-$B28))</f>
        <v>0</v>
      </c>
      <c r="H296" s="54">
        <f ca="1">IF(OR(H$33&lt;$B28,H$33&gt;$C28),0,OFFSET(Проект!H$1266,0,1-$B28))</f>
        <v>0</v>
      </c>
      <c r="I296" s="54">
        <f ca="1">IF(OR(I$33&lt;$B28,I$33&gt;$C28),0,OFFSET(Проект!I$1266,0,1-$B28))</f>
        <v>0</v>
      </c>
      <c r="J296" s="54">
        <f ca="1">IF(OR(J$33&lt;$B28,J$33&gt;$C28),0,OFFSET(Проект!J$1266,0,1-$B28))</f>
        <v>0</v>
      </c>
      <c r="K296" s="54">
        <f ca="1">IF(OR(K$33&lt;$B28,K$33&gt;$C28),0,OFFSET(Проект!K$1266,0,1-$B28))</f>
        <v>0</v>
      </c>
      <c r="M296" s="54">
        <f t="shared" ca="1" si="26"/>
        <v>0</v>
      </c>
    </row>
    <row r="297" spans="1:13" outlineLevel="1" collapsed="1" x14ac:dyDescent="0.2">
      <c r="A297" t="str">
        <f ca="1">Language!A$693</f>
        <v>Инвестиции в финансовые активы</v>
      </c>
      <c r="C297" s="5" t="str">
        <f t="shared" ca="1" si="25"/>
        <v>руб.</v>
      </c>
      <c r="D297" s="205" t="s">
        <v>2210</v>
      </c>
      <c r="F297" s="43">
        <f ca="1">SUMPRODUCT($B12:OFFSET($B13,-1,0),F298:OFFSET(F299,-1,0))</f>
        <v>0</v>
      </c>
      <c r="G297" s="43">
        <f ca="1">SUMPRODUCT($B12:OFFSET($B13,-1,0),G298:OFFSET(G299,-1,0))</f>
        <v>0</v>
      </c>
      <c r="H297" s="43">
        <f ca="1">SUMPRODUCT($B12:OFFSET($B13,-1,0),H298:OFFSET(H299,-1,0))</f>
        <v>0</v>
      </c>
      <c r="I297" s="43">
        <f ca="1">SUMPRODUCT($B12:OFFSET($B13,-1,0),I298:OFFSET(I299,-1,0))</f>
        <v>0</v>
      </c>
      <c r="J297" s="43">
        <f ca="1">SUMPRODUCT($B12:OFFSET($B13,-1,0),J298:OFFSET(J299,-1,0))</f>
        <v>0</v>
      </c>
      <c r="K297" s="43">
        <f ca="1">SUMPRODUCT($B12:OFFSET($B13,-1,0),K298:OFFSET(K299,-1,0))</f>
        <v>0</v>
      </c>
      <c r="M297" s="54">
        <f t="shared" ca="1" si="26"/>
        <v>0</v>
      </c>
    </row>
    <row r="298" spans="1:13" s="181" customFormat="1" hidden="1" outlineLevel="2" x14ac:dyDescent="0.2">
      <c r="A298" s="181" t="str">
        <f>"        " &amp; A12</f>
        <v xml:space="preserve">        Наименование проекта</v>
      </c>
      <c r="C298" s="209" t="str">
        <f t="shared" ca="1" si="25"/>
        <v>руб.</v>
      </c>
      <c r="D298" s="181" t="str">
        <f>"[" &amp; F12 &amp; "];int_sum"</f>
        <v>[Проект];int_sum</v>
      </c>
      <c r="F298" s="54">
        <f ca="1">IF(OR(F$33&lt;$B28,F$33&gt;$C28),0,OFFSET(Проект!F$1267,0,1-$B28))</f>
        <v>0</v>
      </c>
      <c r="G298" s="54">
        <f ca="1">IF(OR(G$33&lt;$B28,G$33&gt;$C28),0,OFFSET(Проект!G$1267,0,1-$B28))</f>
        <v>0</v>
      </c>
      <c r="H298" s="54">
        <f ca="1">IF(OR(H$33&lt;$B28,H$33&gt;$C28),0,OFFSET(Проект!H$1267,0,1-$B28))</f>
        <v>0</v>
      </c>
      <c r="I298" s="54">
        <f ca="1">IF(OR(I$33&lt;$B28,I$33&gt;$C28),0,OFFSET(Проект!I$1267,0,1-$B28))</f>
        <v>0</v>
      </c>
      <c r="J298" s="54">
        <f ca="1">IF(OR(J$33&lt;$B28,J$33&gt;$C28),0,OFFSET(Проект!J$1267,0,1-$B28))</f>
        <v>0</v>
      </c>
      <c r="K298" s="54">
        <f ca="1">IF(OR(K$33&lt;$B28,K$33&gt;$C28),0,OFFSET(Проект!K$1267,0,1-$B28))</f>
        <v>0</v>
      </c>
      <c r="M298" s="54">
        <f t="shared" ca="1" si="26"/>
        <v>0</v>
      </c>
    </row>
    <row r="299" spans="1:13" outlineLevel="1" collapsed="1" x14ac:dyDescent="0.2">
      <c r="A299" t="str">
        <f ca="1">Language!A$694</f>
        <v>Оплата расходов будущих периодов</v>
      </c>
      <c r="C299" s="5" t="str">
        <f t="shared" ca="1" si="25"/>
        <v>руб.</v>
      </c>
      <c r="D299" s="205" t="s">
        <v>2210</v>
      </c>
      <c r="F299" s="43">
        <f ca="1">SUMPRODUCT($B12:OFFSET($B13,-1,0),F300:OFFSET(F301,-1,0))</f>
        <v>0</v>
      </c>
      <c r="G299" s="43">
        <f ca="1">SUMPRODUCT($B12:OFFSET($B13,-1,0),G300:OFFSET(G301,-1,0))</f>
        <v>0</v>
      </c>
      <c r="H299" s="43">
        <f ca="1">SUMPRODUCT($B12:OFFSET($B13,-1,0),H300:OFFSET(H301,-1,0))</f>
        <v>0</v>
      </c>
      <c r="I299" s="43">
        <f ca="1">SUMPRODUCT($B12:OFFSET($B13,-1,0),I300:OFFSET(I301,-1,0))</f>
        <v>0</v>
      </c>
      <c r="J299" s="43">
        <f ca="1">SUMPRODUCT($B12:OFFSET($B13,-1,0),J300:OFFSET(J301,-1,0))</f>
        <v>0</v>
      </c>
      <c r="K299" s="43">
        <f ca="1">SUMPRODUCT($B12:OFFSET($B13,-1,0),K300:OFFSET(K301,-1,0))</f>
        <v>0</v>
      </c>
      <c r="M299" s="54">
        <f t="shared" ca="1" si="26"/>
        <v>0</v>
      </c>
    </row>
    <row r="300" spans="1:13" s="181" customFormat="1" hidden="1" outlineLevel="2" x14ac:dyDescent="0.2">
      <c r="A300" s="181" t="str">
        <f>"        " &amp; A12</f>
        <v xml:space="preserve">        Наименование проекта</v>
      </c>
      <c r="C300" s="209" t="str">
        <f t="shared" ca="1" si="25"/>
        <v>руб.</v>
      </c>
      <c r="D300" s="181" t="str">
        <f>"[" &amp; F12 &amp; "];int_sum"</f>
        <v>[Проект];int_sum</v>
      </c>
      <c r="F300" s="54">
        <f ca="1">IF(OR(F$33&lt;$B28,F$33&gt;$C28),0,OFFSET(Проект!F$1268,0,1-$B28))</f>
        <v>0</v>
      </c>
      <c r="G300" s="54">
        <f ca="1">IF(OR(G$33&lt;$B28,G$33&gt;$C28),0,OFFSET(Проект!G$1268,0,1-$B28))</f>
        <v>0</v>
      </c>
      <c r="H300" s="54">
        <f ca="1">IF(OR(H$33&lt;$B28,H$33&gt;$C28),0,OFFSET(Проект!H$1268,0,1-$B28))</f>
        <v>0</v>
      </c>
      <c r="I300" s="54">
        <f ca="1">IF(OR(I$33&lt;$B28,I$33&gt;$C28),0,OFFSET(Проект!I$1268,0,1-$B28))</f>
        <v>0</v>
      </c>
      <c r="J300" s="54">
        <f ca="1">IF(OR(J$33&lt;$B28,J$33&gt;$C28),0,OFFSET(Проект!J$1268,0,1-$B28))</f>
        <v>0</v>
      </c>
      <c r="K300" s="54">
        <f ca="1">IF(OR(K$33&lt;$B28,K$33&gt;$C28),0,OFFSET(Проект!K$1268,0,1-$B28))</f>
        <v>0</v>
      </c>
      <c r="M300" s="54">
        <f t="shared" ca="1" si="26"/>
        <v>0</v>
      </c>
    </row>
    <row r="301" spans="1:13" outlineLevel="1" collapsed="1" x14ac:dyDescent="0.2">
      <c r="A301" t="str">
        <f ca="1">Language!A$695</f>
        <v>Прирост чистого оборотного капитала</v>
      </c>
      <c r="C301" s="5" t="str">
        <f t="shared" ca="1" si="25"/>
        <v>руб.</v>
      </c>
      <c r="D301" s="205" t="s">
        <v>2210</v>
      </c>
      <c r="F301" s="43">
        <f ca="1">SUMPRODUCT($B12:OFFSET($B13,-1,0),F302:OFFSET(F303,-1,0))</f>
        <v>2534583.333333333</v>
      </c>
      <c r="G301" s="43">
        <f ca="1">SUMPRODUCT($B12:OFFSET($B13,-1,0),G302:OFFSET(G303,-1,0))</f>
        <v>8801560</v>
      </c>
      <c r="H301" s="43">
        <f ca="1">SUMPRODUCT($B12:OFFSET($B13,-1,0),H302:OFFSET(H303,-1,0))</f>
        <v>6641560</v>
      </c>
      <c r="I301" s="43">
        <f ca="1">SUMPRODUCT($B12:OFFSET($B13,-1,0),I302:OFFSET(I303,-1,0))</f>
        <v>80780</v>
      </c>
      <c r="J301" s="43">
        <f ca="1">SUMPRODUCT($B12:OFFSET($B13,-1,0),J302:OFFSET(J303,-1,0))</f>
        <v>0</v>
      </c>
      <c r="K301" s="43">
        <f ca="1">SUMPRODUCT($B12:OFFSET($B13,-1,0),K302:OFFSET(K303,-1,0))</f>
        <v>0</v>
      </c>
      <c r="M301" s="54">
        <f t="shared" ca="1" si="26"/>
        <v>18058483.333333332</v>
      </c>
    </row>
    <row r="302" spans="1:13" s="181" customFormat="1" hidden="1" outlineLevel="2" x14ac:dyDescent="0.2">
      <c r="A302" s="181" t="str">
        <f>"        " &amp; A12</f>
        <v xml:space="preserve">        Наименование проекта</v>
      </c>
      <c r="C302" s="209" t="str">
        <f t="shared" ca="1" si="25"/>
        <v>руб.</v>
      </c>
      <c r="D302" s="181" t="str">
        <f>"[" &amp; F12 &amp; "];int_sum"</f>
        <v>[Проект];int_sum</v>
      </c>
      <c r="F302" s="54">
        <f ca="1">IF(OR(F$33&lt;$B28,F$33&gt;$C28),0,OFFSET(Проект!F$1269,0,1-$B28))</f>
        <v>2534583.333333333</v>
      </c>
      <c r="G302" s="54">
        <f ca="1">IF(OR(G$33&lt;$B28,G$33&gt;$C28),0,OFFSET(Проект!G$1269,0,1-$B28))</f>
        <v>8801560</v>
      </c>
      <c r="H302" s="54">
        <f ca="1">IF(OR(H$33&lt;$B28,H$33&gt;$C28),0,OFFSET(Проект!H$1269,0,1-$B28))</f>
        <v>6641560</v>
      </c>
      <c r="I302" s="54">
        <f ca="1">IF(OR(I$33&lt;$B28,I$33&gt;$C28),0,OFFSET(Проект!I$1269,0,1-$B28))</f>
        <v>80780</v>
      </c>
      <c r="J302" s="54">
        <f ca="1">IF(OR(J$33&lt;$B28,J$33&gt;$C28),0,OFFSET(Проект!J$1269,0,1-$B28))</f>
        <v>0</v>
      </c>
      <c r="K302" s="54">
        <f ca="1">IF(OR(K$33&lt;$B28,K$33&gt;$C28),0,OFFSET(Проект!K$1269,0,1-$B28))</f>
        <v>0</v>
      </c>
      <c r="M302" s="54">
        <f t="shared" ca="1" si="26"/>
        <v>18058483.333333332</v>
      </c>
    </row>
    <row r="303" spans="1:13" outlineLevel="1" collapsed="1" x14ac:dyDescent="0.2">
      <c r="A303" t="str">
        <f ca="1">Language!A$751</f>
        <v>Выручка от реализации активов</v>
      </c>
      <c r="C303" s="5" t="str">
        <f t="shared" ca="1" si="25"/>
        <v>руб.</v>
      </c>
      <c r="D303" s="205" t="s">
        <v>2210</v>
      </c>
      <c r="F303" s="43">
        <f ca="1">SUMPRODUCT($B12:OFFSET($B13,-1,0),F304:OFFSET(F305,-1,0))</f>
        <v>0</v>
      </c>
      <c r="G303" s="43">
        <f ca="1">SUMPRODUCT($B12:OFFSET($B13,-1,0),G304:OFFSET(G305,-1,0))</f>
        <v>0</v>
      </c>
      <c r="H303" s="43">
        <f ca="1">SUMPRODUCT($B12:OFFSET($B13,-1,0),H304:OFFSET(H305,-1,0))</f>
        <v>0</v>
      </c>
      <c r="I303" s="43">
        <f ca="1">SUMPRODUCT($B12:OFFSET($B13,-1,0),I304:OFFSET(I305,-1,0))</f>
        <v>0</v>
      </c>
      <c r="J303" s="43">
        <f ca="1">SUMPRODUCT($B12:OFFSET($B13,-1,0),J304:OFFSET(J305,-1,0))</f>
        <v>0</v>
      </c>
      <c r="K303" s="43">
        <f ca="1">SUMPRODUCT($B12:OFFSET($B13,-1,0),K304:OFFSET(K305,-1,0))</f>
        <v>0</v>
      </c>
      <c r="M303" s="54">
        <f t="shared" ca="1" si="26"/>
        <v>0</v>
      </c>
    </row>
    <row r="304" spans="1:13" s="181" customFormat="1" hidden="1" outlineLevel="2" x14ac:dyDescent="0.2">
      <c r="A304" s="181" t="str">
        <f>"        " &amp; A12</f>
        <v xml:space="preserve">        Наименование проекта</v>
      </c>
      <c r="C304" s="209" t="str">
        <f t="shared" ca="1" si="25"/>
        <v>руб.</v>
      </c>
      <c r="D304" s="181" t="str">
        <f>"[" &amp; F12 &amp; "];int_sum"</f>
        <v>[Проект];int_sum</v>
      </c>
      <c r="F304" s="54">
        <f ca="1">IF(OR(F$33&lt;$B28,F$33&gt;$C28),0,OFFSET(Проект!F$1270,0,1-$B28))</f>
        <v>0</v>
      </c>
      <c r="G304" s="54">
        <f ca="1">IF(OR(G$33&lt;$B28,G$33&gt;$C28),0,OFFSET(Проект!G$1270,0,1-$B28))</f>
        <v>0</v>
      </c>
      <c r="H304" s="54">
        <f ca="1">IF(OR(H$33&lt;$B28,H$33&gt;$C28),0,OFFSET(Проект!H$1270,0,1-$B28))</f>
        <v>0</v>
      </c>
      <c r="I304" s="54">
        <f ca="1">IF(OR(I$33&lt;$B28,I$33&gt;$C28),0,OFFSET(Проект!I$1270,0,1-$B28))</f>
        <v>0</v>
      </c>
      <c r="J304" s="54">
        <f ca="1">IF(OR(J$33&lt;$B28,J$33&gt;$C28),0,OFFSET(Проект!J$1270,0,1-$B28))</f>
        <v>0</v>
      </c>
      <c r="K304" s="54">
        <f ca="1">IF(OR(K$33&lt;$B28,K$33&gt;$C28),0,OFFSET(Проект!K$1270,0,1-$B28))</f>
        <v>0</v>
      </c>
      <c r="M304" s="54">
        <f t="shared" ca="1" si="26"/>
        <v>0</v>
      </c>
    </row>
    <row r="305" spans="1:18" outlineLevel="1" x14ac:dyDescent="0.2">
      <c r="M305" s="11"/>
    </row>
    <row r="306" spans="1:18" outlineLevel="1" collapsed="1" x14ac:dyDescent="0.2">
      <c r="A306" s="35" t="str">
        <f ca="1">Language!A$752</f>
        <v>Денежные потоки от инвестиционной деятельности</v>
      </c>
      <c r="C306" s="5" t="str">
        <f ca="1">CUR_Report</f>
        <v>руб.</v>
      </c>
      <c r="D306" s="205" t="s">
        <v>2210</v>
      </c>
      <c r="F306" s="58">
        <f ca="1">SUMPRODUCT($B12:OFFSET($B13,-1,0),F307:OFFSET(F308,-1,0))</f>
        <v>1994583.333333333</v>
      </c>
      <c r="G306" s="58">
        <f ca="1">SUMPRODUCT($B12:OFFSET($B13,-1,0),G307:OFFSET(G308,-1,0))</f>
        <v>8761560</v>
      </c>
      <c r="H306" s="58">
        <f ca="1">SUMPRODUCT($B12:OFFSET($B13,-1,0),H307:OFFSET(H308,-1,0))</f>
        <v>6591560</v>
      </c>
      <c r="I306" s="58">
        <f ca="1">SUMPRODUCT($B12:OFFSET($B13,-1,0),I307:OFFSET(I308,-1,0))</f>
        <v>-669220</v>
      </c>
      <c r="J306" s="58">
        <f ca="1">SUMPRODUCT($B12:OFFSET($B13,-1,0),J307:OFFSET(J308,-1,0))</f>
        <v>-50000</v>
      </c>
      <c r="K306" s="58">
        <f ca="1">SUMPRODUCT($B12:OFFSET($B13,-1,0),K307:OFFSET(K308,-1,0))</f>
        <v>-50000</v>
      </c>
      <c r="M306" s="57">
        <f ca="1">SUM(F306:K306)</f>
        <v>16578483.333333332</v>
      </c>
      <c r="N306" s="58"/>
      <c r="O306" s="58"/>
      <c r="P306" s="58"/>
      <c r="Q306" s="58"/>
      <c r="R306" s="58"/>
    </row>
    <row r="307" spans="1:18" s="11" customFormat="1" hidden="1" outlineLevel="2" x14ac:dyDescent="0.2">
      <c r="A307" s="11" t="str">
        <f>"        " &amp; A12</f>
        <v xml:space="preserve">        Наименование проекта</v>
      </c>
      <c r="C307" s="36" t="str">
        <f ca="1">CUR_Report</f>
        <v>руб.</v>
      </c>
      <c r="D307" s="11" t="str">
        <f>"[" &amp; F12 &amp; "];int_sum"</f>
        <v>[Проект];int_sum</v>
      </c>
      <c r="F307" s="54">
        <f ca="1">IF(OR(F$33&lt;$B28,F$33&gt;$C28),0,OFFSET(Проект!F$1272,0,1-$B28))</f>
        <v>1994583.333333333</v>
      </c>
      <c r="G307" s="54">
        <f ca="1">IF(OR(G$33&lt;$B28,G$33&gt;$C28),0,OFFSET(Проект!G$1272,0,1-$B28))</f>
        <v>8761560</v>
      </c>
      <c r="H307" s="54">
        <f ca="1">IF(OR(H$33&lt;$B28,H$33&gt;$C28),0,OFFSET(Проект!H$1272,0,1-$B28))</f>
        <v>6591560</v>
      </c>
      <c r="I307" s="54">
        <f ca="1">IF(OR(I$33&lt;$B28,I$33&gt;$C28),0,OFFSET(Проект!I$1272,0,1-$B28))</f>
        <v>-669220</v>
      </c>
      <c r="J307" s="54">
        <f ca="1">IF(OR(J$33&lt;$B28,J$33&gt;$C28),0,OFFSET(Проект!J$1272,0,1-$B28))</f>
        <v>-50000</v>
      </c>
      <c r="K307" s="54">
        <f ca="1">IF(OR(K$33&lt;$B28,K$33&gt;$C28),0,OFFSET(Проект!K$1272,0,1-$B28))</f>
        <v>-50000</v>
      </c>
      <c r="M307" s="54">
        <f ca="1">SUM(F307:K307)</f>
        <v>16578483.333333332</v>
      </c>
      <c r="N307" s="54"/>
      <c r="O307" s="54"/>
      <c r="P307" s="54"/>
      <c r="Q307" s="54"/>
      <c r="R307" s="54"/>
    </row>
    <row r="308" spans="1:18" outlineLevel="1" x14ac:dyDescent="0.2">
      <c r="M308" s="11"/>
    </row>
    <row r="309" spans="1:18" outlineLevel="1" collapsed="1" x14ac:dyDescent="0.2">
      <c r="A309" t="str">
        <f ca="1">Language!A$753</f>
        <v>Поступления собственного капитала</v>
      </c>
      <c r="C309" s="5" t="str">
        <f t="shared" ref="C309:C322" ca="1" si="27">CUR_Report</f>
        <v>руб.</v>
      </c>
      <c r="D309" s="205" t="s">
        <v>2210</v>
      </c>
      <c r="F309" s="43">
        <f ca="1">SUMPRODUCT($B12:OFFSET($B13,-1,0),F310:OFFSET(F311,-1,0))</f>
        <v>0</v>
      </c>
      <c r="G309" s="43">
        <f ca="1">SUMPRODUCT($B12:OFFSET($B13,-1,0),G310:OFFSET(G311,-1,0))</f>
        <v>0</v>
      </c>
      <c r="H309" s="43">
        <f ca="1">SUMPRODUCT($B12:OFFSET($B13,-1,0),H310:OFFSET(H311,-1,0))</f>
        <v>0</v>
      </c>
      <c r="I309" s="43">
        <f ca="1">SUMPRODUCT($B12:OFFSET($B13,-1,0),I310:OFFSET(I311,-1,0))</f>
        <v>0</v>
      </c>
      <c r="J309" s="43">
        <f ca="1">SUMPRODUCT($B12:OFFSET($B13,-1,0),J310:OFFSET(J311,-1,0))</f>
        <v>0</v>
      </c>
      <c r="K309" s="43">
        <f ca="1">SUMPRODUCT($B12:OFFSET($B13,-1,0),K310:OFFSET(K311,-1,0))</f>
        <v>0</v>
      </c>
      <c r="M309" s="54">
        <f t="shared" ref="M309:M322" ca="1" si="28">SUM(F309:K309)</f>
        <v>0</v>
      </c>
    </row>
    <row r="310" spans="1:18" s="181" customFormat="1" hidden="1" outlineLevel="2" x14ac:dyDescent="0.2">
      <c r="A310" s="181" t="str">
        <f>"        " &amp; A12</f>
        <v xml:space="preserve">        Наименование проекта</v>
      </c>
      <c r="C310" s="209" t="str">
        <f t="shared" ca="1" si="27"/>
        <v>руб.</v>
      </c>
      <c r="D310" s="181" t="str">
        <f>"[" &amp; F12 &amp; "];int_sum"</f>
        <v>[Проект];int_sum</v>
      </c>
      <c r="F310" s="54">
        <f ca="1">IF(OR(F$33&lt;$B28,F$33&gt;$C28),0,OFFSET(Проект!F$1274,0,1-$B28))</f>
        <v>0</v>
      </c>
      <c r="G310" s="54">
        <f ca="1">IF(OR(G$33&lt;$B28,G$33&gt;$C28),0,OFFSET(Проект!G$1274,0,1-$B28))</f>
        <v>0</v>
      </c>
      <c r="H310" s="54">
        <f ca="1">IF(OR(H$33&lt;$B28,H$33&gt;$C28),0,OFFSET(Проект!H$1274,0,1-$B28))</f>
        <v>0</v>
      </c>
      <c r="I310" s="54">
        <f ca="1">IF(OR(I$33&lt;$B28,I$33&gt;$C28),0,OFFSET(Проект!I$1274,0,1-$B28))</f>
        <v>0</v>
      </c>
      <c r="J310" s="54">
        <f ca="1">IF(OR(J$33&lt;$B28,J$33&gt;$C28),0,OFFSET(Проект!J$1274,0,1-$B28))</f>
        <v>0</v>
      </c>
      <c r="K310" s="54">
        <f ca="1">IF(OR(K$33&lt;$B28,K$33&gt;$C28),0,OFFSET(Проект!K$1274,0,1-$B28))</f>
        <v>0</v>
      </c>
      <c r="M310" s="54">
        <f t="shared" ca="1" si="28"/>
        <v>0</v>
      </c>
    </row>
    <row r="311" spans="1:18" outlineLevel="1" collapsed="1" x14ac:dyDescent="0.2">
      <c r="A311" t="str">
        <f ca="1">Language!A$754</f>
        <v>Целевое финансирование</v>
      </c>
      <c r="C311" s="5" t="str">
        <f t="shared" ca="1" si="27"/>
        <v>руб.</v>
      </c>
      <c r="D311" s="205" t="s">
        <v>2210</v>
      </c>
      <c r="F311" s="43">
        <f ca="1">SUMPRODUCT($B12:OFFSET($B13,-1,0),F312:OFFSET(F313,-1,0))</f>
        <v>0</v>
      </c>
      <c r="G311" s="43">
        <f ca="1">SUMPRODUCT($B12:OFFSET($B13,-1,0),G312:OFFSET(G313,-1,0))</f>
        <v>0</v>
      </c>
      <c r="H311" s="43">
        <f ca="1">SUMPRODUCT($B12:OFFSET($B13,-1,0),H312:OFFSET(H313,-1,0))</f>
        <v>0</v>
      </c>
      <c r="I311" s="43">
        <f ca="1">SUMPRODUCT($B12:OFFSET($B13,-1,0),I312:OFFSET(I313,-1,0))</f>
        <v>0</v>
      </c>
      <c r="J311" s="43">
        <f ca="1">SUMPRODUCT($B12:OFFSET($B13,-1,0),J312:OFFSET(J313,-1,0))</f>
        <v>0</v>
      </c>
      <c r="K311" s="43">
        <f ca="1">SUMPRODUCT($B12:OFFSET($B13,-1,0),K312:OFFSET(K313,-1,0))</f>
        <v>0</v>
      </c>
      <c r="M311" s="54">
        <f t="shared" ca="1" si="28"/>
        <v>0</v>
      </c>
    </row>
    <row r="312" spans="1:18" s="181" customFormat="1" hidden="1" outlineLevel="2" x14ac:dyDescent="0.2">
      <c r="A312" s="181" t="str">
        <f>"        " &amp; A12</f>
        <v xml:space="preserve">        Наименование проекта</v>
      </c>
      <c r="C312" s="209" t="str">
        <f t="shared" ca="1" si="27"/>
        <v>руб.</v>
      </c>
      <c r="D312" s="181" t="str">
        <f>"[" &amp; F12 &amp; "];int_sum"</f>
        <v>[Проект];int_sum</v>
      </c>
      <c r="F312" s="54">
        <f ca="1">IF(OR(F$33&lt;$B28,F$33&gt;$C28),0,OFFSET(Проект!F$1275,0,1-$B28))</f>
        <v>0</v>
      </c>
      <c r="G312" s="54">
        <f ca="1">IF(OR(G$33&lt;$B28,G$33&gt;$C28),0,OFFSET(Проект!G$1275,0,1-$B28))</f>
        <v>0</v>
      </c>
      <c r="H312" s="54">
        <f ca="1">IF(OR(H$33&lt;$B28,H$33&gt;$C28),0,OFFSET(Проект!H$1275,0,1-$B28))</f>
        <v>0</v>
      </c>
      <c r="I312" s="54">
        <f ca="1">IF(OR(I$33&lt;$B28,I$33&gt;$C28),0,OFFSET(Проект!I$1275,0,1-$B28))</f>
        <v>0</v>
      </c>
      <c r="J312" s="54">
        <f ca="1">IF(OR(J$33&lt;$B28,J$33&gt;$C28),0,OFFSET(Проект!J$1275,0,1-$B28))</f>
        <v>0</v>
      </c>
      <c r="K312" s="54">
        <f ca="1">IF(OR(K$33&lt;$B28,K$33&gt;$C28),0,OFFSET(Проект!K$1275,0,1-$B28))</f>
        <v>0</v>
      </c>
      <c r="M312" s="54">
        <f t="shared" ca="1" si="28"/>
        <v>0</v>
      </c>
    </row>
    <row r="313" spans="1:18" outlineLevel="1" collapsed="1" x14ac:dyDescent="0.2">
      <c r="A313" t="str">
        <f ca="1">Language!A$650</f>
        <v>Средства от инвесторов строительства</v>
      </c>
      <c r="C313" s="5" t="str">
        <f t="shared" ca="1" si="27"/>
        <v>руб.</v>
      </c>
      <c r="D313" s="205" t="s">
        <v>2210</v>
      </c>
      <c r="F313" s="43">
        <f ca="1">SUMPRODUCT($B12:OFFSET($B13,-1,0),F314:OFFSET(F315,-1,0))</f>
        <v>0</v>
      </c>
      <c r="G313" s="43">
        <f ca="1">SUMPRODUCT($B12:OFFSET($B13,-1,0),G314:OFFSET(G315,-1,0))</f>
        <v>0</v>
      </c>
      <c r="H313" s="43">
        <f ca="1">SUMPRODUCT($B12:OFFSET($B13,-1,0),H314:OFFSET(H315,-1,0))</f>
        <v>0</v>
      </c>
      <c r="I313" s="43">
        <f ca="1">SUMPRODUCT($B12:OFFSET($B13,-1,0),I314:OFFSET(I315,-1,0))</f>
        <v>0</v>
      </c>
      <c r="J313" s="43">
        <f ca="1">SUMPRODUCT($B12:OFFSET($B13,-1,0),J314:OFFSET(J315,-1,0))</f>
        <v>0</v>
      </c>
      <c r="K313" s="43">
        <f ca="1">SUMPRODUCT($B12:OFFSET($B13,-1,0),K314:OFFSET(K315,-1,0))</f>
        <v>0</v>
      </c>
      <c r="M313" s="54">
        <f t="shared" ca="1" si="28"/>
        <v>0</v>
      </c>
    </row>
    <row r="314" spans="1:18" s="181" customFormat="1" hidden="1" outlineLevel="2" x14ac:dyDescent="0.2">
      <c r="A314" s="181" t="str">
        <f>"        " &amp; A12</f>
        <v xml:space="preserve">        Наименование проекта</v>
      </c>
      <c r="C314" s="209" t="str">
        <f t="shared" ca="1" si="27"/>
        <v>руб.</v>
      </c>
      <c r="D314" s="181" t="str">
        <f>"[" &amp; F12 &amp; "];int_sum"</f>
        <v>[Проект];int_sum</v>
      </c>
      <c r="F314" s="54">
        <f ca="1">IF(OR(F$33&lt;$B28,F$33&gt;$C28),0,OFFSET(Проект!F$1276,0,1-$B28))</f>
        <v>0</v>
      </c>
      <c r="G314" s="54">
        <f ca="1">IF(OR(G$33&lt;$B28,G$33&gt;$C28),0,OFFSET(Проект!G$1276,0,1-$B28))</f>
        <v>0</v>
      </c>
      <c r="H314" s="54">
        <f ca="1">IF(OR(H$33&lt;$B28,H$33&gt;$C28),0,OFFSET(Проект!H$1276,0,1-$B28))</f>
        <v>0</v>
      </c>
      <c r="I314" s="54">
        <f ca="1">IF(OR(I$33&lt;$B28,I$33&gt;$C28),0,OFFSET(Проект!I$1276,0,1-$B28))</f>
        <v>0</v>
      </c>
      <c r="J314" s="54">
        <f ca="1">IF(OR(J$33&lt;$B28,J$33&gt;$C28),0,OFFSET(Проект!J$1276,0,1-$B28))</f>
        <v>0</v>
      </c>
      <c r="K314" s="54">
        <f ca="1">IF(OR(K$33&lt;$B28,K$33&gt;$C28),0,OFFSET(Проект!K$1276,0,1-$B28))</f>
        <v>0</v>
      </c>
      <c r="M314" s="54">
        <f t="shared" ca="1" si="28"/>
        <v>0</v>
      </c>
    </row>
    <row r="315" spans="1:18" outlineLevel="1" collapsed="1" x14ac:dyDescent="0.2">
      <c r="A315" t="str">
        <f ca="1">Language!A$755</f>
        <v>Поступления кредитов</v>
      </c>
      <c r="C315" s="5" t="str">
        <f t="shared" ca="1" si="27"/>
        <v>руб.</v>
      </c>
      <c r="D315" s="205" t="s">
        <v>2210</v>
      </c>
      <c r="F315" s="43">
        <f ca="1">SUMPRODUCT($B12:OFFSET($B13,-1,0),F316:OFFSET(F317,-1,0))</f>
        <v>0</v>
      </c>
      <c r="G315" s="43">
        <f ca="1">SUMPRODUCT($B12:OFFSET($B13,-1,0),G316:OFFSET(G317,-1,0))</f>
        <v>0</v>
      </c>
      <c r="H315" s="43">
        <f ca="1">SUMPRODUCT($B12:OFFSET($B13,-1,0),H316:OFFSET(H317,-1,0))</f>
        <v>0</v>
      </c>
      <c r="I315" s="43">
        <f ca="1">SUMPRODUCT($B12:OFFSET($B13,-1,0),I316:OFFSET(I317,-1,0))</f>
        <v>0</v>
      </c>
      <c r="J315" s="43">
        <f ca="1">SUMPRODUCT($B12:OFFSET($B13,-1,0),J316:OFFSET(J317,-1,0))</f>
        <v>0</v>
      </c>
      <c r="K315" s="43">
        <f ca="1">SUMPRODUCT($B12:OFFSET($B13,-1,0),K316:OFFSET(K317,-1,0))</f>
        <v>0</v>
      </c>
      <c r="M315" s="54">
        <f t="shared" ca="1" si="28"/>
        <v>0</v>
      </c>
    </row>
    <row r="316" spans="1:18" s="181" customFormat="1" hidden="1" outlineLevel="2" x14ac:dyDescent="0.2">
      <c r="A316" s="181" t="str">
        <f>"        " &amp; A12</f>
        <v xml:space="preserve">        Наименование проекта</v>
      </c>
      <c r="C316" s="209" t="str">
        <f t="shared" ca="1" si="27"/>
        <v>руб.</v>
      </c>
      <c r="D316" s="181" t="str">
        <f>"[" &amp; F12 &amp; "];int_sum"</f>
        <v>[Проект];int_sum</v>
      </c>
      <c r="F316" s="54">
        <f ca="1">IF(OR(F$33&lt;$B28,F$33&gt;$C28),0,OFFSET(Проект!F$1277,0,1-$B28))</f>
        <v>0</v>
      </c>
      <c r="G316" s="54">
        <f ca="1">IF(OR(G$33&lt;$B28,G$33&gt;$C28),0,OFFSET(Проект!G$1277,0,1-$B28))</f>
        <v>0</v>
      </c>
      <c r="H316" s="54">
        <f ca="1">IF(OR(H$33&lt;$B28,H$33&gt;$C28),0,OFFSET(Проект!H$1277,0,1-$B28))</f>
        <v>0</v>
      </c>
      <c r="I316" s="54">
        <f ca="1">IF(OR(I$33&lt;$B28,I$33&gt;$C28),0,OFFSET(Проект!I$1277,0,1-$B28))</f>
        <v>0</v>
      </c>
      <c r="J316" s="54">
        <f ca="1">IF(OR(J$33&lt;$B28,J$33&gt;$C28),0,OFFSET(Проект!J$1277,0,1-$B28))</f>
        <v>0</v>
      </c>
      <c r="K316" s="54">
        <f ca="1">IF(OR(K$33&lt;$B28,K$33&gt;$C28),0,OFFSET(Проект!K$1277,0,1-$B28))</f>
        <v>0</v>
      </c>
      <c r="M316" s="54">
        <f t="shared" ca="1" si="28"/>
        <v>0</v>
      </c>
    </row>
    <row r="317" spans="1:18" outlineLevel="1" collapsed="1" x14ac:dyDescent="0.2">
      <c r="A317" t="str">
        <f ca="1">Language!A$756</f>
        <v>Возврат кредитов</v>
      </c>
      <c r="C317" s="5" t="str">
        <f t="shared" ca="1" si="27"/>
        <v>руб.</v>
      </c>
      <c r="D317" s="205" t="s">
        <v>2210</v>
      </c>
      <c r="F317" s="43">
        <f ca="1">SUMPRODUCT($B12:OFFSET($B13,-1,0),F318:OFFSET(F319,-1,0))</f>
        <v>0</v>
      </c>
      <c r="G317" s="43">
        <f ca="1">SUMPRODUCT($B12:OFFSET($B13,-1,0),G318:OFFSET(G319,-1,0))</f>
        <v>0</v>
      </c>
      <c r="H317" s="43">
        <f ca="1">SUMPRODUCT($B12:OFFSET($B13,-1,0),H318:OFFSET(H319,-1,0))</f>
        <v>0</v>
      </c>
      <c r="I317" s="43">
        <f ca="1">SUMPRODUCT($B12:OFFSET($B13,-1,0),I318:OFFSET(I319,-1,0))</f>
        <v>0</v>
      </c>
      <c r="J317" s="43">
        <f ca="1">SUMPRODUCT($B12:OFFSET($B13,-1,0),J318:OFFSET(J319,-1,0))</f>
        <v>0</v>
      </c>
      <c r="K317" s="43">
        <f ca="1">SUMPRODUCT($B12:OFFSET($B13,-1,0),K318:OFFSET(K319,-1,0))</f>
        <v>0</v>
      </c>
      <c r="M317" s="54">
        <f t="shared" ca="1" si="28"/>
        <v>0</v>
      </c>
    </row>
    <row r="318" spans="1:18" s="181" customFormat="1" hidden="1" outlineLevel="2" x14ac:dyDescent="0.2">
      <c r="A318" s="181" t="str">
        <f>"        " &amp; A12</f>
        <v xml:space="preserve">        Наименование проекта</v>
      </c>
      <c r="C318" s="209" t="str">
        <f t="shared" ca="1" si="27"/>
        <v>руб.</v>
      </c>
      <c r="D318" s="181" t="str">
        <f>"[" &amp; F12 &amp; "];int_sum"</f>
        <v>[Проект];int_sum</v>
      </c>
      <c r="F318" s="54">
        <f ca="1">IF(OR(F$33&lt;$B28,F$33&gt;$C28),0,OFFSET(Проект!F$1278,0,1-$B28))</f>
        <v>0</v>
      </c>
      <c r="G318" s="54">
        <f ca="1">IF(OR(G$33&lt;$B28,G$33&gt;$C28),0,OFFSET(Проект!G$1278,0,1-$B28))</f>
        <v>0</v>
      </c>
      <c r="H318" s="54">
        <f ca="1">IF(OR(H$33&lt;$B28,H$33&gt;$C28),0,OFFSET(Проект!H$1278,0,1-$B28))</f>
        <v>0</v>
      </c>
      <c r="I318" s="54">
        <f ca="1">IF(OR(I$33&lt;$B28,I$33&gt;$C28),0,OFFSET(Проект!I$1278,0,1-$B28))</f>
        <v>0</v>
      </c>
      <c r="J318" s="54">
        <f ca="1">IF(OR(J$33&lt;$B28,J$33&gt;$C28),0,OFFSET(Проект!J$1278,0,1-$B28))</f>
        <v>0</v>
      </c>
      <c r="K318" s="54">
        <f ca="1">IF(OR(K$33&lt;$B28,K$33&gt;$C28),0,OFFSET(Проект!K$1278,0,1-$B28))</f>
        <v>0</v>
      </c>
      <c r="M318" s="54">
        <f t="shared" ca="1" si="28"/>
        <v>0</v>
      </c>
    </row>
    <row r="319" spans="1:18" outlineLevel="1" collapsed="1" x14ac:dyDescent="0.2">
      <c r="A319" t="str">
        <f ca="1">Language!A$757</f>
        <v>Лизинговые платежи</v>
      </c>
      <c r="C319" s="5" t="str">
        <f t="shared" ca="1" si="27"/>
        <v>руб.</v>
      </c>
      <c r="D319" s="205" t="s">
        <v>2210</v>
      </c>
      <c r="F319" s="43">
        <f ca="1">SUMPRODUCT($B12:OFFSET($B13,-1,0),F320:OFFSET(F321,-1,0))</f>
        <v>0</v>
      </c>
      <c r="G319" s="43">
        <f ca="1">SUMPRODUCT($B12:OFFSET($B13,-1,0),G320:OFFSET(G321,-1,0))</f>
        <v>0</v>
      </c>
      <c r="H319" s="43">
        <f ca="1">SUMPRODUCT($B12:OFFSET($B13,-1,0),H320:OFFSET(H321,-1,0))</f>
        <v>0</v>
      </c>
      <c r="I319" s="43">
        <f ca="1">SUMPRODUCT($B12:OFFSET($B13,-1,0),I320:OFFSET(I321,-1,0))</f>
        <v>0</v>
      </c>
      <c r="J319" s="43">
        <f ca="1">SUMPRODUCT($B12:OFFSET($B13,-1,0),J320:OFFSET(J321,-1,0))</f>
        <v>0</v>
      </c>
      <c r="K319" s="43">
        <f ca="1">SUMPRODUCT($B12:OFFSET($B13,-1,0),K320:OFFSET(K321,-1,0))</f>
        <v>0</v>
      </c>
      <c r="M319" s="54">
        <f t="shared" ca="1" si="28"/>
        <v>0</v>
      </c>
    </row>
    <row r="320" spans="1:18" s="181" customFormat="1" hidden="1" outlineLevel="2" x14ac:dyDescent="0.2">
      <c r="A320" s="181" t="str">
        <f>"        " &amp; A12</f>
        <v xml:space="preserve">        Наименование проекта</v>
      </c>
      <c r="C320" s="209" t="str">
        <f t="shared" ca="1" si="27"/>
        <v>руб.</v>
      </c>
      <c r="D320" s="181" t="str">
        <f>"[" &amp; F12 &amp; "];int_sum"</f>
        <v>[Проект];int_sum</v>
      </c>
      <c r="F320" s="54">
        <f ca="1">IF(OR(F$33&lt;$B28,F$33&gt;$C28),0,OFFSET(Проект!F$1279,0,1-$B28))</f>
        <v>0</v>
      </c>
      <c r="G320" s="54">
        <f ca="1">IF(OR(G$33&lt;$B28,G$33&gt;$C28),0,OFFSET(Проект!G$1279,0,1-$B28))</f>
        <v>0</v>
      </c>
      <c r="H320" s="54">
        <f ca="1">IF(OR(H$33&lt;$B28,H$33&gt;$C28),0,OFFSET(Проект!H$1279,0,1-$B28))</f>
        <v>0</v>
      </c>
      <c r="I320" s="54">
        <f ca="1">IF(OR(I$33&lt;$B28,I$33&gt;$C28),0,OFFSET(Проект!I$1279,0,1-$B28))</f>
        <v>0</v>
      </c>
      <c r="J320" s="54">
        <f ca="1">IF(OR(J$33&lt;$B28,J$33&gt;$C28),0,OFFSET(Проект!J$1279,0,1-$B28))</f>
        <v>0</v>
      </c>
      <c r="K320" s="54">
        <f ca="1">IF(OR(K$33&lt;$B28,K$33&gt;$C28),0,OFFSET(Проект!K$1279,0,1-$B28))</f>
        <v>0</v>
      </c>
      <c r="M320" s="54">
        <f t="shared" ca="1" si="28"/>
        <v>0</v>
      </c>
    </row>
    <row r="321" spans="1:13" outlineLevel="1" collapsed="1" x14ac:dyDescent="0.2">
      <c r="A321" t="str">
        <f ca="1">Language!A$758</f>
        <v>Выплата дивидендов</v>
      </c>
      <c r="C321" s="5" t="str">
        <f t="shared" ca="1" si="27"/>
        <v>руб.</v>
      </c>
      <c r="D321" s="205" t="s">
        <v>2210</v>
      </c>
      <c r="F321" s="43">
        <f ca="1">SUMPRODUCT($B12:OFFSET($B13,-1,0),F322:OFFSET(F323,-1,0))</f>
        <v>0</v>
      </c>
      <c r="G321" s="43">
        <f ca="1">SUMPRODUCT($B12:OFFSET($B13,-1,0),G322:OFFSET(G323,-1,0))</f>
        <v>0</v>
      </c>
      <c r="H321" s="43">
        <f ca="1">SUMPRODUCT($B12:OFFSET($B13,-1,0),H322:OFFSET(H323,-1,0))</f>
        <v>0</v>
      </c>
      <c r="I321" s="43">
        <f ca="1">SUMPRODUCT($B12:OFFSET($B13,-1,0),I322:OFFSET(I323,-1,0))</f>
        <v>0</v>
      </c>
      <c r="J321" s="43">
        <f ca="1">SUMPRODUCT($B12:OFFSET($B13,-1,0),J322:OFFSET(J323,-1,0))</f>
        <v>0</v>
      </c>
      <c r="K321" s="43">
        <f ca="1">SUMPRODUCT($B12:OFFSET($B13,-1,0),K322:OFFSET(K323,-1,0))</f>
        <v>0</v>
      </c>
      <c r="M321" s="54">
        <f t="shared" ca="1" si="28"/>
        <v>0</v>
      </c>
    </row>
    <row r="322" spans="1:13" s="181" customFormat="1" hidden="1" outlineLevel="2" x14ac:dyDescent="0.2">
      <c r="A322" s="181" t="str">
        <f>"        " &amp; A12</f>
        <v xml:space="preserve">        Наименование проекта</v>
      </c>
      <c r="C322" s="209" t="str">
        <f t="shared" ca="1" si="27"/>
        <v>руб.</v>
      </c>
      <c r="D322" s="181" t="str">
        <f>"[" &amp; F12 &amp; "];int_sum"</f>
        <v>[Проект];int_sum</v>
      </c>
      <c r="F322" s="54">
        <f ca="1">IF(OR(F$33&lt;$B28,F$33&gt;$C28),0,OFFSET(Проект!F$1280,0,1-$B28))</f>
        <v>0</v>
      </c>
      <c r="G322" s="54">
        <f ca="1">IF(OR(G$33&lt;$B28,G$33&gt;$C28),0,OFFSET(Проект!G$1280,0,1-$B28))</f>
        <v>0</v>
      </c>
      <c r="H322" s="54">
        <f ca="1">IF(OR(H$33&lt;$B28,H$33&gt;$C28),0,OFFSET(Проект!H$1280,0,1-$B28))</f>
        <v>0</v>
      </c>
      <c r="I322" s="54">
        <f ca="1">IF(OR(I$33&lt;$B28,I$33&gt;$C28),0,OFFSET(Проект!I$1280,0,1-$B28))</f>
        <v>0</v>
      </c>
      <c r="J322" s="54">
        <f ca="1">IF(OR(J$33&lt;$B28,J$33&gt;$C28),0,OFFSET(Проект!J$1280,0,1-$B28))</f>
        <v>0</v>
      </c>
      <c r="K322" s="54">
        <f ca="1">IF(OR(K$33&lt;$B28,K$33&gt;$C28),0,OFFSET(Проект!K$1280,0,1-$B28))</f>
        <v>0</v>
      </c>
      <c r="M322" s="54">
        <f t="shared" ca="1" si="28"/>
        <v>0</v>
      </c>
    </row>
    <row r="323" spans="1:13" outlineLevel="1" x14ac:dyDescent="0.2">
      <c r="D323" s="205"/>
      <c r="M323" s="11"/>
    </row>
    <row r="324" spans="1:13" outlineLevel="1" collapsed="1" x14ac:dyDescent="0.2">
      <c r="A324" s="35" t="str">
        <f ca="1">Language!A$759</f>
        <v>Денежные потоки от финансовой деятельности</v>
      </c>
      <c r="C324" s="5" t="str">
        <f ca="1">CUR_Report</f>
        <v>руб.</v>
      </c>
      <c r="D324" s="205" t="s">
        <v>2210</v>
      </c>
      <c r="F324" s="58">
        <f ca="1">SUMPRODUCT($B12:OFFSET($B13,-1,0),F325:OFFSET(F326,-1,0))</f>
        <v>0</v>
      </c>
      <c r="G324" s="58">
        <f ca="1">SUMPRODUCT($B12:OFFSET($B13,-1,0),G325:OFFSET(G326,-1,0))</f>
        <v>0</v>
      </c>
      <c r="H324" s="58">
        <f ca="1">SUMPRODUCT($B12:OFFSET($B13,-1,0),H325:OFFSET(H326,-1,0))</f>
        <v>0</v>
      </c>
      <c r="I324" s="58">
        <f ca="1">SUMPRODUCT($B12:OFFSET($B13,-1,0),I325:OFFSET(I326,-1,0))</f>
        <v>0</v>
      </c>
      <c r="J324" s="58">
        <f ca="1">SUMPRODUCT($B12:OFFSET($B13,-1,0),J325:OFFSET(J326,-1,0))</f>
        <v>0</v>
      </c>
      <c r="K324" s="58">
        <f ca="1">SUMPRODUCT($B12:OFFSET($B13,-1,0),K325:OFFSET(K326,-1,0))</f>
        <v>0</v>
      </c>
      <c r="M324" s="57">
        <f ca="1">SUM(F324:K324)</f>
        <v>0</v>
      </c>
    </row>
    <row r="325" spans="1:13" s="181" customFormat="1" hidden="1" outlineLevel="2" x14ac:dyDescent="0.2">
      <c r="A325" s="181" t="str">
        <f>"        " &amp; A12</f>
        <v xml:space="preserve">        Наименование проекта</v>
      </c>
      <c r="C325" s="209" t="str">
        <f ca="1">CUR_Report</f>
        <v>руб.</v>
      </c>
      <c r="D325" s="181" t="str">
        <f>"[" &amp; F12 &amp; "];int_sum"</f>
        <v>[Проект];int_sum</v>
      </c>
      <c r="F325" s="54">
        <f ca="1">IF(OR(F$33&lt;$B28,F$33&gt;$C28),0,OFFSET(Проект!F$1282,0,1-$B28))</f>
        <v>0</v>
      </c>
      <c r="G325" s="54">
        <f ca="1">IF(OR(G$33&lt;$B28,G$33&gt;$C28),0,OFFSET(Проект!G$1282,0,1-$B28))</f>
        <v>0</v>
      </c>
      <c r="H325" s="54">
        <f ca="1">IF(OR(H$33&lt;$B28,H$33&gt;$C28),0,OFFSET(Проект!H$1282,0,1-$B28))</f>
        <v>0</v>
      </c>
      <c r="I325" s="54">
        <f ca="1">IF(OR(I$33&lt;$B28,I$33&gt;$C28),0,OFFSET(Проект!I$1282,0,1-$B28))</f>
        <v>0</v>
      </c>
      <c r="J325" s="54">
        <f ca="1">IF(OR(J$33&lt;$B28,J$33&gt;$C28),0,OFFSET(Проект!J$1282,0,1-$B28))</f>
        <v>0</v>
      </c>
      <c r="K325" s="54">
        <f ca="1">IF(OR(K$33&lt;$B28,K$33&gt;$C28),0,OFFSET(Проект!K$1282,0,1-$B28))</f>
        <v>0</v>
      </c>
      <c r="M325" s="54">
        <f ca="1">SUM(F325:K325)</f>
        <v>0</v>
      </c>
    </row>
    <row r="326" spans="1:13" outlineLevel="1" x14ac:dyDescent="0.2">
      <c r="D326" s="205"/>
      <c r="M326" s="11"/>
    </row>
    <row r="327" spans="1:13" outlineLevel="1" collapsed="1" x14ac:dyDescent="0.2">
      <c r="A327" s="23" t="str">
        <f ca="1">Language!A$760</f>
        <v>Суммарный денежный поток за период</v>
      </c>
      <c r="B327" s="180"/>
      <c r="C327" s="293" t="str">
        <f t="shared" ref="C327:C332" ca="1" si="29">CUR_Report</f>
        <v>руб.</v>
      </c>
      <c r="D327" s="205" t="s">
        <v>2210</v>
      </c>
      <c r="E327" s="180"/>
      <c r="F327" s="109">
        <f t="shared" ref="F327:J327" ca="1" si="30">F324+F306+F286</f>
        <v>15122083.333333332</v>
      </c>
      <c r="G327" s="109">
        <f t="shared" ca="1" si="30"/>
        <v>66849460</v>
      </c>
      <c r="H327" s="109">
        <f t="shared" ca="1" si="30"/>
        <v>98359860</v>
      </c>
      <c r="I327" s="109">
        <f t="shared" ca="1" si="30"/>
        <v>91019280</v>
      </c>
      <c r="J327" s="109">
        <f t="shared" ca="1" si="30"/>
        <v>91638500</v>
      </c>
      <c r="K327" s="109">
        <f t="shared" ref="K327" ca="1" si="31">K324+K306+K286</f>
        <v>91638500</v>
      </c>
      <c r="L327" s="23"/>
      <c r="M327" s="54">
        <f ca="1">SUM(F327:K327)</f>
        <v>454627683.33333331</v>
      </c>
    </row>
    <row r="328" spans="1:13" s="181" customFormat="1" hidden="1" outlineLevel="2" x14ac:dyDescent="0.2">
      <c r="A328" s="181" t="str">
        <f>"        " &amp; A12</f>
        <v xml:space="preserve">        Наименование проекта</v>
      </c>
      <c r="C328" s="209" t="str">
        <f t="shared" ca="1" si="29"/>
        <v>руб.</v>
      </c>
      <c r="D328" s="181" t="str">
        <f>"[" &amp; F12 &amp; "];int_sum"</f>
        <v>[Проект];int_sum</v>
      </c>
      <c r="F328" s="54">
        <f ca="1">IF(OR(F$33&lt;$B28,F$33&gt;$C28),0,OFFSET(Проект!F$1284,0,1-$B28))</f>
        <v>15122083.333333332</v>
      </c>
      <c r="G328" s="54">
        <f ca="1">IF(OR(G$33&lt;$B28,G$33&gt;$C28),0,OFFSET(Проект!G$1284,0,1-$B28))</f>
        <v>66849460</v>
      </c>
      <c r="H328" s="54">
        <f ca="1">IF(OR(H$33&lt;$B28,H$33&gt;$C28),0,OFFSET(Проект!H$1284,0,1-$B28))</f>
        <v>98359860</v>
      </c>
      <c r="I328" s="54">
        <f ca="1">IF(OR(I$33&lt;$B28,I$33&gt;$C28),0,OFFSET(Проект!I$1284,0,1-$B28))</f>
        <v>91019280</v>
      </c>
      <c r="J328" s="54">
        <f ca="1">IF(OR(J$33&lt;$B28,J$33&gt;$C28),0,OFFSET(Проект!J$1284,0,1-$B28))</f>
        <v>91638500</v>
      </c>
      <c r="K328" s="54">
        <f ca="1">IF(OR(K$33&lt;$B28,K$33&gt;$C28),0,OFFSET(Проект!K$1284,0,1-$B28))</f>
        <v>91638500</v>
      </c>
      <c r="M328" s="54">
        <f ca="1">SUM(F328:K328)</f>
        <v>454627683.33333331</v>
      </c>
    </row>
    <row r="329" spans="1:13" outlineLevel="1" collapsed="1" x14ac:dyDescent="0.2">
      <c r="A329" s="23" t="str">
        <f ca="1">Language!A$761</f>
        <v>Денежные средства на начало периода</v>
      </c>
      <c r="B329" s="180"/>
      <c r="C329" s="293" t="str">
        <f t="shared" ca="1" si="29"/>
        <v>руб.</v>
      </c>
      <c r="D329" s="205" t="s">
        <v>675</v>
      </c>
      <c r="E329" s="180"/>
      <c r="F329" s="210">
        <f ca="1">IF($B41=2,SUMPRODUCT($B12:OFFSET($B13,-1,0),F330:OFFSET(F331,-1,0)),SUMPRODUCT($B12:OFFSET($B13,-1,0),F330:OFFSET(F331,-1,0))+SUMPRODUCT($B12:OFFSET($B13,-1,0),F45:OFFSET(F46,-1,0))-F44)</f>
        <v>0</v>
      </c>
      <c r="G329" s="210">
        <f ca="1">IF($B41=2,SUMPRODUCT($B12:OFFSET($B13,-1,0),G330:OFFSET(G331,-1,0)),SUMPRODUCT($B12:OFFSET($B13,-1,0),G330:OFFSET(G331,-1,0))+SUMPRODUCT($B12:OFFSET($B13,-1,0),G45:OFFSET(G46,-1,0))-G44)</f>
        <v>15122083.333333332</v>
      </c>
      <c r="H329" s="210">
        <f ca="1">IF($B41=2,SUMPRODUCT($B12:OFFSET($B13,-1,0),H330:OFFSET(H331,-1,0)),SUMPRODUCT($B12:OFFSET($B13,-1,0),H330:OFFSET(H331,-1,0))+SUMPRODUCT($B12:OFFSET($B13,-1,0),H45:OFFSET(H46,-1,0))-H44)</f>
        <v>81971543.333333328</v>
      </c>
      <c r="I329" s="210">
        <f ca="1">IF($B41=2,SUMPRODUCT($B12:OFFSET($B13,-1,0),I330:OFFSET(I331,-1,0)),SUMPRODUCT($B12:OFFSET($B13,-1,0),I330:OFFSET(I331,-1,0))+SUMPRODUCT($B12:OFFSET($B13,-1,0),I45:OFFSET(I46,-1,0))-I44)</f>
        <v>180331403.33333331</v>
      </c>
      <c r="J329" s="210">
        <f ca="1">IF($B41=2,SUMPRODUCT($B12:OFFSET($B13,-1,0),J330:OFFSET(J331,-1,0)),SUMPRODUCT($B12:OFFSET($B13,-1,0),J330:OFFSET(J331,-1,0))+SUMPRODUCT($B12:OFFSET($B13,-1,0),J45:OFFSET(J46,-1,0))-J44)</f>
        <v>271350683.33333331</v>
      </c>
      <c r="K329" s="210">
        <f ca="1">IF($B41=2,SUMPRODUCT($B12:OFFSET($B13,-1,0),K330:OFFSET(K331,-1,0)),SUMPRODUCT($B12:OFFSET($B13,-1,0),K330:OFFSET(K331,-1,0))+SUMPRODUCT($B12:OFFSET($B13,-1,0),K45:OFFSET(K46,-1,0))-K44)</f>
        <v>362989183.33333331</v>
      </c>
      <c r="L329" s="35"/>
      <c r="M329" s="51"/>
    </row>
    <row r="330" spans="1:13" s="181" customFormat="1" hidden="1" outlineLevel="2" x14ac:dyDescent="0.2">
      <c r="A330" s="181" t="str">
        <f>"        " &amp; A12</f>
        <v xml:space="preserve">        Наименование проекта</v>
      </c>
      <c r="C330" s="209" t="str">
        <f t="shared" ca="1" si="29"/>
        <v>руб.</v>
      </c>
      <c r="D330" s="181" t="str">
        <f>"[" &amp; F12 &amp; "];int_end"</f>
        <v>[Проект];int_end</v>
      </c>
      <c r="F330" s="54">
        <f ca="1">IF(F$33&lt;$B28,0,IF(F$33&gt;$C28,IF(LIFE_PRJ=1,E330,0),OFFSET(Проект!F$1285,0,1-$B28)))</f>
        <v>0</v>
      </c>
      <c r="G330" s="54">
        <f ca="1">IF(G$33&lt;$B28,0,IF(G$33&gt;$C28,IF(LIFE_PRJ=1,F330,0),OFFSET(Проект!G$1285,0,1-$B28)))</f>
        <v>15122083.333333332</v>
      </c>
      <c r="H330" s="54">
        <f ca="1">IF(H$33&lt;$B28,0,IF(H$33&gt;$C28,IF(LIFE_PRJ=1,G330,0),OFFSET(Проект!H$1285,0,1-$B28)))</f>
        <v>81971543.333333328</v>
      </c>
      <c r="I330" s="54">
        <f ca="1">IF(I$33&lt;$B28,0,IF(I$33&gt;$C28,IF(LIFE_PRJ=1,H330,0),OFFSET(Проект!I$1285,0,1-$B28)))</f>
        <v>180331403.33333331</v>
      </c>
      <c r="J330" s="54">
        <f ca="1">IF(J$33&lt;$B28,0,IF(J$33&gt;$C28,IF(LIFE_PRJ=1,I330,0),OFFSET(Проект!J$1285,0,1-$B28)))</f>
        <v>271350683.33333331</v>
      </c>
      <c r="K330" s="54">
        <f ca="1">IF(K$33&lt;$B28,0,IF(K$33&gt;$C28,IF(LIFE_PRJ=1,J330,0),OFFSET(Проект!K$1285,0,1-$B28)))</f>
        <v>362989183.33333331</v>
      </c>
    </row>
    <row r="331" spans="1:13" outlineLevel="1" collapsed="1" x14ac:dyDescent="0.2">
      <c r="A331" s="35" t="str">
        <f ca="1">Language!A$762</f>
        <v>Денежные средства на конец периода</v>
      </c>
      <c r="C331" s="5" t="str">
        <f t="shared" ca="1" si="29"/>
        <v>руб.</v>
      </c>
      <c r="D331" s="205" t="s">
        <v>2211</v>
      </c>
      <c r="F331" s="58">
        <f ca="1">IF($B41=2,SUMPRODUCT($B12:OFFSET($B13,-1,0),F332:OFFSET(F333,-1,0)),SUMPRODUCT($B12:OFFSET($B13,-1,0),F332:OFFSET(F333,-1,0))+SUMPRODUCT($B12:OFFSET($B13,-1,0),F45:OFFSET(F46,-1,0))-F44)</f>
        <v>15122083.333333332</v>
      </c>
      <c r="G331" s="58">
        <f ca="1">IF($B41=2,SUMPRODUCT($B12:OFFSET($B13,-1,0),G332:OFFSET(G333,-1,0)),SUMPRODUCT($B12:OFFSET($B13,-1,0),G332:OFFSET(G333,-1,0))+SUMPRODUCT($B12:OFFSET($B13,-1,0),G45:OFFSET(G46,-1,0))-G44)</f>
        <v>81971543.333333328</v>
      </c>
      <c r="H331" s="58">
        <f ca="1">IF($B41=2,SUMPRODUCT($B12:OFFSET($B13,-1,0),H332:OFFSET(H333,-1,0)),SUMPRODUCT($B12:OFFSET($B13,-1,0),H332:OFFSET(H333,-1,0))+SUMPRODUCT($B12:OFFSET($B13,-1,0),H45:OFFSET(H46,-1,0))-H44)</f>
        <v>180331403.33333331</v>
      </c>
      <c r="I331" s="58">
        <f ca="1">IF($B41=2,SUMPRODUCT($B12:OFFSET($B13,-1,0),I332:OFFSET(I333,-1,0)),SUMPRODUCT($B12:OFFSET($B13,-1,0),I332:OFFSET(I333,-1,0))+SUMPRODUCT($B12:OFFSET($B13,-1,0),I45:OFFSET(I46,-1,0))-I44)</f>
        <v>271350683.33333331</v>
      </c>
      <c r="J331" s="58">
        <f ca="1">IF($B41=2,SUMPRODUCT($B12:OFFSET($B13,-1,0),J332:OFFSET(J333,-1,0)),SUMPRODUCT($B12:OFFSET($B13,-1,0),J332:OFFSET(J333,-1,0))+SUMPRODUCT($B12:OFFSET($B13,-1,0),J45:OFFSET(J46,-1,0))-J44)</f>
        <v>362989183.33333331</v>
      </c>
      <c r="K331" s="58">
        <f ca="1">IF($B41=2,SUMPRODUCT($B12:OFFSET($B13,-1,0),K332:OFFSET(K333,-1,0)),SUMPRODUCT($B12:OFFSET($B13,-1,0),K332:OFFSET(K333,-1,0))+SUMPRODUCT($B12:OFFSET($B13,-1,0),K45:OFFSET(K46,-1,0))-K44)</f>
        <v>454627683.33333331</v>
      </c>
    </row>
    <row r="332" spans="1:13" s="181" customFormat="1" hidden="1" outlineLevel="2" x14ac:dyDescent="0.2">
      <c r="A332" s="181" t="str">
        <f>"        " &amp; A12</f>
        <v xml:space="preserve">        Наименование проекта</v>
      </c>
      <c r="C332" s="209" t="str">
        <f t="shared" ca="1" si="29"/>
        <v>руб.</v>
      </c>
      <c r="D332" s="181" t="str">
        <f>"[" &amp; F12 &amp; "];int_end"</f>
        <v>[Проект];int_end</v>
      </c>
      <c r="F332" s="54">
        <f ca="1">IF(F$33&lt;$B28,0,IF(F$33&gt;$C28,IF(LIFE_PRJ=1,E332,0),OFFSET(Проект!F$1286,0,1-$B28)))</f>
        <v>15122083.333333332</v>
      </c>
      <c r="G332" s="54">
        <f ca="1">IF(G$33&lt;$B28,0,IF(G$33&gt;$C28,IF(LIFE_PRJ=1,F332,0),OFFSET(Проект!G$1286,0,1-$B28)))</f>
        <v>81971543.333333328</v>
      </c>
      <c r="H332" s="54">
        <f ca="1">IF(H$33&lt;$B28,0,IF(H$33&gt;$C28,IF(LIFE_PRJ=1,G332,0),OFFSET(Проект!H$1286,0,1-$B28)))</f>
        <v>180331403.33333331</v>
      </c>
      <c r="I332" s="54">
        <f ca="1">IF(I$33&lt;$B28,0,IF(I$33&gt;$C28,IF(LIFE_PRJ=1,H332,0),OFFSET(Проект!I$1286,0,1-$B28)))</f>
        <v>271350683.33333331</v>
      </c>
      <c r="J332" s="54">
        <f ca="1">IF(J$33&lt;$B28,0,IF(J$33&gt;$C28,IF(LIFE_PRJ=1,I332,0),OFFSET(Проект!J$1286,0,1-$B28)))</f>
        <v>362989183.33333331</v>
      </c>
      <c r="K332" s="54">
        <f ca="1">IF(K$33&lt;$B28,0,IF(K$33&gt;$C28,IF(LIFE_PRJ=1,J332,0),OFFSET(Проект!K$1286,0,1-$B28)))</f>
        <v>454627683.33333331</v>
      </c>
    </row>
    <row r="333" spans="1:13" outlineLevel="1" x14ac:dyDescent="0.2">
      <c r="A333" s="63"/>
      <c r="B333" s="63"/>
      <c r="C333" s="63"/>
      <c r="D333" s="63"/>
      <c r="E333" s="63"/>
      <c r="F333" s="63"/>
      <c r="G333" s="63"/>
      <c r="H333" s="63"/>
      <c r="I333" s="63"/>
      <c r="J333" s="63"/>
      <c r="K333" s="63"/>
      <c r="L333" s="63"/>
      <c r="M333" s="204"/>
    </row>
    <row r="334" spans="1:13" outlineLevel="1" collapsed="1" x14ac:dyDescent="0.2">
      <c r="A334" s="22" t="str">
        <f ca="1">Language!A$763 &amp; ", " &amp; CUR_Report</f>
        <v>График: Движение денежных средств, руб.</v>
      </c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206"/>
    </row>
    <row r="335" spans="1:13" hidden="1" outlineLevel="2" x14ac:dyDescent="0.2"/>
    <row r="336" spans="1:13" hidden="1" outlineLevel="2" x14ac:dyDescent="0.2"/>
    <row r="337" hidden="1" outlineLevel="2" x14ac:dyDescent="0.2"/>
    <row r="338" hidden="1" outlineLevel="2" x14ac:dyDescent="0.2"/>
    <row r="339" hidden="1" outlineLevel="2" x14ac:dyDescent="0.2"/>
    <row r="340" hidden="1" outlineLevel="2" x14ac:dyDescent="0.2"/>
    <row r="341" hidden="1" outlineLevel="2" x14ac:dyDescent="0.2"/>
    <row r="342" hidden="1" outlineLevel="2" x14ac:dyDescent="0.2"/>
    <row r="343" hidden="1" outlineLevel="2" x14ac:dyDescent="0.2"/>
    <row r="344" hidden="1" outlineLevel="2" x14ac:dyDescent="0.2"/>
    <row r="345" hidden="1" outlineLevel="2" x14ac:dyDescent="0.2"/>
    <row r="346" hidden="1" outlineLevel="2" x14ac:dyDescent="0.2"/>
    <row r="347" hidden="1" outlineLevel="2" x14ac:dyDescent="0.2"/>
    <row r="348" hidden="1" outlineLevel="2" x14ac:dyDescent="0.2"/>
    <row r="349" hidden="1" outlineLevel="2" x14ac:dyDescent="0.2"/>
    <row r="350" hidden="1" outlineLevel="2" x14ac:dyDescent="0.2"/>
    <row r="351" hidden="1" outlineLevel="2" x14ac:dyDescent="0.2"/>
    <row r="352" hidden="1" outlineLevel="2" x14ac:dyDescent="0.2"/>
    <row r="353" spans="1:1" hidden="1" outlineLevel="2" x14ac:dyDescent="0.2"/>
    <row r="354" spans="1:1" hidden="1" outlineLevel="2" x14ac:dyDescent="0.2"/>
    <row r="355" spans="1:1" hidden="1" outlineLevel="2" x14ac:dyDescent="0.2"/>
    <row r="356" spans="1:1" hidden="1" outlineLevel="2" x14ac:dyDescent="0.2"/>
    <row r="357" spans="1:1" hidden="1" outlineLevel="2" x14ac:dyDescent="0.2"/>
    <row r="358" spans="1:1" outlineLevel="1" x14ac:dyDescent="0.2"/>
    <row r="359" spans="1:1" outlineLevel="1" collapsed="1" x14ac:dyDescent="0.2">
      <c r="A359" s="11" t="str">
        <f ca="1">Language!A$764 &amp; ", " &amp; CUR_Report</f>
        <v>График: Остаток денежных средств, руб.</v>
      </c>
    </row>
    <row r="360" spans="1:1" hidden="1" outlineLevel="2" x14ac:dyDescent="0.2"/>
    <row r="361" spans="1:1" hidden="1" outlineLevel="2" x14ac:dyDescent="0.2"/>
    <row r="362" spans="1:1" hidden="1" outlineLevel="2" x14ac:dyDescent="0.2"/>
    <row r="363" spans="1:1" hidden="1" outlineLevel="2" x14ac:dyDescent="0.2"/>
    <row r="364" spans="1:1" hidden="1" outlineLevel="2" x14ac:dyDescent="0.2"/>
    <row r="365" spans="1:1" hidden="1" outlineLevel="2" x14ac:dyDescent="0.2"/>
    <row r="366" spans="1:1" hidden="1" outlineLevel="2" x14ac:dyDescent="0.2"/>
    <row r="367" spans="1:1" hidden="1" outlineLevel="2" x14ac:dyDescent="0.2"/>
    <row r="368" spans="1:1" hidden="1" outlineLevel="2" x14ac:dyDescent="0.2"/>
    <row r="369" spans="1:1" hidden="1" outlineLevel="2" x14ac:dyDescent="0.2"/>
    <row r="370" spans="1:1" hidden="1" outlineLevel="2" x14ac:dyDescent="0.2"/>
    <row r="371" spans="1:1" hidden="1" outlineLevel="2" x14ac:dyDescent="0.2"/>
    <row r="372" spans="1:1" hidden="1" outlineLevel="2" x14ac:dyDescent="0.2"/>
    <row r="373" spans="1:1" hidden="1" outlineLevel="2" x14ac:dyDescent="0.2"/>
    <row r="374" spans="1:1" hidden="1" outlineLevel="2" x14ac:dyDescent="0.2"/>
    <row r="375" spans="1:1" hidden="1" outlineLevel="2" x14ac:dyDescent="0.2"/>
    <row r="376" spans="1:1" hidden="1" outlineLevel="2" x14ac:dyDescent="0.2"/>
    <row r="377" spans="1:1" hidden="1" outlineLevel="2" x14ac:dyDescent="0.2"/>
    <row r="378" spans="1:1" hidden="1" outlineLevel="2" x14ac:dyDescent="0.2"/>
    <row r="379" spans="1:1" hidden="1" outlineLevel="2" x14ac:dyDescent="0.2"/>
    <row r="380" spans="1:1" hidden="1" outlineLevel="2" x14ac:dyDescent="0.2"/>
    <row r="381" spans="1:1" hidden="1" outlineLevel="2" x14ac:dyDescent="0.2"/>
    <row r="382" spans="1:1" hidden="1" outlineLevel="2" x14ac:dyDescent="0.2"/>
    <row r="383" spans="1:1" outlineLevel="1" x14ac:dyDescent="0.2"/>
    <row r="384" spans="1:1" outlineLevel="1" collapsed="1" x14ac:dyDescent="0.2">
      <c r="A384" s="11" t="str">
        <f ca="1">Language!A$1006 &amp; ", " &amp; CUR_Report</f>
        <v>График: Движение денег по кредитам, руб.</v>
      </c>
    </row>
    <row r="385" hidden="1" outlineLevel="2" x14ac:dyDescent="0.2"/>
    <row r="386" hidden="1" outlineLevel="2" x14ac:dyDescent="0.2"/>
    <row r="387" hidden="1" outlineLevel="2" x14ac:dyDescent="0.2"/>
    <row r="388" hidden="1" outlineLevel="2" x14ac:dyDescent="0.2"/>
    <row r="389" hidden="1" outlineLevel="2" x14ac:dyDescent="0.2"/>
    <row r="390" hidden="1" outlineLevel="2" x14ac:dyDescent="0.2"/>
    <row r="391" hidden="1" outlineLevel="2" x14ac:dyDescent="0.2"/>
    <row r="392" hidden="1" outlineLevel="2" x14ac:dyDescent="0.2"/>
    <row r="393" hidden="1" outlineLevel="2" x14ac:dyDescent="0.2"/>
    <row r="394" hidden="1" outlineLevel="2" x14ac:dyDescent="0.2"/>
    <row r="395" hidden="1" outlineLevel="2" x14ac:dyDescent="0.2"/>
    <row r="396" hidden="1" outlineLevel="2" x14ac:dyDescent="0.2"/>
    <row r="397" hidden="1" outlineLevel="2" x14ac:dyDescent="0.2"/>
    <row r="398" hidden="1" outlineLevel="2" x14ac:dyDescent="0.2"/>
    <row r="399" hidden="1" outlineLevel="2" x14ac:dyDescent="0.2"/>
    <row r="400" hidden="1" outlineLevel="2" x14ac:dyDescent="0.2"/>
    <row r="401" spans="1:1" hidden="1" outlineLevel="2" x14ac:dyDescent="0.2"/>
    <row r="402" spans="1:1" hidden="1" outlineLevel="2" x14ac:dyDescent="0.2"/>
    <row r="403" spans="1:1" hidden="1" outlineLevel="2" x14ac:dyDescent="0.2"/>
    <row r="404" spans="1:1" hidden="1" outlineLevel="2" x14ac:dyDescent="0.2"/>
    <row r="405" spans="1:1" hidden="1" outlineLevel="2" x14ac:dyDescent="0.2"/>
    <row r="406" spans="1:1" hidden="1" outlineLevel="2" x14ac:dyDescent="0.2"/>
    <row r="407" spans="1:1" hidden="1" outlineLevel="2" x14ac:dyDescent="0.2"/>
    <row r="408" spans="1:1" outlineLevel="1" x14ac:dyDescent="0.2"/>
    <row r="409" spans="1:1" outlineLevel="1" collapsed="1" x14ac:dyDescent="0.2">
      <c r="A409" s="11" t="str">
        <f ca="1">Language!A$1008 &amp; ", " &amp; CUR_Report</f>
        <v>График: Поступления от продаж, руб.</v>
      </c>
    </row>
    <row r="410" spans="1:1" hidden="1" outlineLevel="2" x14ac:dyDescent="0.2"/>
    <row r="411" spans="1:1" hidden="1" outlineLevel="2" x14ac:dyDescent="0.2"/>
    <row r="412" spans="1:1" hidden="1" outlineLevel="2" x14ac:dyDescent="0.2"/>
    <row r="413" spans="1:1" hidden="1" outlineLevel="2" x14ac:dyDescent="0.2"/>
    <row r="414" spans="1:1" hidden="1" outlineLevel="2" x14ac:dyDescent="0.2"/>
    <row r="415" spans="1:1" hidden="1" outlineLevel="2" x14ac:dyDescent="0.2"/>
    <row r="416" spans="1:1" hidden="1" outlineLevel="2" x14ac:dyDescent="0.2"/>
    <row r="417" hidden="1" outlineLevel="2" x14ac:dyDescent="0.2"/>
    <row r="418" hidden="1" outlineLevel="2" x14ac:dyDescent="0.2"/>
    <row r="419" hidden="1" outlineLevel="2" x14ac:dyDescent="0.2"/>
    <row r="420" hidden="1" outlineLevel="2" x14ac:dyDescent="0.2"/>
    <row r="421" hidden="1" outlineLevel="2" x14ac:dyDescent="0.2"/>
    <row r="422" hidden="1" outlineLevel="2" x14ac:dyDescent="0.2"/>
    <row r="423" hidden="1" outlineLevel="2" x14ac:dyDescent="0.2"/>
    <row r="424" hidden="1" outlineLevel="2" x14ac:dyDescent="0.2"/>
    <row r="425" hidden="1" outlineLevel="2" x14ac:dyDescent="0.2"/>
    <row r="426" hidden="1" outlineLevel="2" x14ac:dyDescent="0.2"/>
    <row r="427" hidden="1" outlineLevel="2" x14ac:dyDescent="0.2"/>
    <row r="428" hidden="1" outlineLevel="2" x14ac:dyDescent="0.2"/>
    <row r="429" hidden="1" outlineLevel="2" x14ac:dyDescent="0.2"/>
    <row r="430" hidden="1" outlineLevel="2" x14ac:dyDescent="0.2"/>
    <row r="431" hidden="1" outlineLevel="2" x14ac:dyDescent="0.2"/>
    <row r="432" hidden="1" outlineLevel="2" x14ac:dyDescent="0.2"/>
    <row r="433" spans="1:13" outlineLevel="1" x14ac:dyDescent="0.2"/>
    <row r="434" spans="1:13" outlineLevel="1" x14ac:dyDescent="0.2"/>
    <row r="435" spans="1:13" s="4" customFormat="1" ht="15.9" customHeight="1" thickBot="1" x14ac:dyDescent="0.25">
      <c r="A435" s="166" t="str">
        <f ca="1">Language!A971</f>
        <v xml:space="preserve">         СВОДНЫЙ БАЛАНС</v>
      </c>
      <c r="B435" s="166"/>
      <c r="C435" s="166"/>
      <c r="D435" s="166"/>
      <c r="E435" s="166"/>
      <c r="F435" s="178" t="str">
        <f>IF(Проект!ShowRealDates,F36,F34)</f>
        <v>4/ 2020</v>
      </c>
      <c r="G435" s="178" t="str">
        <f>IF(Проект!ShowRealDates,G36,G34)</f>
        <v>5/ 2020</v>
      </c>
      <c r="H435" s="178" t="str">
        <f>IF(Проект!ShowRealDates,H36,H34)</f>
        <v>6/ 2020</v>
      </c>
      <c r="I435" s="178" t="str">
        <f>IF(Проект!ShowRealDates,I36,I34)</f>
        <v>7/ 2020</v>
      </c>
      <c r="J435" s="178" t="str">
        <f>IF(Проект!ShowRealDates,J36,J34)</f>
        <v>8/ 2020</v>
      </c>
      <c r="K435" s="178" t="str">
        <f>IF(Проект!ShowRealDates,K36,K34)</f>
        <v>9/ 2020</v>
      </c>
      <c r="L435" s="167"/>
      <c r="M435" s="110"/>
    </row>
    <row r="436" spans="1:13" ht="10.8" outlineLevel="1" thickTop="1" x14ac:dyDescent="0.2"/>
    <row r="437" spans="1:13" outlineLevel="1" collapsed="1" x14ac:dyDescent="0.2">
      <c r="A437" t="str">
        <f ca="1">Language!A$766</f>
        <v>Денежные средства</v>
      </c>
      <c r="C437" s="5" t="str">
        <f t="shared" ref="C437:C456" ca="1" si="32">CUR_Report</f>
        <v>руб.</v>
      </c>
      <c r="D437" s="16" t="s">
        <v>2211</v>
      </c>
      <c r="F437" s="106">
        <f t="shared" ref="F437:J437" ca="1" si="33">F331+F115</f>
        <v>19955000</v>
      </c>
      <c r="G437" s="106">
        <f t="shared" ca="1" si="33"/>
        <v>86841700</v>
      </c>
      <c r="H437" s="106">
        <f t="shared" ca="1" si="33"/>
        <v>185238799.99999997</v>
      </c>
      <c r="I437" s="106">
        <f t="shared" ca="1" si="33"/>
        <v>276276700</v>
      </c>
      <c r="J437" s="106">
        <f t="shared" ca="1" si="33"/>
        <v>367915200</v>
      </c>
      <c r="K437" s="106">
        <f t="shared" ref="K437" ca="1" si="34">K331+K115</f>
        <v>459553700</v>
      </c>
      <c r="M437" s="11"/>
    </row>
    <row r="438" spans="1:13" s="181" customFormat="1" hidden="1" outlineLevel="2" x14ac:dyDescent="0.2">
      <c r="A438" s="11" t="str">
        <f>"        " &amp; A12</f>
        <v xml:space="preserve">        Наименование проекта</v>
      </c>
      <c r="B438" s="11"/>
      <c r="C438" s="36" t="str">
        <f t="shared" ca="1" si="32"/>
        <v>руб.</v>
      </c>
      <c r="D438" s="11" t="str">
        <f>"[" &amp; F12 &amp; "];int_end"</f>
        <v>[Проект];int_end</v>
      </c>
      <c r="E438" s="11"/>
      <c r="F438" s="54">
        <f ca="1">IF(F$33&lt;$B28,0,IF(F$33&gt;$C28,IF(LIFE_PRJ=1,E438,0),OFFSET(Проект!F$1391,0,1-$B28)))</f>
        <v>19955000</v>
      </c>
      <c r="G438" s="54">
        <f ca="1">IF(G$33&lt;$B28,0,IF(G$33&gt;$C28,IF(LIFE_PRJ=1,F438,0),OFFSET(Проект!G$1391,0,1-$B28)))</f>
        <v>86841700</v>
      </c>
      <c r="H438" s="54">
        <f ca="1">IF(H$33&lt;$B28,0,IF(H$33&gt;$C28,IF(LIFE_PRJ=1,G438,0),OFFSET(Проект!H$1391,0,1-$B28)))</f>
        <v>185238799.99999997</v>
      </c>
      <c r="I438" s="54">
        <f ca="1">IF(I$33&lt;$B28,0,IF(I$33&gt;$C28,IF(LIFE_PRJ=1,H438,0),OFFSET(Проект!I$1391,0,1-$B28)))</f>
        <v>276276700</v>
      </c>
      <c r="J438" s="54">
        <f ca="1">IF(J$33&lt;$B28,0,IF(J$33&gt;$C28,IF(LIFE_PRJ=1,I438,0),OFFSET(Проект!J$1391,0,1-$B28)))</f>
        <v>367915200</v>
      </c>
      <c r="K438" s="54">
        <f ca="1">IF(K$33&lt;$B28,0,IF(K$33&gt;$C28,IF(LIFE_PRJ=1,J438,0),OFFSET(Проект!K$1391,0,1-$B28)))</f>
        <v>459553700</v>
      </c>
    </row>
    <row r="439" spans="1:13" outlineLevel="1" collapsed="1" x14ac:dyDescent="0.2">
      <c r="A439" t="str">
        <f ca="1">Language!A$767</f>
        <v>Дебиторская задолженность</v>
      </c>
      <c r="C439" s="5" t="str">
        <f t="shared" ca="1" si="32"/>
        <v>руб.</v>
      </c>
      <c r="D439" s="16" t="s">
        <v>2211</v>
      </c>
      <c r="F439" s="106">
        <f ca="1">SUMPRODUCT($B12:OFFSET($B13,-1,0),F440:OFFSET(F441,-1,0))</f>
        <v>0</v>
      </c>
      <c r="G439" s="106">
        <f ca="1">SUMPRODUCT($B12:OFFSET($B13,-1,0),G440:OFFSET(G441,-1,0))</f>
        <v>0</v>
      </c>
      <c r="H439" s="106">
        <f ca="1">SUMPRODUCT($B12:OFFSET($B13,-1,0),H440:OFFSET(H441,-1,0))</f>
        <v>0</v>
      </c>
      <c r="I439" s="106">
        <f ca="1">SUMPRODUCT($B12:OFFSET($B13,-1,0),I440:OFFSET(I441,-1,0))</f>
        <v>0</v>
      </c>
      <c r="J439" s="106">
        <f ca="1">SUMPRODUCT($B12:OFFSET($B13,-1,0),J440:OFFSET(J441,-1,0))</f>
        <v>0</v>
      </c>
      <c r="K439" s="106">
        <f ca="1">SUMPRODUCT($B12:OFFSET($B13,-1,0),K440:OFFSET(K441,-1,0))</f>
        <v>0</v>
      </c>
      <c r="M439" s="11"/>
    </row>
    <row r="440" spans="1:13" s="181" customFormat="1" hidden="1" outlineLevel="2" x14ac:dyDescent="0.2">
      <c r="A440" s="181" t="str">
        <f>"        " &amp; A12</f>
        <v xml:space="preserve">        Наименование проекта</v>
      </c>
      <c r="C440" s="209" t="str">
        <f t="shared" ca="1" si="32"/>
        <v>руб.</v>
      </c>
      <c r="D440" s="90" t="str">
        <f>"[" &amp; F12 &amp; "];int_end"</f>
        <v>[Проект];int_end</v>
      </c>
      <c r="F440" s="94">
        <f ca="1">IF(F$33&lt;$B28,0,IF(F$33&gt;$C28,IF(LIFE_PRJ=1,E440,0),OFFSET(Проект!F$1392,0,1-$B28)))</f>
        <v>0</v>
      </c>
      <c r="G440" s="94">
        <f ca="1">IF(G$33&lt;$B28,0,IF(G$33&gt;$C28,IF(LIFE_PRJ=1,F440,0),OFFSET(Проект!G$1392,0,1-$B28)))</f>
        <v>0</v>
      </c>
      <c r="H440" s="94">
        <f ca="1">IF(H$33&lt;$B28,0,IF(H$33&gt;$C28,IF(LIFE_PRJ=1,G440,0),OFFSET(Проект!H$1392,0,1-$B28)))</f>
        <v>0</v>
      </c>
      <c r="I440" s="94">
        <f ca="1">IF(I$33&lt;$B28,0,IF(I$33&gt;$C28,IF(LIFE_PRJ=1,H440,0),OFFSET(Проект!I$1392,0,1-$B28)))</f>
        <v>0</v>
      </c>
      <c r="J440" s="94">
        <f ca="1">IF(J$33&lt;$B28,0,IF(J$33&gt;$C28,IF(LIFE_PRJ=1,I440,0),OFFSET(Проект!J$1392,0,1-$B28)))</f>
        <v>0</v>
      </c>
      <c r="K440" s="94">
        <f ca="1">IF(K$33&lt;$B28,0,IF(K$33&gt;$C28,IF(LIFE_PRJ=1,J440,0),OFFSET(Проект!K$1392,0,1-$B28)))</f>
        <v>0</v>
      </c>
    </row>
    <row r="441" spans="1:13" outlineLevel="1" collapsed="1" x14ac:dyDescent="0.2">
      <c r="A441" t="str">
        <f ca="1">Language!A$768</f>
        <v>Авансы уплаченные</v>
      </c>
      <c r="C441" s="5" t="str">
        <f t="shared" ca="1" si="32"/>
        <v>руб.</v>
      </c>
      <c r="D441" s="16" t="s">
        <v>2211</v>
      </c>
      <c r="F441" s="106">
        <f ca="1">SUMPRODUCT($B12:OFFSET($B13,-1,0),F442:OFFSET(F443,-1,0))</f>
        <v>0</v>
      </c>
      <c r="G441" s="106">
        <f ca="1">SUMPRODUCT($B12:OFFSET($B13,-1,0),G442:OFFSET(G443,-1,0))</f>
        <v>0</v>
      </c>
      <c r="H441" s="106">
        <f ca="1">SUMPRODUCT($B12:OFFSET($B13,-1,0),H442:OFFSET(H443,-1,0))</f>
        <v>0</v>
      </c>
      <c r="I441" s="106">
        <f ca="1">SUMPRODUCT($B12:OFFSET($B13,-1,0),I442:OFFSET(I443,-1,0))</f>
        <v>0</v>
      </c>
      <c r="J441" s="106">
        <f ca="1">SUMPRODUCT($B12:OFFSET($B13,-1,0),J442:OFFSET(J443,-1,0))</f>
        <v>0</v>
      </c>
      <c r="K441" s="106">
        <f ca="1">SUMPRODUCT($B12:OFFSET($B13,-1,0),K442:OFFSET(K443,-1,0))</f>
        <v>0</v>
      </c>
      <c r="M441" s="11"/>
    </row>
    <row r="442" spans="1:13" s="181" customFormat="1" hidden="1" outlineLevel="2" x14ac:dyDescent="0.2">
      <c r="A442" s="181" t="str">
        <f>"        " &amp; A12</f>
        <v xml:space="preserve">        Наименование проекта</v>
      </c>
      <c r="C442" s="209" t="str">
        <f t="shared" ca="1" si="32"/>
        <v>руб.</v>
      </c>
      <c r="D442" s="90" t="str">
        <f>"[" &amp; F12 &amp; "];int_end"</f>
        <v>[Проект];int_end</v>
      </c>
      <c r="F442" s="94">
        <f ca="1">IF(F$33&lt;$B28,0,IF(F$33&gt;$C28,IF(LIFE_PRJ=1,E442,0),OFFSET(Проект!F$1393,0,1-$B28)))</f>
        <v>0</v>
      </c>
      <c r="G442" s="94">
        <f ca="1">IF(G$33&lt;$B28,0,IF(G$33&gt;$C28,IF(LIFE_PRJ=1,F442,0),OFFSET(Проект!G$1393,0,1-$B28)))</f>
        <v>0</v>
      </c>
      <c r="H442" s="94">
        <f ca="1">IF(H$33&lt;$B28,0,IF(H$33&gt;$C28,IF(LIFE_PRJ=1,G442,0),OFFSET(Проект!H$1393,0,1-$B28)))</f>
        <v>0</v>
      </c>
      <c r="I442" s="94">
        <f ca="1">IF(I$33&lt;$B28,0,IF(I$33&gt;$C28,IF(LIFE_PRJ=1,H442,0),OFFSET(Проект!I$1393,0,1-$B28)))</f>
        <v>0</v>
      </c>
      <c r="J442" s="94">
        <f ca="1">IF(J$33&lt;$B28,0,IF(J$33&gt;$C28,IF(LIFE_PRJ=1,I442,0),OFFSET(Проект!J$1393,0,1-$B28)))</f>
        <v>0</v>
      </c>
      <c r="K442" s="94">
        <f ca="1">IF(K$33&lt;$B28,0,IF(K$33&gt;$C28,IF(LIFE_PRJ=1,J442,0),OFFSET(Проект!K$1393,0,1-$B28)))</f>
        <v>0</v>
      </c>
    </row>
    <row r="443" spans="1:13" outlineLevel="1" collapsed="1" x14ac:dyDescent="0.2">
      <c r="A443" t="str">
        <f ca="1">Language!A$769</f>
        <v>Готовая продукция</v>
      </c>
      <c r="C443" s="5" t="str">
        <f t="shared" ca="1" si="32"/>
        <v>руб.</v>
      </c>
      <c r="D443" s="16" t="s">
        <v>2211</v>
      </c>
      <c r="F443" s="106">
        <f ca="1">SUMPRODUCT($B12:OFFSET($B13,-1,0),F444:OFFSET(F445,-1,0))</f>
        <v>0</v>
      </c>
      <c r="G443" s="106">
        <f ca="1">SUMPRODUCT($B12:OFFSET($B13,-1,0),G444:OFFSET(G445,-1,0))</f>
        <v>0</v>
      </c>
      <c r="H443" s="106">
        <f ca="1">SUMPRODUCT($B12:OFFSET($B13,-1,0),H444:OFFSET(H445,-1,0))</f>
        <v>0</v>
      </c>
      <c r="I443" s="106">
        <f ca="1">SUMPRODUCT($B12:OFFSET($B13,-1,0),I444:OFFSET(I445,-1,0))</f>
        <v>0</v>
      </c>
      <c r="J443" s="106">
        <f ca="1">SUMPRODUCT($B12:OFFSET($B13,-1,0),J444:OFFSET(J445,-1,0))</f>
        <v>0</v>
      </c>
      <c r="K443" s="106">
        <f ca="1">SUMPRODUCT($B12:OFFSET($B13,-1,0),K444:OFFSET(K445,-1,0))</f>
        <v>0</v>
      </c>
      <c r="M443" s="11"/>
    </row>
    <row r="444" spans="1:13" s="181" customFormat="1" hidden="1" outlineLevel="2" x14ac:dyDescent="0.2">
      <c r="A444" s="181" t="str">
        <f>"        " &amp; A12</f>
        <v xml:space="preserve">        Наименование проекта</v>
      </c>
      <c r="C444" s="209" t="str">
        <f t="shared" ca="1" si="32"/>
        <v>руб.</v>
      </c>
      <c r="D444" s="90" t="str">
        <f>"[" &amp; F12 &amp; "];int_end"</f>
        <v>[Проект];int_end</v>
      </c>
      <c r="F444" s="94">
        <f ca="1">IF(F$33&lt;$B28,0,IF(F$33&gt;$C28,IF(LIFE_PRJ=1,E444,0),OFFSET(Проект!F$1394,0,1-$B28)))</f>
        <v>0</v>
      </c>
      <c r="G444" s="94">
        <f ca="1">IF(G$33&lt;$B28,0,IF(G$33&gt;$C28,IF(LIFE_PRJ=1,F444,0),OFFSET(Проект!G$1394,0,1-$B28)))</f>
        <v>0</v>
      </c>
      <c r="H444" s="94">
        <f ca="1">IF(H$33&lt;$B28,0,IF(H$33&gt;$C28,IF(LIFE_PRJ=1,G444,0),OFFSET(Проект!H$1394,0,1-$B28)))</f>
        <v>0</v>
      </c>
      <c r="I444" s="94">
        <f ca="1">IF(I$33&lt;$B28,0,IF(I$33&gt;$C28,IF(LIFE_PRJ=1,H444,0),OFFSET(Проект!I$1394,0,1-$B28)))</f>
        <v>0</v>
      </c>
      <c r="J444" s="94">
        <f ca="1">IF(J$33&lt;$B28,0,IF(J$33&gt;$C28,IF(LIFE_PRJ=1,I444,0),OFFSET(Проект!J$1394,0,1-$B28)))</f>
        <v>0</v>
      </c>
      <c r="K444" s="94">
        <f ca="1">IF(K$33&lt;$B28,0,IF(K$33&gt;$C28,IF(LIFE_PRJ=1,J444,0),OFFSET(Проект!K$1394,0,1-$B28)))</f>
        <v>0</v>
      </c>
    </row>
    <row r="445" spans="1:13" outlineLevel="1" collapsed="1" x14ac:dyDescent="0.2">
      <c r="A445" t="str">
        <f ca="1">Language!A$770</f>
        <v>Незавершенное производство</v>
      </c>
      <c r="C445" s="5" t="str">
        <f t="shared" ca="1" si="32"/>
        <v>руб.</v>
      </c>
      <c r="D445" s="16" t="s">
        <v>2211</v>
      </c>
      <c r="F445" s="106">
        <f ca="1">SUMPRODUCT($B12:OFFSET($B13,-1,0),F446:OFFSET(F447,-1,0))</f>
        <v>0</v>
      </c>
      <c r="G445" s="106">
        <f ca="1">SUMPRODUCT($B12:OFFSET($B13,-1,0),G446:OFFSET(G447,-1,0))</f>
        <v>0</v>
      </c>
      <c r="H445" s="106">
        <f ca="1">SUMPRODUCT($B12:OFFSET($B13,-1,0),H446:OFFSET(H447,-1,0))</f>
        <v>0</v>
      </c>
      <c r="I445" s="106">
        <f ca="1">SUMPRODUCT($B12:OFFSET($B13,-1,0),I446:OFFSET(I447,-1,0))</f>
        <v>0</v>
      </c>
      <c r="J445" s="106">
        <f ca="1">SUMPRODUCT($B12:OFFSET($B13,-1,0),J446:OFFSET(J447,-1,0))</f>
        <v>0</v>
      </c>
      <c r="K445" s="106">
        <f ca="1">SUMPRODUCT($B12:OFFSET($B13,-1,0),K446:OFFSET(K447,-1,0))</f>
        <v>0</v>
      </c>
      <c r="M445" s="11"/>
    </row>
    <row r="446" spans="1:13" s="181" customFormat="1" hidden="1" outlineLevel="2" x14ac:dyDescent="0.2">
      <c r="A446" s="181" t="str">
        <f>"        " &amp; A12</f>
        <v xml:space="preserve">        Наименование проекта</v>
      </c>
      <c r="C446" s="209" t="str">
        <f t="shared" ca="1" si="32"/>
        <v>руб.</v>
      </c>
      <c r="D446" s="90" t="str">
        <f>"[" &amp; F12 &amp; "];int_end"</f>
        <v>[Проект];int_end</v>
      </c>
      <c r="F446" s="94">
        <f ca="1">IF(F$33&lt;$B28,0,IF(F$33&gt;$C28,IF(LIFE_PRJ=1,E446,0),OFFSET(Проект!F$1395,0,1-$B28)))</f>
        <v>0</v>
      </c>
      <c r="G446" s="94">
        <f ca="1">IF(G$33&lt;$B28,0,IF(G$33&gt;$C28,IF(LIFE_PRJ=1,F446,0),OFFSET(Проект!G$1395,0,1-$B28)))</f>
        <v>0</v>
      </c>
      <c r="H446" s="94">
        <f ca="1">IF(H$33&lt;$B28,0,IF(H$33&gt;$C28,IF(LIFE_PRJ=1,G446,0),OFFSET(Проект!H$1395,0,1-$B28)))</f>
        <v>0</v>
      </c>
      <c r="I446" s="94">
        <f ca="1">IF(I$33&lt;$B28,0,IF(I$33&gt;$C28,IF(LIFE_PRJ=1,H446,0),OFFSET(Проект!I$1395,0,1-$B28)))</f>
        <v>0</v>
      </c>
      <c r="J446" s="94">
        <f ca="1">IF(J$33&lt;$B28,0,IF(J$33&gt;$C28,IF(LIFE_PRJ=1,I446,0),OFFSET(Проект!J$1395,0,1-$B28)))</f>
        <v>0</v>
      </c>
      <c r="K446" s="94">
        <f ca="1">IF(K$33&lt;$B28,0,IF(K$33&gt;$C28,IF(LIFE_PRJ=1,J446,0),OFFSET(Проект!K$1395,0,1-$B28)))</f>
        <v>0</v>
      </c>
    </row>
    <row r="447" spans="1:13" outlineLevel="1" collapsed="1" x14ac:dyDescent="0.2">
      <c r="A447" t="str">
        <f ca="1">Language!A$771</f>
        <v>Материалы и комплектующие</v>
      </c>
      <c r="C447" s="5" t="str">
        <f t="shared" ca="1" si="32"/>
        <v>руб.</v>
      </c>
      <c r="D447" s="16" t="s">
        <v>2211</v>
      </c>
      <c r="F447" s="106">
        <f ca="1">SUMPRODUCT($B12:OFFSET($B13,-1,0),F448:OFFSET(F449,-1,0))</f>
        <v>0</v>
      </c>
      <c r="G447" s="106">
        <f ca="1">SUMPRODUCT($B12:OFFSET($B13,-1,0),G448:OFFSET(G449,-1,0))</f>
        <v>0</v>
      </c>
      <c r="H447" s="106">
        <f ca="1">SUMPRODUCT($B12:OFFSET($B13,-1,0),H448:OFFSET(H449,-1,0))</f>
        <v>0</v>
      </c>
      <c r="I447" s="106">
        <f ca="1">SUMPRODUCT($B12:OFFSET($B13,-1,0),I448:OFFSET(I449,-1,0))</f>
        <v>0</v>
      </c>
      <c r="J447" s="106">
        <f ca="1">SUMPRODUCT($B12:OFFSET($B13,-1,0),J448:OFFSET(J449,-1,0))</f>
        <v>0</v>
      </c>
      <c r="K447" s="106">
        <f ca="1">SUMPRODUCT($B12:OFFSET($B13,-1,0),K448:OFFSET(K449,-1,0))</f>
        <v>0</v>
      </c>
      <c r="M447" s="11"/>
    </row>
    <row r="448" spans="1:13" s="181" customFormat="1" hidden="1" outlineLevel="2" x14ac:dyDescent="0.2">
      <c r="A448" s="181" t="str">
        <f>"        " &amp; A12</f>
        <v xml:space="preserve">        Наименование проекта</v>
      </c>
      <c r="C448" s="209" t="str">
        <f t="shared" ca="1" si="32"/>
        <v>руб.</v>
      </c>
      <c r="D448" s="90" t="str">
        <f>"[" &amp; F12 &amp; "];int_end"</f>
        <v>[Проект];int_end</v>
      </c>
      <c r="F448" s="94">
        <f ca="1">IF(F$33&lt;$B28,0,IF(F$33&gt;$C28,IF(LIFE_PRJ=1,E448,0),OFFSET(Проект!F$1396,0,1-$B28)))</f>
        <v>0</v>
      </c>
      <c r="G448" s="94">
        <f ca="1">IF(G$33&lt;$B28,0,IF(G$33&gt;$C28,IF(LIFE_PRJ=1,F448,0),OFFSET(Проект!G$1396,0,1-$B28)))</f>
        <v>0</v>
      </c>
      <c r="H448" s="94">
        <f ca="1">IF(H$33&lt;$B28,0,IF(H$33&gt;$C28,IF(LIFE_PRJ=1,G448,0),OFFSET(Проект!H$1396,0,1-$B28)))</f>
        <v>0</v>
      </c>
      <c r="I448" s="94">
        <f ca="1">IF(I$33&lt;$B28,0,IF(I$33&gt;$C28,IF(LIFE_PRJ=1,H448,0),OFFSET(Проект!I$1396,0,1-$B28)))</f>
        <v>0</v>
      </c>
      <c r="J448" s="94">
        <f ca="1">IF(J$33&lt;$B28,0,IF(J$33&gt;$C28,IF(LIFE_PRJ=1,I448,0),OFFSET(Проект!J$1396,0,1-$B28)))</f>
        <v>0</v>
      </c>
      <c r="K448" s="94">
        <f ca="1">IF(K$33&lt;$B28,0,IF(K$33&gt;$C28,IF(LIFE_PRJ=1,J448,0),OFFSET(Проект!K$1396,0,1-$B28)))</f>
        <v>0</v>
      </c>
    </row>
    <row r="449" spans="1:13" outlineLevel="1" collapsed="1" x14ac:dyDescent="0.2">
      <c r="A449" t="str">
        <f ca="1">Language!A$772</f>
        <v>НДС на приобретенные товары</v>
      </c>
      <c r="C449" s="5" t="str">
        <f t="shared" ca="1" si="32"/>
        <v>руб.</v>
      </c>
      <c r="D449" s="16" t="s">
        <v>2211</v>
      </c>
      <c r="F449" s="106">
        <f ca="1">SUMPRODUCT($B12:OFFSET($B13,-1,0),F450:OFFSET(F451,-1,0))</f>
        <v>0</v>
      </c>
      <c r="G449" s="106">
        <f ca="1">SUMPRODUCT($B12:OFFSET($B13,-1,0),G450:OFFSET(G451,-1,0))</f>
        <v>0</v>
      </c>
      <c r="H449" s="106">
        <f ca="1">SUMPRODUCT($B12:OFFSET($B13,-1,0),H450:OFFSET(H451,-1,0))</f>
        <v>0</v>
      </c>
      <c r="I449" s="106">
        <f ca="1">SUMPRODUCT($B12:OFFSET($B13,-1,0),I450:OFFSET(I451,-1,0))</f>
        <v>0</v>
      </c>
      <c r="J449" s="106">
        <f ca="1">SUMPRODUCT($B12:OFFSET($B13,-1,0),J450:OFFSET(J451,-1,0))</f>
        <v>0</v>
      </c>
      <c r="K449" s="106">
        <f ca="1">SUMPRODUCT($B12:OFFSET($B13,-1,0),K450:OFFSET(K451,-1,0))</f>
        <v>0</v>
      </c>
      <c r="M449" s="11"/>
    </row>
    <row r="450" spans="1:13" s="181" customFormat="1" hidden="1" outlineLevel="2" x14ac:dyDescent="0.2">
      <c r="A450" s="181" t="str">
        <f>"        " &amp; A12</f>
        <v xml:space="preserve">        Наименование проекта</v>
      </c>
      <c r="C450" s="209" t="str">
        <f t="shared" ca="1" si="32"/>
        <v>руб.</v>
      </c>
      <c r="D450" s="90" t="str">
        <f>"[" &amp; F12 &amp; "];int_end"</f>
        <v>[Проект];int_end</v>
      </c>
      <c r="F450" s="94">
        <f ca="1">IF(F$33&lt;$B28,0,IF(F$33&gt;$C28,IF(LIFE_PRJ=1,E450,0),OFFSET(Проект!F$1397,0,1-$B28)))</f>
        <v>0</v>
      </c>
      <c r="G450" s="94">
        <f ca="1">IF(G$33&lt;$B28,0,IF(G$33&gt;$C28,IF(LIFE_PRJ=1,F450,0),OFFSET(Проект!G$1397,0,1-$B28)))</f>
        <v>0</v>
      </c>
      <c r="H450" s="94">
        <f ca="1">IF(H$33&lt;$B28,0,IF(H$33&gt;$C28,IF(LIFE_PRJ=1,G450,0),OFFSET(Проект!H$1397,0,1-$B28)))</f>
        <v>0</v>
      </c>
      <c r="I450" s="94">
        <f ca="1">IF(I$33&lt;$B28,0,IF(I$33&gt;$C28,IF(LIFE_PRJ=1,H450,0),OFFSET(Проект!I$1397,0,1-$B28)))</f>
        <v>0</v>
      </c>
      <c r="J450" s="94">
        <f ca="1">IF(J$33&lt;$B28,0,IF(J$33&gt;$C28,IF(LIFE_PRJ=1,I450,0),OFFSET(Проект!J$1397,0,1-$B28)))</f>
        <v>0</v>
      </c>
      <c r="K450" s="94">
        <f ca="1">IF(K$33&lt;$B28,0,IF(K$33&gt;$C28,IF(LIFE_PRJ=1,J450,0),OFFSET(Проект!K$1397,0,1-$B28)))</f>
        <v>0</v>
      </c>
    </row>
    <row r="451" spans="1:13" outlineLevel="1" collapsed="1" x14ac:dyDescent="0.2">
      <c r="A451" t="str">
        <f ca="1">Language!A$773</f>
        <v>Расходы будущих периодов</v>
      </c>
      <c r="C451" s="5" t="str">
        <f t="shared" ca="1" si="32"/>
        <v>руб.</v>
      </c>
      <c r="D451" s="16" t="s">
        <v>2211</v>
      </c>
      <c r="F451" s="106">
        <f ca="1">SUMPRODUCT($B12:OFFSET($B13,-1,0),F452:OFFSET(F453,-1,0))</f>
        <v>0</v>
      </c>
      <c r="G451" s="106">
        <f ca="1">SUMPRODUCT($B12:OFFSET($B13,-1,0),G452:OFFSET(G453,-1,0))</f>
        <v>0</v>
      </c>
      <c r="H451" s="106">
        <f ca="1">SUMPRODUCT($B12:OFFSET($B13,-1,0),H452:OFFSET(H453,-1,0))</f>
        <v>0</v>
      </c>
      <c r="I451" s="106">
        <f ca="1">SUMPRODUCT($B12:OFFSET($B13,-1,0),I452:OFFSET(I453,-1,0))</f>
        <v>0</v>
      </c>
      <c r="J451" s="106">
        <f ca="1">SUMPRODUCT($B12:OFFSET($B13,-1,0),J452:OFFSET(J453,-1,0))</f>
        <v>0</v>
      </c>
      <c r="K451" s="106">
        <f ca="1">SUMPRODUCT($B12:OFFSET($B13,-1,0),K452:OFFSET(K453,-1,0))</f>
        <v>0</v>
      </c>
      <c r="M451" s="11"/>
    </row>
    <row r="452" spans="1:13" s="181" customFormat="1" hidden="1" outlineLevel="2" x14ac:dyDescent="0.2">
      <c r="A452" s="181" t="str">
        <f>"        " &amp; A12</f>
        <v xml:space="preserve">        Наименование проекта</v>
      </c>
      <c r="C452" s="209" t="str">
        <f t="shared" ca="1" si="32"/>
        <v>руб.</v>
      </c>
      <c r="D452" s="90" t="str">
        <f>"[" &amp; F12 &amp; "];int_end"</f>
        <v>[Проект];int_end</v>
      </c>
      <c r="F452" s="94">
        <f ca="1">IF(F$33&lt;$B28,0,IF(F$33&gt;$C28,IF(LIFE_PRJ=1,E452,0),OFFSET(Проект!F$1398,0,1-$B28)))</f>
        <v>0</v>
      </c>
      <c r="G452" s="94">
        <f ca="1">IF(G$33&lt;$B28,0,IF(G$33&gt;$C28,IF(LIFE_PRJ=1,F452,0),OFFSET(Проект!G$1398,0,1-$B28)))</f>
        <v>0</v>
      </c>
      <c r="H452" s="94">
        <f ca="1">IF(H$33&lt;$B28,0,IF(H$33&gt;$C28,IF(LIFE_PRJ=1,G452,0),OFFSET(Проект!H$1398,0,1-$B28)))</f>
        <v>0</v>
      </c>
      <c r="I452" s="94">
        <f ca="1">IF(I$33&lt;$B28,0,IF(I$33&gt;$C28,IF(LIFE_PRJ=1,H452,0),OFFSET(Проект!I$1398,0,1-$B28)))</f>
        <v>0</v>
      </c>
      <c r="J452" s="94">
        <f ca="1">IF(J$33&lt;$B28,0,IF(J$33&gt;$C28,IF(LIFE_PRJ=1,I452,0),OFFSET(Проект!J$1398,0,1-$B28)))</f>
        <v>0</v>
      </c>
      <c r="K452" s="94">
        <f ca="1">IF(K$33&lt;$B28,0,IF(K$33&gt;$C28,IF(LIFE_PRJ=1,J452,0),OFFSET(Проект!K$1398,0,1-$B28)))</f>
        <v>0</v>
      </c>
    </row>
    <row r="453" spans="1:13" outlineLevel="1" collapsed="1" x14ac:dyDescent="0.2">
      <c r="A453" t="str">
        <f ca="1">Language!A$774</f>
        <v>Прочие оборотные активы</v>
      </c>
      <c r="C453" s="5" t="str">
        <f t="shared" ca="1" si="32"/>
        <v>руб.</v>
      </c>
      <c r="D453" s="16" t="s">
        <v>2211</v>
      </c>
      <c r="F453" s="106">
        <f ca="1">SUMPRODUCT($B12:OFFSET($B13,-1,0),F454:OFFSET(F455,-1,0))</f>
        <v>0</v>
      </c>
      <c r="G453" s="106">
        <f ca="1">SUMPRODUCT($B12:OFFSET($B13,-1,0),G454:OFFSET(G455,-1,0))</f>
        <v>0</v>
      </c>
      <c r="H453" s="106">
        <f ca="1">SUMPRODUCT($B12:OFFSET($B13,-1,0),H454:OFFSET(H455,-1,0))</f>
        <v>0</v>
      </c>
      <c r="I453" s="106">
        <f ca="1">SUMPRODUCT($B12:OFFSET($B13,-1,0),I454:OFFSET(I455,-1,0))</f>
        <v>0</v>
      </c>
      <c r="J453" s="106">
        <f ca="1">SUMPRODUCT($B12:OFFSET($B13,-1,0),J454:OFFSET(J455,-1,0))</f>
        <v>0</v>
      </c>
      <c r="K453" s="106">
        <f ca="1">SUMPRODUCT($B12:OFFSET($B13,-1,0),K454:OFFSET(K455,-1,0))</f>
        <v>0</v>
      </c>
      <c r="M453" s="11"/>
    </row>
    <row r="454" spans="1:13" s="181" customFormat="1" hidden="1" outlineLevel="2" x14ac:dyDescent="0.2">
      <c r="A454" s="181" t="str">
        <f>"        " &amp; A12</f>
        <v xml:space="preserve">        Наименование проекта</v>
      </c>
      <c r="C454" s="209" t="str">
        <f t="shared" ca="1" si="32"/>
        <v>руб.</v>
      </c>
      <c r="D454" s="90" t="str">
        <f>"[" &amp; F12 &amp; "];int_end"</f>
        <v>[Проект];int_end</v>
      </c>
      <c r="F454" s="94">
        <f ca="1">IF(F$33&lt;$B28,0,IF(F$33&gt;$C28,IF(LIFE_PRJ=1,E454,0),OFFSET(Проект!F$1399,0,1-$B28)))</f>
        <v>0</v>
      </c>
      <c r="G454" s="94">
        <f ca="1">IF(G$33&lt;$B28,0,IF(G$33&gt;$C28,IF(LIFE_PRJ=1,F454,0),OFFSET(Проект!G$1399,0,1-$B28)))</f>
        <v>0</v>
      </c>
      <c r="H454" s="94">
        <f ca="1">IF(H$33&lt;$B28,0,IF(H$33&gt;$C28,IF(LIFE_PRJ=1,G454,0),OFFSET(Проект!H$1399,0,1-$B28)))</f>
        <v>0</v>
      </c>
      <c r="I454" s="94">
        <f ca="1">IF(I$33&lt;$B28,0,IF(I$33&gt;$C28,IF(LIFE_PRJ=1,H454,0),OFFSET(Проект!I$1399,0,1-$B28)))</f>
        <v>0</v>
      </c>
      <c r="J454" s="94">
        <f ca="1">IF(J$33&lt;$B28,0,IF(J$33&gt;$C28,IF(LIFE_PRJ=1,I454,0),OFFSET(Проект!J$1399,0,1-$B28)))</f>
        <v>0</v>
      </c>
      <c r="K454" s="94">
        <f ca="1">IF(K$33&lt;$B28,0,IF(K$33&gt;$C28,IF(LIFE_PRJ=1,J454,0),OFFSET(Проект!K$1399,0,1-$B28)))</f>
        <v>0</v>
      </c>
    </row>
    <row r="455" spans="1:13" outlineLevel="1" collapsed="1" x14ac:dyDescent="0.2">
      <c r="A455" s="35" t="str">
        <f ca="1">Language!A$775</f>
        <v>Суммарные оборотные активы</v>
      </c>
      <c r="C455" s="5" t="str">
        <f t="shared" ca="1" si="32"/>
        <v>руб.</v>
      </c>
      <c r="D455" s="16" t="s">
        <v>2211</v>
      </c>
      <c r="F455" s="160">
        <f t="shared" ref="F455:J455" ca="1" si="35">F437+F439+F441+F443+F445+F447+F449+F451+F453</f>
        <v>19955000</v>
      </c>
      <c r="G455" s="160">
        <f t="shared" ca="1" si="35"/>
        <v>86841700</v>
      </c>
      <c r="H455" s="160">
        <f t="shared" ca="1" si="35"/>
        <v>185238799.99999997</v>
      </c>
      <c r="I455" s="160">
        <f t="shared" ca="1" si="35"/>
        <v>276276700</v>
      </c>
      <c r="J455" s="160">
        <f t="shared" ca="1" si="35"/>
        <v>367915200</v>
      </c>
      <c r="K455" s="160">
        <f t="shared" ref="K455" ca="1" si="36">K437+K439+K441+K443+K445+K447+K449+K451+K453</f>
        <v>459553700</v>
      </c>
      <c r="M455" s="11"/>
    </row>
    <row r="456" spans="1:13" s="181" customFormat="1" hidden="1" outlineLevel="2" x14ac:dyDescent="0.2">
      <c r="A456" s="181" t="str">
        <f>"        " &amp; A12</f>
        <v xml:space="preserve">        Наименование проекта</v>
      </c>
      <c r="C456" s="209" t="str">
        <f t="shared" ca="1" si="32"/>
        <v>руб.</v>
      </c>
      <c r="D456" s="90" t="str">
        <f>"[" &amp; F12 &amp; "];int_end"</f>
        <v>[Проект];int_end</v>
      </c>
      <c r="F456" s="94">
        <f ca="1">IF(F$33&lt;$B28,0,IF(F$33&gt;$C28,IF(LIFE_PRJ=1,E456,0),OFFSET(Проект!F$1400,0,1-$B28)))</f>
        <v>19955000</v>
      </c>
      <c r="G456" s="94">
        <f ca="1">IF(G$33&lt;$B28,0,IF(G$33&gt;$C28,IF(LIFE_PRJ=1,F456,0),OFFSET(Проект!G$1400,0,1-$B28)))</f>
        <v>86841700</v>
      </c>
      <c r="H456" s="94">
        <f ca="1">IF(H$33&lt;$B28,0,IF(H$33&gt;$C28,IF(LIFE_PRJ=1,G456,0),OFFSET(Проект!H$1400,0,1-$B28)))</f>
        <v>185238799.99999997</v>
      </c>
      <c r="I456" s="94">
        <f ca="1">IF(I$33&lt;$B28,0,IF(I$33&gt;$C28,IF(LIFE_PRJ=1,H456,0),OFFSET(Проект!I$1400,0,1-$B28)))</f>
        <v>276276700</v>
      </c>
      <c r="J456" s="94">
        <f ca="1">IF(J$33&lt;$B28,0,IF(J$33&gt;$C28,IF(LIFE_PRJ=1,I456,0),OFFSET(Проект!J$1400,0,1-$B28)))</f>
        <v>367915200</v>
      </c>
      <c r="K456" s="94">
        <f ca="1">IF(K$33&lt;$B28,0,IF(K$33&gt;$C28,IF(LIFE_PRJ=1,J456,0),OFFSET(Проект!K$1400,0,1-$B28)))</f>
        <v>459553700</v>
      </c>
    </row>
    <row r="457" spans="1:13" outlineLevel="1" x14ac:dyDescent="0.2">
      <c r="F457" s="43"/>
      <c r="G457" s="43"/>
      <c r="H457" s="43"/>
      <c r="I457" s="43"/>
      <c r="J457" s="43"/>
      <c r="K457" s="43"/>
      <c r="M457" s="11"/>
    </row>
    <row r="458" spans="1:13" outlineLevel="1" collapsed="1" x14ac:dyDescent="0.2">
      <c r="A458" t="str">
        <f ca="1">Language!A$776</f>
        <v>Внеоборотные активы</v>
      </c>
      <c r="C458" s="5" t="str">
        <f t="shared" ref="C458:C473" ca="1" si="37">CUR_Report</f>
        <v>руб.</v>
      </c>
      <c r="D458" s="16" t="s">
        <v>2211</v>
      </c>
      <c r="F458" s="210">
        <f ca="1">SUMPRODUCT($B12:OFFSET($B13,-1,0),F459:OFFSET(F460,-1,0))</f>
        <v>0</v>
      </c>
      <c r="G458" s="210">
        <f ca="1">SUMPRODUCT($B12:OFFSET($B13,-1,0),G459:OFFSET(G460,-1,0))</f>
        <v>0</v>
      </c>
      <c r="H458" s="210">
        <f ca="1">SUMPRODUCT($B12:OFFSET($B13,-1,0),H459:OFFSET(H460,-1,0))</f>
        <v>0</v>
      </c>
      <c r="I458" s="210">
        <f ca="1">SUMPRODUCT($B12:OFFSET($B13,-1,0),I459:OFFSET(I460,-1,0))</f>
        <v>1180000</v>
      </c>
      <c r="J458" s="210">
        <f ca="1">SUMPRODUCT($B12:OFFSET($B13,-1,0),J459:OFFSET(J460,-1,0))</f>
        <v>1160000</v>
      </c>
      <c r="K458" s="210">
        <f ca="1">SUMPRODUCT($B12:OFFSET($B13,-1,0),K459:OFFSET(K460,-1,0))</f>
        <v>1418833.3333333333</v>
      </c>
      <c r="M458" s="11"/>
    </row>
    <row r="459" spans="1:13" s="181" customFormat="1" hidden="1" outlineLevel="2" x14ac:dyDescent="0.2">
      <c r="A459" s="181" t="str">
        <f>"        " &amp; A12</f>
        <v xml:space="preserve">        Наименование проекта</v>
      </c>
      <c r="C459" s="209" t="str">
        <f t="shared" ca="1" si="37"/>
        <v>руб.</v>
      </c>
      <c r="D459" s="90" t="str">
        <f>"[" &amp; F12 &amp; "];int_end"</f>
        <v>[Проект];int_end</v>
      </c>
      <c r="F459" s="94">
        <f ca="1">IF(F$33&lt;$B28,0,IF(F$33&gt;$C28,IF(LIFE_PRJ=1,E459,0),OFFSET(Проект!F$1402,0,1-$B28)))</f>
        <v>0</v>
      </c>
      <c r="G459" s="94">
        <f ca="1">IF(G$33&lt;$B28,0,IF(G$33&gt;$C28,IF(LIFE_PRJ=1,F459,0),OFFSET(Проект!G$1402,0,1-$B28)))</f>
        <v>0</v>
      </c>
      <c r="H459" s="94">
        <f ca="1">IF(H$33&lt;$B28,0,IF(H$33&gt;$C28,IF(LIFE_PRJ=1,G459,0),OFFSET(Проект!H$1402,0,1-$B28)))</f>
        <v>0</v>
      </c>
      <c r="I459" s="94">
        <f ca="1">IF(I$33&lt;$B28,0,IF(I$33&gt;$C28,IF(LIFE_PRJ=1,H459,0),OFFSET(Проект!I$1402,0,1-$B28)))</f>
        <v>1180000</v>
      </c>
      <c r="J459" s="94">
        <f ca="1">IF(J$33&lt;$B28,0,IF(J$33&gt;$C28,IF(LIFE_PRJ=1,I459,0),OFFSET(Проект!J$1402,0,1-$B28)))</f>
        <v>1160000</v>
      </c>
      <c r="K459" s="94">
        <f ca="1">IF(K$33&lt;$B28,0,IF(K$33&gt;$C28,IF(LIFE_PRJ=1,J459,0),OFFSET(Проект!K$1402,0,1-$B28)))</f>
        <v>1418833.3333333333</v>
      </c>
    </row>
    <row r="460" spans="1:13" outlineLevel="1" collapsed="1" x14ac:dyDescent="0.2">
      <c r="A460" t="str">
        <f ca="1">Language!A$777</f>
        <v xml:space="preserve">    земельные участки</v>
      </c>
      <c r="C460" s="5" t="str">
        <f t="shared" ca="1" si="37"/>
        <v>руб.</v>
      </c>
      <c r="D460" s="16" t="s">
        <v>2211</v>
      </c>
      <c r="F460" s="210">
        <f ca="1">SUMPRODUCT($B12:OFFSET($B13,-1,0),F461:OFFSET(F462,-1,0))</f>
        <v>0</v>
      </c>
      <c r="G460" s="210">
        <f ca="1">SUMPRODUCT($B12:OFFSET($B13,-1,0),G461:OFFSET(G462,-1,0))</f>
        <v>0</v>
      </c>
      <c r="H460" s="210">
        <f ca="1">SUMPRODUCT($B12:OFFSET($B13,-1,0),H461:OFFSET(H462,-1,0))</f>
        <v>0</v>
      </c>
      <c r="I460" s="210">
        <f ca="1">SUMPRODUCT($B12:OFFSET($B13,-1,0),I461:OFFSET(I462,-1,0))</f>
        <v>0</v>
      </c>
      <c r="J460" s="210">
        <f ca="1">SUMPRODUCT($B12:OFFSET($B13,-1,0),J461:OFFSET(J462,-1,0))</f>
        <v>0</v>
      </c>
      <c r="K460" s="210">
        <f ca="1">SUMPRODUCT($B12:OFFSET($B13,-1,0),K461:OFFSET(K462,-1,0))</f>
        <v>0</v>
      </c>
      <c r="M460" s="11"/>
    </row>
    <row r="461" spans="1:13" s="181" customFormat="1" hidden="1" outlineLevel="2" x14ac:dyDescent="0.2">
      <c r="A461" s="181" t="str">
        <f>"        " &amp; A12</f>
        <v xml:space="preserve">        Наименование проекта</v>
      </c>
      <c r="C461" s="209" t="str">
        <f t="shared" ca="1" si="37"/>
        <v>руб.</v>
      </c>
      <c r="D461" s="90" t="str">
        <f>"[" &amp; F12 &amp; "];int_end"</f>
        <v>[Проект];int_end</v>
      </c>
      <c r="F461" s="94">
        <f ca="1">IF(F$33&lt;$B28,0,IF(F$33&gt;$C28,IF(LIFE_PRJ=1,E461,0),OFFSET(Проект!F$1403,0,1-$B28)))</f>
        <v>0</v>
      </c>
      <c r="G461" s="94">
        <f ca="1">IF(G$33&lt;$B28,0,IF(G$33&gt;$C28,IF(LIFE_PRJ=1,F461,0),OFFSET(Проект!G$1403,0,1-$B28)))</f>
        <v>0</v>
      </c>
      <c r="H461" s="94">
        <f ca="1">IF(H$33&lt;$B28,0,IF(H$33&gt;$C28,IF(LIFE_PRJ=1,G461,0),OFFSET(Проект!H$1403,0,1-$B28)))</f>
        <v>0</v>
      </c>
      <c r="I461" s="94">
        <f ca="1">IF(I$33&lt;$B28,0,IF(I$33&gt;$C28,IF(LIFE_PRJ=1,H461,0),OFFSET(Проект!I$1403,0,1-$B28)))</f>
        <v>0</v>
      </c>
      <c r="J461" s="94">
        <f ca="1">IF(J$33&lt;$B28,0,IF(J$33&gt;$C28,IF(LIFE_PRJ=1,I461,0),OFFSET(Проект!J$1403,0,1-$B28)))</f>
        <v>0</v>
      </c>
      <c r="K461" s="94">
        <f ca="1">IF(K$33&lt;$B28,0,IF(K$33&gt;$C28,IF(LIFE_PRJ=1,J461,0),OFFSET(Проект!K$1403,0,1-$B28)))</f>
        <v>0</v>
      </c>
    </row>
    <row r="462" spans="1:13" outlineLevel="1" collapsed="1" x14ac:dyDescent="0.2">
      <c r="A462" t="str">
        <f ca="1">Language!A$778</f>
        <v xml:space="preserve">    здания и сооружения</v>
      </c>
      <c r="C462" s="5" t="str">
        <f t="shared" ca="1" si="37"/>
        <v>руб.</v>
      </c>
      <c r="D462" s="16" t="s">
        <v>2211</v>
      </c>
      <c r="F462" s="210">
        <f ca="1">SUMPRODUCT($B12:OFFSET($B13,-1,0),F463:OFFSET(F464,-1,0))</f>
        <v>0</v>
      </c>
      <c r="G462" s="210">
        <f ca="1">SUMPRODUCT($B12:OFFSET($B13,-1,0),G463:OFFSET(G464,-1,0))</f>
        <v>0</v>
      </c>
      <c r="H462" s="210">
        <f ca="1">SUMPRODUCT($B12:OFFSET($B13,-1,0),H463:OFFSET(H464,-1,0))</f>
        <v>0</v>
      </c>
      <c r="I462" s="210">
        <f ca="1">SUMPRODUCT($B12:OFFSET($B13,-1,0),I463:OFFSET(I464,-1,0))</f>
        <v>0</v>
      </c>
      <c r="J462" s="210">
        <f ca="1">SUMPRODUCT($B12:OFFSET($B13,-1,0),J463:OFFSET(J464,-1,0))</f>
        <v>0</v>
      </c>
      <c r="K462" s="210">
        <f ca="1">SUMPRODUCT($B12:OFFSET($B13,-1,0),K463:OFFSET(K464,-1,0))</f>
        <v>278833.33333333331</v>
      </c>
      <c r="M462" s="11"/>
    </row>
    <row r="463" spans="1:13" s="181" customFormat="1" hidden="1" outlineLevel="2" x14ac:dyDescent="0.2">
      <c r="A463" s="181" t="str">
        <f>"        " &amp; A12</f>
        <v xml:space="preserve">        Наименование проекта</v>
      </c>
      <c r="C463" s="209" t="str">
        <f t="shared" ca="1" si="37"/>
        <v>руб.</v>
      </c>
      <c r="D463" s="90" t="str">
        <f>"[" &amp; F12 &amp; "];int_end"</f>
        <v>[Проект];int_end</v>
      </c>
      <c r="F463" s="94">
        <f ca="1">IF(F$33&lt;$B28,0,IF(F$33&gt;$C28,IF(LIFE_PRJ=1,E463,0),OFFSET(Проект!F$1404,0,1-$B28)))</f>
        <v>0</v>
      </c>
      <c r="G463" s="94">
        <f ca="1">IF(G$33&lt;$B28,0,IF(G$33&gt;$C28,IF(LIFE_PRJ=1,F463,0),OFFSET(Проект!G$1404,0,1-$B28)))</f>
        <v>0</v>
      </c>
      <c r="H463" s="94">
        <f ca="1">IF(H$33&lt;$B28,0,IF(H$33&gt;$C28,IF(LIFE_PRJ=1,G463,0),OFFSET(Проект!H$1404,0,1-$B28)))</f>
        <v>0</v>
      </c>
      <c r="I463" s="94">
        <f ca="1">IF(I$33&lt;$B28,0,IF(I$33&gt;$C28,IF(LIFE_PRJ=1,H463,0),OFFSET(Проект!I$1404,0,1-$B28)))</f>
        <v>0</v>
      </c>
      <c r="J463" s="94">
        <f ca="1">IF(J$33&lt;$B28,0,IF(J$33&gt;$C28,IF(LIFE_PRJ=1,I463,0),OFFSET(Проект!J$1404,0,1-$B28)))</f>
        <v>0</v>
      </c>
      <c r="K463" s="94">
        <f ca="1">IF(K$33&lt;$B28,0,IF(K$33&gt;$C28,IF(LIFE_PRJ=1,J463,0),OFFSET(Проект!K$1404,0,1-$B28)))</f>
        <v>278833.33333333331</v>
      </c>
    </row>
    <row r="464" spans="1:13" outlineLevel="1" collapsed="1" x14ac:dyDescent="0.2">
      <c r="A464" t="str">
        <f ca="1">Language!A$780</f>
        <v xml:space="preserve">    оборудование и прочие активы</v>
      </c>
      <c r="C464" s="5" t="str">
        <f ca="1">CUR_Report</f>
        <v>руб.</v>
      </c>
      <c r="D464" s="16" t="s">
        <v>2211</v>
      </c>
      <c r="F464" s="210">
        <f ca="1">SUMPRODUCT($B12:OFFSET($B13,-1,0),F465:OFFSET(F466,-1,0))</f>
        <v>0</v>
      </c>
      <c r="G464" s="210">
        <f ca="1">SUMPRODUCT($B12:OFFSET($B13,-1,0),G465:OFFSET(G466,-1,0))</f>
        <v>0</v>
      </c>
      <c r="H464" s="210">
        <f ca="1">SUMPRODUCT($B12:OFFSET($B13,-1,0),H465:OFFSET(H466,-1,0))</f>
        <v>0</v>
      </c>
      <c r="I464" s="210">
        <f ca="1">SUMPRODUCT($B12:OFFSET($B13,-1,0),I465:OFFSET(I466,-1,0))</f>
        <v>1180000</v>
      </c>
      <c r="J464" s="210">
        <f ca="1">SUMPRODUCT($B12:OFFSET($B13,-1,0),J465:OFFSET(J466,-1,0))</f>
        <v>1160000</v>
      </c>
      <c r="K464" s="210">
        <f ca="1">SUMPRODUCT($B12:OFFSET($B13,-1,0),K465:OFFSET(K466,-1,0))</f>
        <v>1140000</v>
      </c>
      <c r="M464" s="11"/>
    </row>
    <row r="465" spans="1:13" s="181" customFormat="1" hidden="1" outlineLevel="2" x14ac:dyDescent="0.2">
      <c r="A465" s="181" t="str">
        <f>"        " &amp; A12</f>
        <v xml:space="preserve">        Наименование проекта</v>
      </c>
      <c r="C465" s="209" t="str">
        <f ca="1">CUR_Report</f>
        <v>руб.</v>
      </c>
      <c r="D465" s="90" t="str">
        <f>"[" &amp; F12 &amp; "];int_end"</f>
        <v>[Проект];int_end</v>
      </c>
      <c r="F465" s="94">
        <f ca="1">IF(F$33&lt;$B28,0,IF(F$33&gt;$C28,IF(LIFE_PRJ=1,E465,0),OFFSET(Проект!F$1405,0,1-$B28)))</f>
        <v>0</v>
      </c>
      <c r="G465" s="94">
        <f ca="1">IF(G$33&lt;$B28,0,IF(G$33&gt;$C28,IF(LIFE_PRJ=1,F465,0),OFFSET(Проект!G$1405,0,1-$B28)))</f>
        <v>0</v>
      </c>
      <c r="H465" s="94">
        <f ca="1">IF(H$33&lt;$B28,0,IF(H$33&gt;$C28,IF(LIFE_PRJ=1,G465,0),OFFSET(Проект!H$1405,0,1-$B28)))</f>
        <v>0</v>
      </c>
      <c r="I465" s="94">
        <f ca="1">IF(I$33&lt;$B28,0,IF(I$33&gt;$C28,IF(LIFE_PRJ=1,H465,0),OFFSET(Проект!I$1405,0,1-$B28)))</f>
        <v>1180000</v>
      </c>
      <c r="J465" s="94">
        <f ca="1">IF(J$33&lt;$B28,0,IF(J$33&gt;$C28,IF(LIFE_PRJ=1,I465,0),OFFSET(Проект!J$1405,0,1-$B28)))</f>
        <v>1160000</v>
      </c>
      <c r="K465" s="94">
        <f ca="1">IF(K$33&lt;$B28,0,IF(K$33&gt;$C28,IF(LIFE_PRJ=1,J465,0),OFFSET(Проект!K$1405,0,1-$B28)))</f>
        <v>1140000</v>
      </c>
    </row>
    <row r="466" spans="1:13" outlineLevel="1" collapsed="1" x14ac:dyDescent="0.2">
      <c r="A466" t="str">
        <f ca="1">Language!A$779</f>
        <v xml:space="preserve">    нематериальные активы</v>
      </c>
      <c r="C466" s="5" t="str">
        <f t="shared" ca="1" si="37"/>
        <v>руб.</v>
      </c>
      <c r="D466" s="16" t="s">
        <v>2211</v>
      </c>
      <c r="F466" s="210">
        <f ca="1">SUMPRODUCT($B12:OFFSET($B13,-1,0),F467:OFFSET(F468,-1,0))</f>
        <v>0</v>
      </c>
      <c r="G466" s="210">
        <f ca="1">SUMPRODUCT($B12:OFFSET($B13,-1,0),G467:OFFSET(G468,-1,0))</f>
        <v>0</v>
      </c>
      <c r="H466" s="210">
        <f ca="1">SUMPRODUCT($B12:OFFSET($B13,-1,0),H467:OFFSET(H468,-1,0))</f>
        <v>0</v>
      </c>
      <c r="I466" s="210">
        <f ca="1">SUMPRODUCT($B12:OFFSET($B13,-1,0),I467:OFFSET(I468,-1,0))</f>
        <v>0</v>
      </c>
      <c r="J466" s="210">
        <f ca="1">SUMPRODUCT($B12:OFFSET($B13,-1,0),J467:OFFSET(J468,-1,0))</f>
        <v>0</v>
      </c>
      <c r="K466" s="210">
        <f ca="1">SUMPRODUCT($B12:OFFSET($B13,-1,0),K467:OFFSET(K468,-1,0))</f>
        <v>0</v>
      </c>
      <c r="M466" s="11"/>
    </row>
    <row r="467" spans="1:13" s="181" customFormat="1" hidden="1" outlineLevel="2" x14ac:dyDescent="0.2">
      <c r="A467" s="181" t="str">
        <f>"        " &amp; A12</f>
        <v xml:space="preserve">        Наименование проекта</v>
      </c>
      <c r="C467" s="209" t="str">
        <f t="shared" ca="1" si="37"/>
        <v>руб.</v>
      </c>
      <c r="D467" s="90" t="str">
        <f>"[" &amp; F12 &amp; "];int_end"</f>
        <v>[Проект];int_end</v>
      </c>
      <c r="F467" s="94">
        <f ca="1">IF(F$33&lt;$B28,0,IF(F$33&gt;$C28,IF(LIFE_PRJ=1,E467,0),OFFSET(Проект!F$1406,0,1-$B28)))</f>
        <v>0</v>
      </c>
      <c r="G467" s="94">
        <f ca="1">IF(G$33&lt;$B28,0,IF(G$33&gt;$C28,IF(LIFE_PRJ=1,F467,0),OFFSET(Проект!G$1406,0,1-$B28)))</f>
        <v>0</v>
      </c>
      <c r="H467" s="94">
        <f ca="1">IF(H$33&lt;$B28,0,IF(H$33&gt;$C28,IF(LIFE_PRJ=1,G467,0),OFFSET(Проект!H$1406,0,1-$B28)))</f>
        <v>0</v>
      </c>
      <c r="I467" s="94">
        <f ca="1">IF(I$33&lt;$B28,0,IF(I$33&gt;$C28,IF(LIFE_PRJ=1,H467,0),OFFSET(Проект!I$1406,0,1-$B28)))</f>
        <v>0</v>
      </c>
      <c r="J467" s="94">
        <f ca="1">IF(J$33&lt;$B28,0,IF(J$33&gt;$C28,IF(LIFE_PRJ=1,I467,0),OFFSET(Проект!J$1406,0,1-$B28)))</f>
        <v>0</v>
      </c>
      <c r="K467" s="94">
        <f ca="1">IF(K$33&lt;$B28,0,IF(K$33&gt;$C28,IF(LIFE_PRJ=1,J467,0),OFFSET(Проект!K$1406,0,1-$B28)))</f>
        <v>0</v>
      </c>
    </row>
    <row r="468" spans="1:13" outlineLevel="1" collapsed="1" x14ac:dyDescent="0.2">
      <c r="A468" t="str">
        <f ca="1">Language!A$781</f>
        <v>Финансовые вложения</v>
      </c>
      <c r="C468" s="5" t="str">
        <f t="shared" ca="1" si="37"/>
        <v>руб.</v>
      </c>
      <c r="D468" s="16" t="s">
        <v>2211</v>
      </c>
      <c r="F468" s="210">
        <f ca="1">SUMPRODUCT($B12:OFFSET($B13,-1,0),F469:OFFSET(F470,-1,0))</f>
        <v>0</v>
      </c>
      <c r="G468" s="210">
        <f ca="1">SUMPRODUCT($B12:OFFSET($B13,-1,0),G469:OFFSET(G470,-1,0))</f>
        <v>0</v>
      </c>
      <c r="H468" s="210">
        <f ca="1">SUMPRODUCT($B12:OFFSET($B13,-1,0),H469:OFFSET(H470,-1,0))</f>
        <v>0</v>
      </c>
      <c r="I468" s="210">
        <f ca="1">SUMPRODUCT($B12:OFFSET($B13,-1,0),I469:OFFSET(I470,-1,0))</f>
        <v>0</v>
      </c>
      <c r="J468" s="210">
        <f ca="1">SUMPRODUCT($B12:OFFSET($B13,-1,0),J469:OFFSET(J470,-1,0))</f>
        <v>0</v>
      </c>
      <c r="K468" s="210">
        <f ca="1">SUMPRODUCT($B12:OFFSET($B13,-1,0),K469:OFFSET(K470,-1,0))</f>
        <v>0</v>
      </c>
      <c r="M468" s="11"/>
    </row>
    <row r="469" spans="1:13" s="181" customFormat="1" hidden="1" outlineLevel="2" x14ac:dyDescent="0.2">
      <c r="A469" s="181" t="str">
        <f>"        " &amp; A12</f>
        <v xml:space="preserve">        Наименование проекта</v>
      </c>
      <c r="C469" s="209" t="str">
        <f t="shared" ca="1" si="37"/>
        <v>руб.</v>
      </c>
      <c r="D469" s="90" t="str">
        <f>"[" &amp; F12 &amp; "];int_end"</f>
        <v>[Проект];int_end</v>
      </c>
      <c r="F469" s="94">
        <f ca="1">IF(F$33&lt;$B28,0,IF(F$33&gt;$C28,IF(LIFE_PRJ=1,E469,0),OFFSET(Проект!F$1407,0,1-$B28)))</f>
        <v>0</v>
      </c>
      <c r="G469" s="94">
        <f ca="1">IF(G$33&lt;$B28,0,IF(G$33&gt;$C28,IF(LIFE_PRJ=1,F469,0),OFFSET(Проект!G$1407,0,1-$B28)))</f>
        <v>0</v>
      </c>
      <c r="H469" s="94">
        <f ca="1">IF(H$33&lt;$B28,0,IF(H$33&gt;$C28,IF(LIFE_PRJ=1,G469,0),OFFSET(Проект!H$1407,0,1-$B28)))</f>
        <v>0</v>
      </c>
      <c r="I469" s="94">
        <f ca="1">IF(I$33&lt;$B28,0,IF(I$33&gt;$C28,IF(LIFE_PRJ=1,H469,0),OFFSET(Проект!I$1407,0,1-$B28)))</f>
        <v>0</v>
      </c>
      <c r="J469" s="94">
        <f ca="1">IF(J$33&lt;$B28,0,IF(J$33&gt;$C28,IF(LIFE_PRJ=1,I469,0),OFFSET(Проект!J$1407,0,1-$B28)))</f>
        <v>0</v>
      </c>
      <c r="K469" s="94">
        <f ca="1">IF(K$33&lt;$B28,0,IF(K$33&gt;$C28,IF(LIFE_PRJ=1,J469,0),OFFSET(Проект!K$1407,0,1-$B28)))</f>
        <v>0</v>
      </c>
    </row>
    <row r="470" spans="1:13" outlineLevel="1" collapsed="1" x14ac:dyDescent="0.2">
      <c r="A470" t="str">
        <f ca="1">Language!A$782</f>
        <v>Незавершенные капиталовложения</v>
      </c>
      <c r="C470" s="5" t="str">
        <f t="shared" ca="1" si="37"/>
        <v>руб.</v>
      </c>
      <c r="D470" s="16" t="s">
        <v>2211</v>
      </c>
      <c r="F470" s="210">
        <f ca="1">SUMPRODUCT($B12:OFFSET($B13,-1,0),F471:OFFSET(F472,-1,0))</f>
        <v>540000</v>
      </c>
      <c r="G470" s="210">
        <f ca="1">SUMPRODUCT($B12:OFFSET($B13,-1,0),G471:OFFSET(G472,-1,0))</f>
        <v>580000</v>
      </c>
      <c r="H470" s="210">
        <f ca="1">SUMPRODUCT($B12:OFFSET($B13,-1,0),H471:OFFSET(H472,-1,0))</f>
        <v>630000</v>
      </c>
      <c r="I470" s="210">
        <f ca="1">SUMPRODUCT($B12:OFFSET($B13,-1,0),I471:OFFSET(I472,-1,0))</f>
        <v>180000</v>
      </c>
      <c r="J470" s="210">
        <f ca="1">SUMPRODUCT($B12:OFFSET($B13,-1,0),J471:OFFSET(J472,-1,0))</f>
        <v>230000</v>
      </c>
      <c r="K470" s="210">
        <f ca="1">SUMPRODUCT($B12:OFFSET($B13,-1,0),K471:OFFSET(K472,-1,0))</f>
        <v>0</v>
      </c>
      <c r="M470" s="11"/>
    </row>
    <row r="471" spans="1:13" s="181" customFormat="1" hidden="1" outlineLevel="2" x14ac:dyDescent="0.2">
      <c r="A471" s="181" t="str">
        <f>"        " &amp; A12</f>
        <v xml:space="preserve">        Наименование проекта</v>
      </c>
      <c r="C471" s="209" t="str">
        <f t="shared" ca="1" si="37"/>
        <v>руб.</v>
      </c>
      <c r="D471" s="90" t="str">
        <f>"[" &amp; F12 &amp; "];int_end"</f>
        <v>[Проект];int_end</v>
      </c>
      <c r="F471" s="94">
        <f ca="1">IF(F$33&lt;$B28,0,IF(F$33&gt;$C28,IF(LIFE_PRJ=1,E471,0),OFFSET(Проект!F$1408,0,1-$B28)))</f>
        <v>540000</v>
      </c>
      <c r="G471" s="94">
        <f ca="1">IF(G$33&lt;$B28,0,IF(G$33&gt;$C28,IF(LIFE_PRJ=1,F471,0),OFFSET(Проект!G$1408,0,1-$B28)))</f>
        <v>580000</v>
      </c>
      <c r="H471" s="94">
        <f ca="1">IF(H$33&lt;$B28,0,IF(H$33&gt;$C28,IF(LIFE_PRJ=1,G471,0),OFFSET(Проект!H$1408,0,1-$B28)))</f>
        <v>630000</v>
      </c>
      <c r="I471" s="94">
        <f ca="1">IF(I$33&lt;$B28,0,IF(I$33&gt;$C28,IF(LIFE_PRJ=1,H471,0),OFFSET(Проект!I$1408,0,1-$B28)))</f>
        <v>180000</v>
      </c>
      <c r="J471" s="94">
        <f ca="1">IF(J$33&lt;$B28,0,IF(J$33&gt;$C28,IF(LIFE_PRJ=1,I471,0),OFFSET(Проект!J$1408,0,1-$B28)))</f>
        <v>230000</v>
      </c>
      <c r="K471" s="94">
        <f ca="1">IF(K$33&lt;$B28,0,IF(K$33&gt;$C28,IF(LIFE_PRJ=1,J471,0),OFFSET(Проект!K$1408,0,1-$B28)))</f>
        <v>0</v>
      </c>
    </row>
    <row r="472" spans="1:13" outlineLevel="1" collapsed="1" x14ac:dyDescent="0.2">
      <c r="A472" s="35" t="str">
        <f ca="1">Language!A$783</f>
        <v>Суммарные внеоборотные активы</v>
      </c>
      <c r="C472" s="5" t="str">
        <f t="shared" ca="1" si="37"/>
        <v>руб.</v>
      </c>
      <c r="D472" s="16" t="s">
        <v>2211</v>
      </c>
      <c r="F472" s="160">
        <f ca="1">SUMPRODUCT($B12:OFFSET($B13,-1,0),F473:OFFSET(F474,-1,0))</f>
        <v>540000</v>
      </c>
      <c r="G472" s="160">
        <f ca="1">SUMPRODUCT($B12:OFFSET($B13,-1,0),G473:OFFSET(G474,-1,0))</f>
        <v>580000</v>
      </c>
      <c r="H472" s="160">
        <f ca="1">SUMPRODUCT($B12:OFFSET($B13,-1,0),H473:OFFSET(H474,-1,0))</f>
        <v>630000</v>
      </c>
      <c r="I472" s="160">
        <f ca="1">SUMPRODUCT($B12:OFFSET($B13,-1,0),I473:OFFSET(I474,-1,0))</f>
        <v>1360000</v>
      </c>
      <c r="J472" s="160">
        <f ca="1">SUMPRODUCT($B12:OFFSET($B13,-1,0),J473:OFFSET(J474,-1,0))</f>
        <v>1390000</v>
      </c>
      <c r="K472" s="160">
        <f ca="1">SUMPRODUCT($B12:OFFSET($B13,-1,0),K473:OFFSET(K474,-1,0))</f>
        <v>1418833.3333333333</v>
      </c>
      <c r="M472" s="11"/>
    </row>
    <row r="473" spans="1:13" s="181" customFormat="1" hidden="1" outlineLevel="2" x14ac:dyDescent="0.2">
      <c r="A473" s="181" t="str">
        <f>"        " &amp; A12</f>
        <v xml:space="preserve">        Наименование проекта</v>
      </c>
      <c r="C473" s="209" t="str">
        <f t="shared" ca="1" si="37"/>
        <v>руб.</v>
      </c>
      <c r="D473" s="90" t="str">
        <f>"[" &amp; F12 &amp; "];int_end"</f>
        <v>[Проект];int_end</v>
      </c>
      <c r="F473" s="94">
        <f ca="1">IF(F$33&lt;$B28,0,IF(F$33&gt;$C28,IF(LIFE_PRJ=1,E473,0),OFFSET(Проект!F$1409,0,1-$B28)))</f>
        <v>540000</v>
      </c>
      <c r="G473" s="94">
        <f ca="1">IF(G$33&lt;$B28,0,IF(G$33&gt;$C28,IF(LIFE_PRJ=1,F473,0),OFFSET(Проект!G$1409,0,1-$B28)))</f>
        <v>580000</v>
      </c>
      <c r="H473" s="94">
        <f ca="1">IF(H$33&lt;$B28,0,IF(H$33&gt;$C28,IF(LIFE_PRJ=1,G473,0),OFFSET(Проект!H$1409,0,1-$B28)))</f>
        <v>630000</v>
      </c>
      <c r="I473" s="94">
        <f ca="1">IF(I$33&lt;$B28,0,IF(I$33&gt;$C28,IF(LIFE_PRJ=1,H473,0),OFFSET(Проект!I$1409,0,1-$B28)))</f>
        <v>1360000</v>
      </c>
      <c r="J473" s="94">
        <f ca="1">IF(J$33&lt;$B28,0,IF(J$33&gt;$C28,IF(LIFE_PRJ=1,I473,0),OFFSET(Проект!J$1409,0,1-$B28)))</f>
        <v>1390000</v>
      </c>
      <c r="K473" s="94">
        <f ca="1">IF(K$33&lt;$B28,0,IF(K$33&gt;$C28,IF(LIFE_PRJ=1,J473,0),OFFSET(Проект!K$1409,0,1-$B28)))</f>
        <v>1418833.3333333333</v>
      </c>
    </row>
    <row r="474" spans="1:13" outlineLevel="1" x14ac:dyDescent="0.2">
      <c r="F474" s="43"/>
      <c r="G474" s="43"/>
      <c r="H474" s="43"/>
      <c r="I474" s="43"/>
      <c r="J474" s="43"/>
      <c r="K474" s="43"/>
      <c r="M474" s="11"/>
    </row>
    <row r="475" spans="1:13" outlineLevel="1" collapsed="1" x14ac:dyDescent="0.2">
      <c r="A475" s="35" t="str">
        <f ca="1">Language!A$784</f>
        <v xml:space="preserve"> = ИТОГО АКТИВОВ</v>
      </c>
      <c r="C475" s="5" t="str">
        <f ca="1">CUR_Report</f>
        <v>руб.</v>
      </c>
      <c r="D475" s="16" t="s">
        <v>2211</v>
      </c>
      <c r="F475" s="160">
        <f t="shared" ref="F475:J475" ca="1" si="38">F455+F472</f>
        <v>20495000</v>
      </c>
      <c r="G475" s="160">
        <f t="shared" ca="1" si="38"/>
        <v>87421700</v>
      </c>
      <c r="H475" s="160">
        <f t="shared" ca="1" si="38"/>
        <v>185868799.99999997</v>
      </c>
      <c r="I475" s="160">
        <f t="shared" ca="1" si="38"/>
        <v>277636700</v>
      </c>
      <c r="J475" s="160">
        <f t="shared" ca="1" si="38"/>
        <v>369305200</v>
      </c>
      <c r="K475" s="160">
        <f t="shared" ref="K475" ca="1" si="39">K455+K472</f>
        <v>460972533.33333331</v>
      </c>
      <c r="M475" s="11"/>
    </row>
    <row r="476" spans="1:13" s="181" customFormat="1" hidden="1" outlineLevel="2" x14ac:dyDescent="0.2">
      <c r="A476" s="181" t="str">
        <f>"        " &amp; A12</f>
        <v xml:space="preserve">        Наименование проекта</v>
      </c>
      <c r="C476" s="209" t="str">
        <f ca="1">CUR_Report</f>
        <v>руб.</v>
      </c>
      <c r="D476" s="90" t="str">
        <f>"[" &amp; F12 &amp; "];int_end"</f>
        <v>[Проект];int_end</v>
      </c>
      <c r="F476" s="94">
        <f ca="1">IF(F$33&lt;$B28,0,IF(F$33&gt;$C28,IF(LIFE_PRJ=1,E476,0),OFFSET(Проект!F$1411,0,1-$B28)))</f>
        <v>20495000</v>
      </c>
      <c r="G476" s="94">
        <f ca="1">IF(G$33&lt;$B28,0,IF(G$33&gt;$C28,IF(LIFE_PRJ=1,F476,0),OFFSET(Проект!G$1411,0,1-$B28)))</f>
        <v>87421700</v>
      </c>
      <c r="H476" s="94">
        <f ca="1">IF(H$33&lt;$B28,0,IF(H$33&gt;$C28,IF(LIFE_PRJ=1,G476,0),OFFSET(Проект!H$1411,0,1-$B28)))</f>
        <v>185868799.99999997</v>
      </c>
      <c r="I476" s="94">
        <f ca="1">IF(I$33&lt;$B28,0,IF(I$33&gt;$C28,IF(LIFE_PRJ=1,H476,0),OFFSET(Проект!I$1411,0,1-$B28)))</f>
        <v>277636700</v>
      </c>
      <c r="J476" s="94">
        <f ca="1">IF(J$33&lt;$B28,0,IF(J$33&gt;$C28,IF(LIFE_PRJ=1,I476,0),OFFSET(Проект!J$1411,0,1-$B28)))</f>
        <v>369305200</v>
      </c>
      <c r="K476" s="94">
        <f ca="1">IF(K$33&lt;$B28,0,IF(K$33&gt;$C28,IF(LIFE_PRJ=1,J476,0),OFFSET(Проект!K$1411,0,1-$B28)))</f>
        <v>460972533.33333331</v>
      </c>
    </row>
    <row r="477" spans="1:13" outlineLevel="1" x14ac:dyDescent="0.2">
      <c r="F477" s="43"/>
      <c r="G477" s="43"/>
      <c r="H477" s="43"/>
      <c r="I477" s="43"/>
      <c r="J477" s="43"/>
      <c r="K477" s="43"/>
      <c r="M477" s="11"/>
    </row>
    <row r="478" spans="1:13" outlineLevel="1" collapsed="1" x14ac:dyDescent="0.2">
      <c r="A478" t="str">
        <f ca="1">Language!A$785</f>
        <v>Кредиторская задолженность</v>
      </c>
      <c r="C478" s="5" t="str">
        <f t="shared" ref="C478:C498" ca="1" si="40">CUR_Report</f>
        <v>руб.</v>
      </c>
      <c r="D478" s="16" t="s">
        <v>2211</v>
      </c>
      <c r="F478" s="210">
        <f ca="1">SUMPRODUCT($B12:OFFSET($B13,-1,0),F479:OFFSET(F480,-1,0))</f>
        <v>0</v>
      </c>
      <c r="G478" s="210">
        <f ca="1">SUMPRODUCT($B12:OFFSET($B13,-1,0),G479:OFFSET(G480,-1,0))</f>
        <v>0</v>
      </c>
      <c r="H478" s="210">
        <f ca="1">SUMPRODUCT($B12:OFFSET($B13,-1,0),H479:OFFSET(H480,-1,0))</f>
        <v>0</v>
      </c>
      <c r="I478" s="210">
        <f ca="1">SUMPRODUCT($B12:OFFSET($B13,-1,0),I479:OFFSET(I480,-1,0))</f>
        <v>0</v>
      </c>
      <c r="J478" s="210">
        <f ca="1">SUMPRODUCT($B12:OFFSET($B13,-1,0),J479:OFFSET(J480,-1,0))</f>
        <v>0</v>
      </c>
      <c r="K478" s="210">
        <f ca="1">SUMPRODUCT($B12:OFFSET($B13,-1,0),K479:OFFSET(K480,-1,0))</f>
        <v>0</v>
      </c>
      <c r="M478" s="11"/>
    </row>
    <row r="479" spans="1:13" s="181" customFormat="1" hidden="1" outlineLevel="2" x14ac:dyDescent="0.2">
      <c r="A479" s="11" t="str">
        <f>"        " &amp; A12</f>
        <v xml:space="preserve">        Наименование проекта</v>
      </c>
      <c r="B479" s="11"/>
      <c r="C479" s="36" t="str">
        <f t="shared" ca="1" si="40"/>
        <v>руб.</v>
      </c>
      <c r="D479" s="90" t="str">
        <f>"[" &amp; F12 &amp; "];int_end"</f>
        <v>[Проект];int_end</v>
      </c>
      <c r="F479" s="94">
        <f ca="1">IF(F$33&lt;$B28,0,IF(F$33&gt;$C28,IF(LIFE_PRJ=1,E479,0),OFFSET(Проект!F$1413,0,1-$B28)))</f>
        <v>0</v>
      </c>
      <c r="G479" s="94">
        <f ca="1">IF(G$33&lt;$B28,0,IF(G$33&gt;$C28,IF(LIFE_PRJ=1,F479,0),OFFSET(Проект!G$1413,0,1-$B28)))</f>
        <v>0</v>
      </c>
      <c r="H479" s="94">
        <f ca="1">IF(H$33&lt;$B28,0,IF(H$33&gt;$C28,IF(LIFE_PRJ=1,G479,0),OFFSET(Проект!H$1413,0,1-$B28)))</f>
        <v>0</v>
      </c>
      <c r="I479" s="94">
        <f ca="1">IF(I$33&lt;$B28,0,IF(I$33&gt;$C28,IF(LIFE_PRJ=1,H479,0),OFFSET(Проект!I$1413,0,1-$B28)))</f>
        <v>0</v>
      </c>
      <c r="J479" s="94">
        <f ca="1">IF(J$33&lt;$B28,0,IF(J$33&gt;$C28,IF(LIFE_PRJ=1,I479,0),OFFSET(Проект!J$1413,0,1-$B28)))</f>
        <v>0</v>
      </c>
      <c r="K479" s="94">
        <f ca="1">IF(K$33&lt;$B28,0,IF(K$33&gt;$C28,IF(LIFE_PRJ=1,J479,0),OFFSET(Проект!K$1413,0,1-$B28)))</f>
        <v>0</v>
      </c>
    </row>
    <row r="480" spans="1:13" outlineLevel="1" collapsed="1" x14ac:dyDescent="0.2">
      <c r="A480" t="str">
        <f ca="1">Language!A$786</f>
        <v xml:space="preserve">    за поставленные товары</v>
      </c>
      <c r="C480" s="5" t="str">
        <f t="shared" ca="1" si="40"/>
        <v>руб.</v>
      </c>
      <c r="D480" s="16" t="s">
        <v>2211</v>
      </c>
      <c r="F480" s="210">
        <f ca="1">SUMPRODUCT($B12:OFFSET($B13,-1,0),F481:OFFSET(F482,-1,0))</f>
        <v>0</v>
      </c>
      <c r="G480" s="210">
        <f ca="1">SUMPRODUCT($B12:OFFSET($B13,-1,0),G481:OFFSET(G482,-1,0))</f>
        <v>0</v>
      </c>
      <c r="H480" s="210">
        <f ca="1">SUMPRODUCT($B12:OFFSET($B13,-1,0),H481:OFFSET(H482,-1,0))</f>
        <v>0</v>
      </c>
      <c r="I480" s="210">
        <f ca="1">SUMPRODUCT($B12:OFFSET($B13,-1,0),I481:OFFSET(I482,-1,0))</f>
        <v>0</v>
      </c>
      <c r="J480" s="210">
        <f ca="1">SUMPRODUCT($B12:OFFSET($B13,-1,0),J481:OFFSET(J482,-1,0))</f>
        <v>0</v>
      </c>
      <c r="K480" s="210">
        <f ca="1">SUMPRODUCT($B12:OFFSET($B13,-1,0),K481:OFFSET(K482,-1,0))</f>
        <v>0</v>
      </c>
      <c r="M480" s="11"/>
    </row>
    <row r="481" spans="1:13" s="181" customFormat="1" hidden="1" outlineLevel="2" x14ac:dyDescent="0.2">
      <c r="A481" s="181" t="str">
        <f>"        " &amp; A12</f>
        <v xml:space="preserve">        Наименование проекта</v>
      </c>
      <c r="C481" s="209" t="str">
        <f t="shared" ca="1" si="40"/>
        <v>руб.</v>
      </c>
      <c r="D481" s="90" t="str">
        <f>"[" &amp; F12 &amp; "];int_end"</f>
        <v>[Проект];int_end</v>
      </c>
      <c r="F481" s="94">
        <f ca="1">IF(F$33&lt;$B28,0,IF(F$33&gt;$C28,IF(LIFE_PRJ=1,E481,0),OFFSET(Проект!F$1414,0,1-$B28)))</f>
        <v>0</v>
      </c>
      <c r="G481" s="94">
        <f ca="1">IF(G$33&lt;$B28,0,IF(G$33&gt;$C28,IF(LIFE_PRJ=1,F481,0),OFFSET(Проект!G$1414,0,1-$B28)))</f>
        <v>0</v>
      </c>
      <c r="H481" s="94">
        <f ca="1">IF(H$33&lt;$B28,0,IF(H$33&gt;$C28,IF(LIFE_PRJ=1,G481,0),OFFSET(Проект!H$1414,0,1-$B28)))</f>
        <v>0</v>
      </c>
      <c r="I481" s="94">
        <f ca="1">IF(I$33&lt;$B28,0,IF(I$33&gt;$C28,IF(LIFE_PRJ=1,H481,0),OFFSET(Проект!I$1414,0,1-$B28)))</f>
        <v>0</v>
      </c>
      <c r="J481" s="94">
        <f ca="1">IF(J$33&lt;$B28,0,IF(J$33&gt;$C28,IF(LIFE_PRJ=1,I481,0),OFFSET(Проект!J$1414,0,1-$B28)))</f>
        <v>0</v>
      </c>
      <c r="K481" s="94">
        <f ca="1">IF(K$33&lt;$B28,0,IF(K$33&gt;$C28,IF(LIFE_PRJ=1,J481,0),OFFSET(Проект!K$1414,0,1-$B28)))</f>
        <v>0</v>
      </c>
    </row>
    <row r="482" spans="1:13" ht="10.5" customHeight="1" outlineLevel="1" collapsed="1" x14ac:dyDescent="0.2">
      <c r="A482" t="str">
        <f ca="1">Language!A$787</f>
        <v xml:space="preserve">    за внеоборотные активы</v>
      </c>
      <c r="C482" s="5" t="str">
        <f t="shared" ca="1" si="40"/>
        <v>руб.</v>
      </c>
      <c r="D482" s="16" t="s">
        <v>2211</v>
      </c>
      <c r="F482" s="210">
        <f ca="1">SUMPRODUCT($B12:OFFSET($B13,-1,0),F483:OFFSET(F484,-1,0))</f>
        <v>0</v>
      </c>
      <c r="G482" s="210">
        <f ca="1">SUMPRODUCT($B12:OFFSET($B13,-1,0),G483:OFFSET(G484,-1,0))</f>
        <v>0</v>
      </c>
      <c r="H482" s="210">
        <f ca="1">SUMPRODUCT($B12:OFFSET($B13,-1,0),H483:OFFSET(H484,-1,0))</f>
        <v>0</v>
      </c>
      <c r="I482" s="210">
        <f ca="1">SUMPRODUCT($B12:OFFSET($B13,-1,0),I483:OFFSET(I484,-1,0))</f>
        <v>0</v>
      </c>
      <c r="J482" s="210">
        <f ca="1">SUMPRODUCT($B12:OFFSET($B13,-1,0),J483:OFFSET(J484,-1,0))</f>
        <v>0</v>
      </c>
      <c r="K482" s="210">
        <f ca="1">SUMPRODUCT($B12:OFFSET($B13,-1,0),K483:OFFSET(K484,-1,0))</f>
        <v>0</v>
      </c>
      <c r="M482" s="11"/>
    </row>
    <row r="483" spans="1:13" s="181" customFormat="1" ht="10.5" hidden="1" customHeight="1" outlineLevel="2" x14ac:dyDescent="0.2">
      <c r="A483" s="181" t="str">
        <f>"        " &amp; A12</f>
        <v xml:space="preserve">        Наименование проекта</v>
      </c>
      <c r="C483" s="209" t="str">
        <f t="shared" ca="1" si="40"/>
        <v>руб.</v>
      </c>
      <c r="D483" s="90" t="str">
        <f>"[" &amp; F12 &amp; "];int_end"</f>
        <v>[Проект];int_end</v>
      </c>
      <c r="F483" s="94">
        <f ca="1">IF(F$33&lt;$B28,0,IF(F$33&gt;$C28,IF(LIFE_PRJ=1,E483,0),OFFSET(Проект!F$1415,0,1-$B28)))</f>
        <v>0</v>
      </c>
      <c r="G483" s="94">
        <f ca="1">IF(G$33&lt;$B28,0,IF(G$33&gt;$C28,IF(LIFE_PRJ=1,F483,0),OFFSET(Проект!G$1415,0,1-$B28)))</f>
        <v>0</v>
      </c>
      <c r="H483" s="94">
        <f ca="1">IF(H$33&lt;$B28,0,IF(H$33&gt;$C28,IF(LIFE_PRJ=1,G483,0),OFFSET(Проект!H$1415,0,1-$B28)))</f>
        <v>0</v>
      </c>
      <c r="I483" s="94">
        <f ca="1">IF(I$33&lt;$B28,0,IF(I$33&gt;$C28,IF(LIFE_PRJ=1,H483,0),OFFSET(Проект!I$1415,0,1-$B28)))</f>
        <v>0</v>
      </c>
      <c r="J483" s="94">
        <f ca="1">IF(J$33&lt;$B28,0,IF(J$33&gt;$C28,IF(LIFE_PRJ=1,I483,0),OFFSET(Проект!J$1415,0,1-$B28)))</f>
        <v>0</v>
      </c>
      <c r="K483" s="94">
        <f ca="1">IF(K$33&lt;$B28,0,IF(K$33&gt;$C28,IF(LIFE_PRJ=1,J483,0),OFFSET(Проект!K$1415,0,1-$B28)))</f>
        <v>0</v>
      </c>
    </row>
    <row r="484" spans="1:13" outlineLevel="1" collapsed="1" x14ac:dyDescent="0.2">
      <c r="A484" t="str">
        <f ca="1">Language!A$788</f>
        <v>Расчеты с бюджетом</v>
      </c>
      <c r="C484" s="5" t="str">
        <f t="shared" ca="1" si="40"/>
        <v>руб.</v>
      </c>
      <c r="D484" s="16" t="s">
        <v>2211</v>
      </c>
      <c r="F484" s="210">
        <f ca="1">SUMPRODUCT($B12:OFFSET($B13,-1,0),F485:OFFSET(F486,-1,0))</f>
        <v>6742500</v>
      </c>
      <c r="G484" s="210">
        <f ca="1">SUMPRODUCT($B12:OFFSET($B13,-1,0),G485:OFFSET(G486,-1,0))</f>
        <v>15441300</v>
      </c>
      <c r="H484" s="210">
        <f ca="1">SUMPRODUCT($B12:OFFSET($B13,-1,0),H485:OFFSET(H486,-1,0))</f>
        <v>21980100</v>
      </c>
      <c r="I484" s="210">
        <f ca="1">SUMPRODUCT($B12:OFFSET($B13,-1,0),I485:OFFSET(I486,-1,0))</f>
        <v>22009500</v>
      </c>
      <c r="J484" s="210">
        <f ca="1">SUMPRODUCT($B12:OFFSET($B13,-1,0),J485:OFFSET(J486,-1,0))</f>
        <v>22009500</v>
      </c>
      <c r="K484" s="210">
        <f ca="1">SUMPRODUCT($B12:OFFSET($B13,-1,0),K485:OFFSET(K486,-1,0))</f>
        <v>22009500</v>
      </c>
      <c r="M484" s="11"/>
    </row>
    <row r="485" spans="1:13" s="181" customFormat="1" hidden="1" outlineLevel="2" x14ac:dyDescent="0.2">
      <c r="A485" s="181" t="str">
        <f>"        " &amp; A12</f>
        <v xml:space="preserve">        Наименование проекта</v>
      </c>
      <c r="C485" s="209" t="str">
        <f t="shared" ca="1" si="40"/>
        <v>руб.</v>
      </c>
      <c r="D485" s="90" t="str">
        <f>"[" &amp; F12 &amp; "];int_end"</f>
        <v>[Проект];int_end</v>
      </c>
      <c r="F485" s="94">
        <f ca="1">IF(F$33&lt;$B28,0,IF(F$33&gt;$C28,IF(LIFE_PRJ=1,E485,0),OFFSET(Проект!F$1416,0,1-$B28)))</f>
        <v>6742500</v>
      </c>
      <c r="G485" s="94">
        <f ca="1">IF(G$33&lt;$B28,0,IF(G$33&gt;$C28,IF(LIFE_PRJ=1,F485,0),OFFSET(Проект!G$1416,0,1-$B28)))</f>
        <v>15441300</v>
      </c>
      <c r="H485" s="94">
        <f ca="1">IF(H$33&lt;$B28,0,IF(H$33&gt;$C28,IF(LIFE_PRJ=1,G485,0),OFFSET(Проект!H$1416,0,1-$B28)))</f>
        <v>21980100</v>
      </c>
      <c r="I485" s="94">
        <f ca="1">IF(I$33&lt;$B28,0,IF(I$33&gt;$C28,IF(LIFE_PRJ=1,H485,0),OFFSET(Проект!I$1416,0,1-$B28)))</f>
        <v>22009500</v>
      </c>
      <c r="J485" s="94">
        <f ca="1">IF(J$33&lt;$B28,0,IF(J$33&gt;$C28,IF(LIFE_PRJ=1,I485,0),OFFSET(Проект!J$1416,0,1-$B28)))</f>
        <v>22009500</v>
      </c>
      <c r="K485" s="94">
        <f ca="1">IF(K$33&lt;$B28,0,IF(K$33&gt;$C28,IF(LIFE_PRJ=1,J485,0),OFFSET(Проект!K$1416,0,1-$B28)))</f>
        <v>22009500</v>
      </c>
    </row>
    <row r="486" spans="1:13" outlineLevel="1" collapsed="1" x14ac:dyDescent="0.2">
      <c r="A486" t="str">
        <f ca="1">Language!A$789</f>
        <v>Расчеты с персоналом</v>
      </c>
      <c r="C486" s="5" t="str">
        <f t="shared" ca="1" si="40"/>
        <v>руб.</v>
      </c>
      <c r="D486" s="16" t="s">
        <v>2211</v>
      </c>
      <c r="F486" s="210">
        <f ca="1">SUMPRODUCT($B12:OFFSET($B13,-1,0),F487:OFFSET(F488,-1,0))</f>
        <v>625000</v>
      </c>
      <c r="G486" s="210">
        <f ca="1">SUMPRODUCT($B12:OFFSET($B13,-1,0),G487:OFFSET(G488,-1,0))</f>
        <v>765000</v>
      </c>
      <c r="H486" s="210">
        <f ca="1">SUMPRODUCT($B12:OFFSET($B13,-1,0),H487:OFFSET(H488,-1,0))</f>
        <v>905000</v>
      </c>
      <c r="I486" s="210">
        <f ca="1">SUMPRODUCT($B12:OFFSET($B13,-1,0),I487:OFFSET(I488,-1,0))</f>
        <v>975000</v>
      </c>
      <c r="J486" s="210">
        <f ca="1">SUMPRODUCT($B12:OFFSET($B13,-1,0),J487:OFFSET(J488,-1,0))</f>
        <v>975000</v>
      </c>
      <c r="K486" s="210">
        <f ca="1">SUMPRODUCT($B12:OFFSET($B13,-1,0),K487:OFFSET(K488,-1,0))</f>
        <v>975000</v>
      </c>
      <c r="M486" s="11"/>
    </row>
    <row r="487" spans="1:13" s="181" customFormat="1" hidden="1" outlineLevel="2" x14ac:dyDescent="0.2">
      <c r="A487" s="181" t="str">
        <f>"        " &amp; A12</f>
        <v xml:space="preserve">        Наименование проекта</v>
      </c>
      <c r="C487" s="209" t="str">
        <f t="shared" ca="1" si="40"/>
        <v>руб.</v>
      </c>
      <c r="D487" s="90" t="str">
        <f>"[" &amp; F12 &amp; "];int_end"</f>
        <v>[Проект];int_end</v>
      </c>
      <c r="F487" s="94">
        <f ca="1">IF(F$33&lt;$B28,0,IF(F$33&gt;$C28,IF(LIFE_PRJ=1,E487,0),OFFSET(Проект!F$1417,0,1-$B28)))</f>
        <v>625000</v>
      </c>
      <c r="G487" s="94">
        <f ca="1">IF(G$33&lt;$B28,0,IF(G$33&gt;$C28,IF(LIFE_PRJ=1,F487,0),OFFSET(Проект!G$1417,0,1-$B28)))</f>
        <v>765000</v>
      </c>
      <c r="H487" s="94">
        <f ca="1">IF(H$33&lt;$B28,0,IF(H$33&gt;$C28,IF(LIFE_PRJ=1,G487,0),OFFSET(Проект!H$1417,0,1-$B28)))</f>
        <v>905000</v>
      </c>
      <c r="I487" s="94">
        <f ca="1">IF(I$33&lt;$B28,0,IF(I$33&gt;$C28,IF(LIFE_PRJ=1,H487,0),OFFSET(Проект!I$1417,0,1-$B28)))</f>
        <v>975000</v>
      </c>
      <c r="J487" s="94">
        <f ca="1">IF(J$33&lt;$B28,0,IF(J$33&gt;$C28,IF(LIFE_PRJ=1,I487,0),OFFSET(Проект!J$1417,0,1-$B28)))</f>
        <v>975000</v>
      </c>
      <c r="K487" s="94">
        <f ca="1">IF(K$33&lt;$B28,0,IF(K$33&gt;$C28,IF(LIFE_PRJ=1,J487,0),OFFSET(Проект!K$1417,0,1-$B28)))</f>
        <v>975000</v>
      </c>
    </row>
    <row r="488" spans="1:13" outlineLevel="1" collapsed="1" x14ac:dyDescent="0.2">
      <c r="A488" t="str">
        <f ca="1">Language!A$790</f>
        <v>Авансы покупателей</v>
      </c>
      <c r="C488" s="5" t="str">
        <f t="shared" ca="1" si="40"/>
        <v>руб.</v>
      </c>
      <c r="D488" s="16" t="s">
        <v>2211</v>
      </c>
      <c r="F488" s="210">
        <f ca="1">SUMPRODUCT($B12:OFFSET($B13,-1,0),F489:OFFSET(F490,-1,0))</f>
        <v>0</v>
      </c>
      <c r="G488" s="210">
        <f ca="1">SUMPRODUCT($B12:OFFSET($B13,-1,0),G489:OFFSET(G490,-1,0))</f>
        <v>0</v>
      </c>
      <c r="H488" s="210">
        <f ca="1">SUMPRODUCT($B12:OFFSET($B13,-1,0),H489:OFFSET(H490,-1,0))</f>
        <v>0</v>
      </c>
      <c r="I488" s="210">
        <f ca="1">SUMPRODUCT($B12:OFFSET($B13,-1,0),I489:OFFSET(I490,-1,0))</f>
        <v>0</v>
      </c>
      <c r="J488" s="210">
        <f ca="1">SUMPRODUCT($B12:OFFSET($B13,-1,0),J489:OFFSET(J490,-1,0))</f>
        <v>0</v>
      </c>
      <c r="K488" s="210">
        <f ca="1">SUMPRODUCT($B12:OFFSET($B13,-1,0),K489:OFFSET(K490,-1,0))</f>
        <v>0</v>
      </c>
      <c r="M488" s="11"/>
    </row>
    <row r="489" spans="1:13" s="181" customFormat="1" hidden="1" outlineLevel="2" x14ac:dyDescent="0.2">
      <c r="A489" s="181" t="str">
        <f>"        " &amp; A12</f>
        <v xml:space="preserve">        Наименование проекта</v>
      </c>
      <c r="C489" s="209" t="str">
        <f t="shared" ca="1" si="40"/>
        <v>руб.</v>
      </c>
      <c r="D489" s="90" t="str">
        <f>"[" &amp; F12 &amp; "];int_end"</f>
        <v>[Проект];int_end</v>
      </c>
      <c r="F489" s="94">
        <f ca="1">IF(F$33&lt;$B28,0,IF(F$33&gt;$C28,IF(LIFE_PRJ=1,E489,0),OFFSET(Проект!F$1418,0,1-$B28)))</f>
        <v>0</v>
      </c>
      <c r="G489" s="94">
        <f ca="1">IF(G$33&lt;$B28,0,IF(G$33&gt;$C28,IF(LIFE_PRJ=1,F489,0),OFFSET(Проект!G$1418,0,1-$B28)))</f>
        <v>0</v>
      </c>
      <c r="H489" s="94">
        <f ca="1">IF(H$33&lt;$B28,0,IF(H$33&gt;$C28,IF(LIFE_PRJ=1,G489,0),OFFSET(Проект!H$1418,0,1-$B28)))</f>
        <v>0</v>
      </c>
      <c r="I489" s="94">
        <f ca="1">IF(I$33&lt;$B28,0,IF(I$33&gt;$C28,IF(LIFE_PRJ=1,H489,0),OFFSET(Проект!I$1418,0,1-$B28)))</f>
        <v>0</v>
      </c>
      <c r="J489" s="94">
        <f ca="1">IF(J$33&lt;$B28,0,IF(J$33&gt;$C28,IF(LIFE_PRJ=1,I489,0),OFFSET(Проект!J$1418,0,1-$B28)))</f>
        <v>0</v>
      </c>
      <c r="K489" s="94">
        <f ca="1">IF(K$33&lt;$B28,0,IF(K$33&gt;$C28,IF(LIFE_PRJ=1,J489,0),OFFSET(Проект!K$1418,0,1-$B28)))</f>
        <v>0</v>
      </c>
    </row>
    <row r="490" spans="1:13" outlineLevel="1" collapsed="1" x14ac:dyDescent="0.2">
      <c r="A490" t="str">
        <f ca="1">Language!A$791</f>
        <v>Краткосрочные кредиты</v>
      </c>
      <c r="C490" s="5" t="str">
        <f t="shared" ca="1" si="40"/>
        <v>руб.</v>
      </c>
      <c r="D490" s="16" t="s">
        <v>2211</v>
      </c>
      <c r="F490" s="210">
        <f ca="1">SUMPRODUCT($B12:OFFSET($B13,-1,0),F491:OFFSET(F492,-1,0))</f>
        <v>0</v>
      </c>
      <c r="G490" s="210">
        <f ca="1">SUMPRODUCT($B12:OFFSET($B13,-1,0),G491:OFFSET(G492,-1,0))</f>
        <v>0</v>
      </c>
      <c r="H490" s="210">
        <f ca="1">SUMPRODUCT($B12:OFFSET($B13,-1,0),H491:OFFSET(H492,-1,0))</f>
        <v>0</v>
      </c>
      <c r="I490" s="210">
        <f ca="1">SUMPRODUCT($B12:OFFSET($B13,-1,0),I491:OFFSET(I492,-1,0))</f>
        <v>0</v>
      </c>
      <c r="J490" s="210">
        <f ca="1">SUMPRODUCT($B12:OFFSET($B13,-1,0),J491:OFFSET(J492,-1,0))</f>
        <v>0</v>
      </c>
      <c r="K490" s="210">
        <f ca="1">SUMPRODUCT($B12:OFFSET($B13,-1,0),K491:OFFSET(K492,-1,0))</f>
        <v>0</v>
      </c>
      <c r="M490" s="11"/>
    </row>
    <row r="491" spans="1:13" s="181" customFormat="1" hidden="1" outlineLevel="2" x14ac:dyDescent="0.2">
      <c r="A491" s="181" t="str">
        <f>"        " &amp; A12</f>
        <v xml:space="preserve">        Наименование проекта</v>
      </c>
      <c r="C491" s="209" t="str">
        <f t="shared" ca="1" si="40"/>
        <v>руб.</v>
      </c>
      <c r="D491" s="90" t="str">
        <f>"[" &amp; F12 &amp; "];int_end"</f>
        <v>[Проект];int_end</v>
      </c>
      <c r="F491" s="94">
        <f ca="1">IF(F$33&lt;$B28,0,IF(F$33&gt;$C28,IF(LIFE_PRJ=1,E491,0),OFFSET(Проект!F$1419,0,1-$B28)))</f>
        <v>0</v>
      </c>
      <c r="G491" s="94">
        <f ca="1">IF(G$33&lt;$B28,0,IF(G$33&gt;$C28,IF(LIFE_PRJ=1,F491,0),OFFSET(Проект!G$1419,0,1-$B28)))</f>
        <v>0</v>
      </c>
      <c r="H491" s="94">
        <f ca="1">IF(H$33&lt;$B28,0,IF(H$33&gt;$C28,IF(LIFE_PRJ=1,G491,0),OFFSET(Проект!H$1419,0,1-$B28)))</f>
        <v>0</v>
      </c>
      <c r="I491" s="94">
        <f ca="1">IF(I$33&lt;$B28,0,IF(I$33&gt;$C28,IF(LIFE_PRJ=1,H491,0),OFFSET(Проект!I$1419,0,1-$B28)))</f>
        <v>0</v>
      </c>
      <c r="J491" s="94">
        <f ca="1">IF(J$33&lt;$B28,0,IF(J$33&gt;$C28,IF(LIFE_PRJ=1,I491,0),OFFSET(Проект!J$1419,0,1-$B28)))</f>
        <v>0</v>
      </c>
      <c r="K491" s="94">
        <f ca="1">IF(K$33&lt;$B28,0,IF(K$33&gt;$C28,IF(LIFE_PRJ=1,J491,0),OFFSET(Проект!K$1419,0,1-$B28)))</f>
        <v>0</v>
      </c>
    </row>
    <row r="492" spans="1:13" outlineLevel="1" collapsed="1" x14ac:dyDescent="0.2">
      <c r="A492" t="str">
        <f ca="1">Language!A$792</f>
        <v>Прочие краткосрочные обязательства</v>
      </c>
      <c r="C492" s="5" t="str">
        <f t="shared" ca="1" si="40"/>
        <v>руб.</v>
      </c>
      <c r="D492" s="16" t="s">
        <v>2211</v>
      </c>
      <c r="F492" s="210">
        <f ca="1">SUMPRODUCT($B12:OFFSET($B13,-1,0),F493:OFFSET(F494,-1,0))</f>
        <v>0</v>
      </c>
      <c r="G492" s="210">
        <f ca="1">SUMPRODUCT($B12:OFFSET($B13,-1,0),G493:OFFSET(G494,-1,0))</f>
        <v>0</v>
      </c>
      <c r="H492" s="210">
        <f ca="1">SUMPRODUCT($B12:OFFSET($B13,-1,0),H493:OFFSET(H494,-1,0))</f>
        <v>0</v>
      </c>
      <c r="I492" s="210">
        <f ca="1">SUMPRODUCT($B12:OFFSET($B13,-1,0),I493:OFFSET(I494,-1,0))</f>
        <v>0</v>
      </c>
      <c r="J492" s="210">
        <f ca="1">SUMPRODUCT($B12:OFFSET($B13,-1,0),J493:OFFSET(J494,-1,0))</f>
        <v>0</v>
      </c>
      <c r="K492" s="210">
        <f ca="1">SUMPRODUCT($B12:OFFSET($B13,-1,0),K493:OFFSET(K494,-1,0))</f>
        <v>0</v>
      </c>
      <c r="M492" s="11"/>
    </row>
    <row r="493" spans="1:13" s="181" customFormat="1" hidden="1" outlineLevel="2" x14ac:dyDescent="0.2">
      <c r="A493" s="181" t="str">
        <f>"        " &amp; A12</f>
        <v xml:space="preserve">        Наименование проекта</v>
      </c>
      <c r="C493" s="209" t="str">
        <f t="shared" ca="1" si="40"/>
        <v>руб.</v>
      </c>
      <c r="D493" s="90" t="str">
        <f>"[" &amp; F12 &amp; "];int_end"</f>
        <v>[Проект];int_end</v>
      </c>
      <c r="F493" s="94">
        <f ca="1">IF(F$33&lt;$B28,0,IF(F$33&gt;$C28,IF(LIFE_PRJ=1,E493,0),OFFSET(Проект!F$1420,0,1-$B28)))</f>
        <v>0</v>
      </c>
      <c r="G493" s="94">
        <f ca="1">IF(G$33&lt;$B28,0,IF(G$33&gt;$C28,IF(LIFE_PRJ=1,F493,0),OFFSET(Проект!G$1420,0,1-$B28)))</f>
        <v>0</v>
      </c>
      <c r="H493" s="94">
        <f ca="1">IF(H$33&lt;$B28,0,IF(H$33&gt;$C28,IF(LIFE_PRJ=1,G493,0),OFFSET(Проект!H$1420,0,1-$B28)))</f>
        <v>0</v>
      </c>
      <c r="I493" s="94">
        <f ca="1">IF(I$33&lt;$B28,0,IF(I$33&gt;$C28,IF(LIFE_PRJ=1,H493,0),OFFSET(Проект!I$1420,0,1-$B28)))</f>
        <v>0</v>
      </c>
      <c r="J493" s="94">
        <f ca="1">IF(J$33&lt;$B28,0,IF(J$33&gt;$C28,IF(LIFE_PRJ=1,I493,0),OFFSET(Проект!J$1420,0,1-$B28)))</f>
        <v>0</v>
      </c>
      <c r="K493" s="94">
        <f ca="1">IF(K$33&lt;$B28,0,IF(K$33&gt;$C28,IF(LIFE_PRJ=1,J493,0),OFFSET(Проект!K$1420,0,1-$B28)))</f>
        <v>0</v>
      </c>
    </row>
    <row r="494" spans="1:13" outlineLevel="1" collapsed="1" x14ac:dyDescent="0.2">
      <c r="A494" s="35" t="str">
        <f ca="1">Language!A$793</f>
        <v>Суммарные краткосрочные обязательства</v>
      </c>
      <c r="C494" s="5" t="str">
        <f t="shared" ca="1" si="40"/>
        <v>руб.</v>
      </c>
      <c r="D494" s="16" t="s">
        <v>2211</v>
      </c>
      <c r="F494" s="160">
        <f ca="1">SUMPRODUCT($B12:OFFSET($B13,-1,0),F495:OFFSET(F496,-1,0))</f>
        <v>7367500</v>
      </c>
      <c r="G494" s="160">
        <f ca="1">SUMPRODUCT($B12:OFFSET($B13,-1,0),G495:OFFSET(G496,-1,0))</f>
        <v>16206300</v>
      </c>
      <c r="H494" s="160">
        <f ca="1">SUMPRODUCT($B12:OFFSET($B13,-1,0),H495:OFFSET(H496,-1,0))</f>
        <v>22885100</v>
      </c>
      <c r="I494" s="160">
        <f ca="1">SUMPRODUCT($B12:OFFSET($B13,-1,0),I495:OFFSET(I496,-1,0))</f>
        <v>22984500</v>
      </c>
      <c r="J494" s="160">
        <f ca="1">SUMPRODUCT($B12:OFFSET($B13,-1,0),J495:OFFSET(J496,-1,0))</f>
        <v>22984500</v>
      </c>
      <c r="K494" s="160">
        <f ca="1">SUMPRODUCT($B12:OFFSET($B13,-1,0),K495:OFFSET(K496,-1,0))</f>
        <v>22984500</v>
      </c>
      <c r="M494" s="11"/>
    </row>
    <row r="495" spans="1:13" s="181" customFormat="1" hidden="1" outlineLevel="2" x14ac:dyDescent="0.2">
      <c r="A495" s="181" t="str">
        <f>"        " &amp; A12</f>
        <v xml:space="preserve">        Наименование проекта</v>
      </c>
      <c r="C495" s="209" t="str">
        <f t="shared" ca="1" si="40"/>
        <v>руб.</v>
      </c>
      <c r="D495" s="90" t="str">
        <f>"[" &amp; F12 &amp; "];int_end"</f>
        <v>[Проект];int_end</v>
      </c>
      <c r="F495" s="94">
        <f ca="1">IF(F$33&lt;$B28,0,IF(F$33&gt;$C28,IF(LIFE_PRJ=1,E495,0),OFFSET(Проект!F$1421,0,1-$B28)))</f>
        <v>7367500</v>
      </c>
      <c r="G495" s="94">
        <f ca="1">IF(G$33&lt;$B28,0,IF(G$33&gt;$C28,IF(LIFE_PRJ=1,F495,0),OFFSET(Проект!G$1421,0,1-$B28)))</f>
        <v>16206300</v>
      </c>
      <c r="H495" s="94">
        <f ca="1">IF(H$33&lt;$B28,0,IF(H$33&gt;$C28,IF(LIFE_PRJ=1,G495,0),OFFSET(Проект!H$1421,0,1-$B28)))</f>
        <v>22885100</v>
      </c>
      <c r="I495" s="94">
        <f ca="1">IF(I$33&lt;$B28,0,IF(I$33&gt;$C28,IF(LIFE_PRJ=1,H495,0),OFFSET(Проект!I$1421,0,1-$B28)))</f>
        <v>22984500</v>
      </c>
      <c r="J495" s="94">
        <f ca="1">IF(J$33&lt;$B28,0,IF(J$33&gt;$C28,IF(LIFE_PRJ=1,I495,0),OFFSET(Проект!J$1421,0,1-$B28)))</f>
        <v>22984500</v>
      </c>
      <c r="K495" s="94">
        <f ca="1">IF(K$33&lt;$B28,0,IF(K$33&gt;$C28,IF(LIFE_PRJ=1,J495,0),OFFSET(Проект!K$1421,0,1-$B28)))</f>
        <v>22984500</v>
      </c>
    </row>
    <row r="496" spans="1:13" outlineLevel="1" x14ac:dyDescent="0.2">
      <c r="C496" s="5"/>
      <c r="D496" s="16"/>
      <c r="F496" s="43"/>
      <c r="G496" s="43"/>
      <c r="H496" s="43"/>
      <c r="I496" s="43"/>
      <c r="J496" s="43"/>
      <c r="K496" s="43"/>
      <c r="M496" s="11"/>
    </row>
    <row r="497" spans="1:13" outlineLevel="1" collapsed="1" x14ac:dyDescent="0.2">
      <c r="A497" s="35" t="str">
        <f ca="1">Language!A$794</f>
        <v>Долгосрочные обязательства</v>
      </c>
      <c r="C497" s="5" t="str">
        <f t="shared" ca="1" si="40"/>
        <v>руб.</v>
      </c>
      <c r="D497" s="16" t="s">
        <v>2211</v>
      </c>
      <c r="F497" s="160">
        <f ca="1">SUMPRODUCT($B12:OFFSET($B13,-1,0),F498:OFFSET(F499,-1,0))</f>
        <v>0</v>
      </c>
      <c r="G497" s="160">
        <f ca="1">SUMPRODUCT($B12:OFFSET($B13,-1,0),G498:OFFSET(G499,-1,0))</f>
        <v>0</v>
      </c>
      <c r="H497" s="160">
        <f ca="1">SUMPRODUCT($B12:OFFSET($B13,-1,0),H498:OFFSET(H499,-1,0))</f>
        <v>0</v>
      </c>
      <c r="I497" s="160">
        <f ca="1">SUMPRODUCT($B12:OFFSET($B13,-1,0),I498:OFFSET(I499,-1,0))</f>
        <v>0</v>
      </c>
      <c r="J497" s="160">
        <f ca="1">SUMPRODUCT($B12:OFFSET($B13,-1,0),J498:OFFSET(J499,-1,0))</f>
        <v>0</v>
      </c>
      <c r="K497" s="160">
        <f ca="1">SUMPRODUCT($B12:OFFSET($B13,-1,0),K498:OFFSET(K499,-1,0))</f>
        <v>0</v>
      </c>
      <c r="M497" s="11"/>
    </row>
    <row r="498" spans="1:13" s="181" customFormat="1" hidden="1" outlineLevel="2" x14ac:dyDescent="0.2">
      <c r="A498" s="181" t="str">
        <f>"        " &amp; A12</f>
        <v xml:space="preserve">        Наименование проекта</v>
      </c>
      <c r="C498" s="209" t="str">
        <f t="shared" ca="1" si="40"/>
        <v>руб.</v>
      </c>
      <c r="D498" s="90" t="str">
        <f>"[" &amp; F12 &amp; "];int_end"</f>
        <v>[Проект];int_end</v>
      </c>
      <c r="F498" s="94">
        <f ca="1">IF(F$33&lt;$B28,0,IF(F$33&gt;$C28,IF(LIFE_PRJ=1,E498,0),OFFSET(Проект!F$1423,0,1-$B28)))</f>
        <v>0</v>
      </c>
      <c r="G498" s="94">
        <f ca="1">IF(G$33&lt;$B28,0,IF(G$33&gt;$C28,IF(LIFE_PRJ=1,F498,0),OFFSET(Проект!G$1423,0,1-$B28)))</f>
        <v>0</v>
      </c>
      <c r="H498" s="94">
        <f ca="1">IF(H$33&lt;$B28,0,IF(H$33&gt;$C28,IF(LIFE_PRJ=1,G498,0),OFFSET(Проект!H$1423,0,1-$B28)))</f>
        <v>0</v>
      </c>
      <c r="I498" s="94">
        <f ca="1">IF(I$33&lt;$B28,0,IF(I$33&gt;$C28,IF(LIFE_PRJ=1,H498,0),OFFSET(Проект!I$1423,0,1-$B28)))</f>
        <v>0</v>
      </c>
      <c r="J498" s="94">
        <f ca="1">IF(J$33&lt;$B28,0,IF(J$33&gt;$C28,IF(LIFE_PRJ=1,I498,0),OFFSET(Проект!J$1423,0,1-$B28)))</f>
        <v>0</v>
      </c>
      <c r="K498" s="94">
        <f ca="1">IF(K$33&lt;$B28,0,IF(K$33&gt;$C28,IF(LIFE_PRJ=1,J498,0),OFFSET(Проект!K$1423,0,1-$B28)))</f>
        <v>0</v>
      </c>
    </row>
    <row r="499" spans="1:13" outlineLevel="1" x14ac:dyDescent="0.2">
      <c r="F499" s="43"/>
      <c r="G499" s="43"/>
      <c r="H499" s="43"/>
      <c r="I499" s="43"/>
      <c r="J499" s="43"/>
      <c r="K499" s="43"/>
      <c r="M499" s="11"/>
    </row>
    <row r="500" spans="1:13" outlineLevel="1" collapsed="1" x14ac:dyDescent="0.2">
      <c r="A500" t="str">
        <f ca="1">Language!A$795</f>
        <v>Средства собственников</v>
      </c>
      <c r="C500" s="5" t="str">
        <f t="shared" ref="C500:C507" ca="1" si="41">CUR_Report</f>
        <v>руб.</v>
      </c>
      <c r="D500" s="16" t="s">
        <v>2211</v>
      </c>
      <c r="F500" s="210">
        <f ca="1">SUMPRODUCT($B12:OFFSET($B13,-1,0),F501:OFFSET(F502,-1,0))</f>
        <v>0</v>
      </c>
      <c r="G500" s="210">
        <f ca="1">SUMPRODUCT($B12:OFFSET($B13,-1,0),G501:OFFSET(G502,-1,0))</f>
        <v>0</v>
      </c>
      <c r="H500" s="210">
        <f ca="1">SUMPRODUCT($B12:OFFSET($B13,-1,0),H501:OFFSET(H502,-1,0))</f>
        <v>0</v>
      </c>
      <c r="I500" s="210">
        <f ca="1">SUMPRODUCT($B12:OFFSET($B13,-1,0),I501:OFFSET(I502,-1,0))</f>
        <v>0</v>
      </c>
      <c r="J500" s="210">
        <f ca="1">SUMPRODUCT($B12:OFFSET($B13,-1,0),J501:OFFSET(J502,-1,0))</f>
        <v>0</v>
      </c>
      <c r="K500" s="210">
        <f ca="1">SUMPRODUCT($B12:OFFSET($B13,-1,0),K501:OFFSET(K502,-1,0))</f>
        <v>0</v>
      </c>
      <c r="M500" s="11"/>
    </row>
    <row r="501" spans="1:13" s="181" customFormat="1" hidden="1" outlineLevel="2" x14ac:dyDescent="0.2">
      <c r="A501" s="181" t="str">
        <f>"        " &amp; A12</f>
        <v xml:space="preserve">        Наименование проекта</v>
      </c>
      <c r="C501" s="209" t="str">
        <f t="shared" ca="1" si="41"/>
        <v>руб.</v>
      </c>
      <c r="D501" s="90" t="str">
        <f>"[" &amp; F12 &amp; "];int_end"</f>
        <v>[Проект];int_end</v>
      </c>
      <c r="F501" s="94">
        <f ca="1">IF(F$33&lt;$B28,0,IF(F$33&gt;$C28,IF(LIFE_PRJ=1,E501,0),OFFSET(Проект!F$1425,0,1-$B28)))</f>
        <v>0</v>
      </c>
      <c r="G501" s="94">
        <f ca="1">IF(G$33&lt;$B28,0,IF(G$33&gt;$C28,IF(LIFE_PRJ=1,F501,0),OFFSET(Проект!G$1425,0,1-$B28)))</f>
        <v>0</v>
      </c>
      <c r="H501" s="94">
        <f ca="1">IF(H$33&lt;$B28,0,IF(H$33&gt;$C28,IF(LIFE_PRJ=1,G501,0),OFFSET(Проект!H$1425,0,1-$B28)))</f>
        <v>0</v>
      </c>
      <c r="I501" s="94">
        <f ca="1">IF(I$33&lt;$B28,0,IF(I$33&gt;$C28,IF(LIFE_PRJ=1,H501,0),OFFSET(Проект!I$1425,0,1-$B28)))</f>
        <v>0</v>
      </c>
      <c r="J501" s="94">
        <f ca="1">IF(J$33&lt;$B28,0,IF(J$33&gt;$C28,IF(LIFE_PRJ=1,I501,0),OFFSET(Проект!J$1425,0,1-$B28)))</f>
        <v>0</v>
      </c>
      <c r="K501" s="94">
        <f ca="1">IF(K$33&lt;$B28,0,IF(K$33&gt;$C28,IF(LIFE_PRJ=1,J501,0),OFFSET(Проект!K$1425,0,1-$B28)))</f>
        <v>0</v>
      </c>
    </row>
    <row r="502" spans="1:13" outlineLevel="1" collapsed="1" x14ac:dyDescent="0.2">
      <c r="A502" t="str">
        <f ca="1">Language!A$796</f>
        <v>Нераспределенная прибыль</v>
      </c>
      <c r="C502" s="5" t="str">
        <f t="shared" ca="1" si="41"/>
        <v>руб.</v>
      </c>
      <c r="D502" s="16" t="s">
        <v>2211</v>
      </c>
      <c r="F502" s="210">
        <f t="shared" ref="F502:J502" ca="1" si="42">F186</f>
        <v>13127500</v>
      </c>
      <c r="G502" s="210">
        <f t="shared" ca="1" si="42"/>
        <v>71215400</v>
      </c>
      <c r="H502" s="210">
        <f t="shared" ca="1" si="42"/>
        <v>162983700</v>
      </c>
      <c r="I502" s="210">
        <f t="shared" ca="1" si="42"/>
        <v>254652200</v>
      </c>
      <c r="J502" s="210">
        <f t="shared" ca="1" si="42"/>
        <v>346320700</v>
      </c>
      <c r="K502" s="210">
        <f t="shared" ref="K502" ca="1" si="43">K186</f>
        <v>437988033.33333331</v>
      </c>
      <c r="M502" s="11"/>
    </row>
    <row r="503" spans="1:13" s="181" customFormat="1" hidden="1" outlineLevel="2" x14ac:dyDescent="0.2">
      <c r="A503" s="181" t="str">
        <f>"        " &amp; A12</f>
        <v xml:space="preserve">        Наименование проекта</v>
      </c>
      <c r="C503" s="209" t="str">
        <f t="shared" ca="1" si="41"/>
        <v>руб.</v>
      </c>
      <c r="D503" s="90" t="str">
        <f>"[" &amp; F12 &amp; "];int_end"</f>
        <v>[Проект];int_end</v>
      </c>
      <c r="F503" s="94">
        <f ca="1">IF(F$33&lt;$B28,0,IF(F$33&gt;$C28,IF(LIFE_PRJ=1,E503,0),OFFSET(Проект!F$1426,0,1-$B28)))</f>
        <v>13127500</v>
      </c>
      <c r="G503" s="94">
        <f ca="1">IF(G$33&lt;$B28,0,IF(G$33&gt;$C28,IF(LIFE_PRJ=1,F503,0),OFFSET(Проект!G$1426,0,1-$B28)))</f>
        <v>71215400</v>
      </c>
      <c r="H503" s="94">
        <f ca="1">IF(H$33&lt;$B28,0,IF(H$33&gt;$C28,IF(LIFE_PRJ=1,G503,0),OFFSET(Проект!H$1426,0,1-$B28)))</f>
        <v>162983700</v>
      </c>
      <c r="I503" s="94">
        <f ca="1">IF(I$33&lt;$B28,0,IF(I$33&gt;$C28,IF(LIFE_PRJ=1,H503,0),OFFSET(Проект!I$1426,0,1-$B28)))</f>
        <v>254652200</v>
      </c>
      <c r="J503" s="94">
        <f ca="1">IF(J$33&lt;$B28,0,IF(J$33&gt;$C28,IF(LIFE_PRJ=1,I503,0),OFFSET(Проект!J$1426,0,1-$B28)))</f>
        <v>346320700</v>
      </c>
      <c r="K503" s="94">
        <f ca="1">IF(K$33&lt;$B28,0,IF(K$33&gt;$C28,IF(LIFE_PRJ=1,J503,0),OFFSET(Проект!K$1426,0,1-$B28)))</f>
        <v>437988033.33333331</v>
      </c>
    </row>
    <row r="504" spans="1:13" outlineLevel="1" collapsed="1" x14ac:dyDescent="0.2">
      <c r="A504" t="str">
        <f ca="1">Language!A$797</f>
        <v>Прочие источники финансирования</v>
      </c>
      <c r="C504" s="5" t="str">
        <f t="shared" ca="1" si="41"/>
        <v>руб.</v>
      </c>
      <c r="D504" s="16" t="s">
        <v>2211</v>
      </c>
      <c r="F504" s="210">
        <f ca="1">SUMPRODUCT($B12:OFFSET($B13,-1,0),F505:OFFSET(F506,-1,0))</f>
        <v>0</v>
      </c>
      <c r="G504" s="210">
        <f ca="1">SUMPRODUCT($B12:OFFSET($B13,-1,0),G505:OFFSET(G506,-1,0))</f>
        <v>0</v>
      </c>
      <c r="H504" s="210">
        <f ca="1">SUMPRODUCT($B12:OFFSET($B13,-1,0),H505:OFFSET(H506,-1,0))</f>
        <v>0</v>
      </c>
      <c r="I504" s="210">
        <f ca="1">SUMPRODUCT($B12:OFFSET($B13,-1,0),I505:OFFSET(I506,-1,0))</f>
        <v>0</v>
      </c>
      <c r="J504" s="210">
        <f ca="1">SUMPRODUCT($B12:OFFSET($B13,-1,0),J505:OFFSET(J506,-1,0))</f>
        <v>0</v>
      </c>
      <c r="K504" s="210">
        <f ca="1">SUMPRODUCT($B12:OFFSET($B13,-1,0),K505:OFFSET(K506,-1,0))</f>
        <v>0</v>
      </c>
      <c r="M504" s="11"/>
    </row>
    <row r="505" spans="1:13" s="181" customFormat="1" hidden="1" outlineLevel="2" x14ac:dyDescent="0.2">
      <c r="A505" s="181" t="str">
        <f>"        " &amp; A12</f>
        <v xml:space="preserve">        Наименование проекта</v>
      </c>
      <c r="C505" s="209" t="str">
        <f t="shared" ca="1" si="41"/>
        <v>руб.</v>
      </c>
      <c r="D505" s="90" t="str">
        <f>"[" &amp; F12 &amp; "];int_end"</f>
        <v>[Проект];int_end</v>
      </c>
      <c r="F505" s="94">
        <f ca="1">IF(F$33&lt;$B28,0,IF(F$33&gt;$C28,IF(LIFE_PRJ=1,E505,0),OFFSET(Проект!F$1427,0,1-$B28)))</f>
        <v>0</v>
      </c>
      <c r="G505" s="94">
        <f ca="1">IF(G$33&lt;$B28,0,IF(G$33&gt;$C28,IF(LIFE_PRJ=1,F505,0),OFFSET(Проект!G$1427,0,1-$B28)))</f>
        <v>0</v>
      </c>
      <c r="H505" s="94">
        <f ca="1">IF(H$33&lt;$B28,0,IF(H$33&gt;$C28,IF(LIFE_PRJ=1,G505,0),OFFSET(Проект!H$1427,0,1-$B28)))</f>
        <v>0</v>
      </c>
      <c r="I505" s="94">
        <f ca="1">IF(I$33&lt;$B28,0,IF(I$33&gt;$C28,IF(LIFE_PRJ=1,H505,0),OFFSET(Проект!I$1427,0,1-$B28)))</f>
        <v>0</v>
      </c>
      <c r="J505" s="94">
        <f ca="1">IF(J$33&lt;$B28,0,IF(J$33&gt;$C28,IF(LIFE_PRJ=1,I505,0),OFFSET(Проект!J$1427,0,1-$B28)))</f>
        <v>0</v>
      </c>
      <c r="K505" s="94">
        <f ca="1">IF(K$33&lt;$B28,0,IF(K$33&gt;$C28,IF(LIFE_PRJ=1,J505,0),OFFSET(Проект!K$1427,0,1-$B28)))</f>
        <v>0</v>
      </c>
    </row>
    <row r="506" spans="1:13" outlineLevel="1" collapsed="1" x14ac:dyDescent="0.2">
      <c r="A506" s="35" t="str">
        <f ca="1">Language!A$798</f>
        <v>Суммарный собственный капитал</v>
      </c>
      <c r="C506" s="5" t="str">
        <f t="shared" ca="1" si="41"/>
        <v>руб.</v>
      </c>
      <c r="D506" s="16" t="s">
        <v>2211</v>
      </c>
      <c r="F506" s="160">
        <f t="shared" ref="F506:J506" ca="1" si="44">F500+F502+F504</f>
        <v>13127500</v>
      </c>
      <c r="G506" s="160">
        <f t="shared" ca="1" si="44"/>
        <v>71215400</v>
      </c>
      <c r="H506" s="160">
        <f t="shared" ca="1" si="44"/>
        <v>162983700</v>
      </c>
      <c r="I506" s="160">
        <f t="shared" ca="1" si="44"/>
        <v>254652200</v>
      </c>
      <c r="J506" s="160">
        <f t="shared" ca="1" si="44"/>
        <v>346320700</v>
      </c>
      <c r="K506" s="160">
        <f t="shared" ref="K506" ca="1" si="45">K500+K502+K504</f>
        <v>437988033.33333331</v>
      </c>
      <c r="M506" s="11"/>
    </row>
    <row r="507" spans="1:13" s="181" customFormat="1" hidden="1" outlineLevel="2" x14ac:dyDescent="0.2">
      <c r="A507" s="181" t="str">
        <f>"        " &amp; A12</f>
        <v xml:space="preserve">        Наименование проекта</v>
      </c>
      <c r="C507" s="209" t="str">
        <f t="shared" ca="1" si="41"/>
        <v>руб.</v>
      </c>
      <c r="D507" s="90" t="str">
        <f>"[" &amp; F12 &amp; "];int_end"</f>
        <v>[Проект];int_end</v>
      </c>
      <c r="F507" s="94">
        <f ca="1">IF(F$33&lt;$B28,0,IF(F$33&gt;$C28,IF(LIFE_PRJ=1,E507,0),OFFSET(Проект!F$1428,0,1-$B28)))</f>
        <v>13127500</v>
      </c>
      <c r="G507" s="94">
        <f ca="1">IF(G$33&lt;$B28,0,IF(G$33&gt;$C28,IF(LIFE_PRJ=1,F507,0),OFFSET(Проект!G$1428,0,1-$B28)))</f>
        <v>71215400</v>
      </c>
      <c r="H507" s="94">
        <f ca="1">IF(H$33&lt;$B28,0,IF(H$33&gt;$C28,IF(LIFE_PRJ=1,G507,0),OFFSET(Проект!H$1428,0,1-$B28)))</f>
        <v>162983700</v>
      </c>
      <c r="I507" s="94">
        <f ca="1">IF(I$33&lt;$B28,0,IF(I$33&gt;$C28,IF(LIFE_PRJ=1,H507,0),OFFSET(Проект!I$1428,0,1-$B28)))</f>
        <v>254652200</v>
      </c>
      <c r="J507" s="94">
        <f ca="1">IF(J$33&lt;$B28,0,IF(J$33&gt;$C28,IF(LIFE_PRJ=1,I507,0),OFFSET(Проект!J$1428,0,1-$B28)))</f>
        <v>346320700</v>
      </c>
      <c r="K507" s="94">
        <f ca="1">IF(K$33&lt;$B28,0,IF(K$33&gt;$C28,IF(LIFE_PRJ=1,J507,0),OFFSET(Проект!K$1428,0,1-$B28)))</f>
        <v>437988033.33333331</v>
      </c>
    </row>
    <row r="508" spans="1:13" outlineLevel="1" x14ac:dyDescent="0.2">
      <c r="A508" s="35"/>
      <c r="F508" s="43"/>
      <c r="G508" s="43"/>
      <c r="H508" s="43"/>
      <c r="I508" s="43"/>
      <c r="J508" s="43"/>
      <c r="K508" s="43"/>
      <c r="M508" s="11"/>
    </row>
    <row r="509" spans="1:13" outlineLevel="1" collapsed="1" x14ac:dyDescent="0.2">
      <c r="A509" s="35" t="str">
        <f ca="1">Language!A$799</f>
        <v xml:space="preserve"> = ИТОГО ПАССИВОВ</v>
      </c>
      <c r="C509" s="5" t="str">
        <f ca="1">CUR_Report</f>
        <v>руб.</v>
      </c>
      <c r="D509" s="16" t="s">
        <v>2211</v>
      </c>
      <c r="F509" s="160">
        <f t="shared" ref="F509:J509" ca="1" si="46">F494+F497+F506</f>
        <v>20495000</v>
      </c>
      <c r="G509" s="160">
        <f t="shared" ca="1" si="46"/>
        <v>87421700</v>
      </c>
      <c r="H509" s="160">
        <f t="shared" ca="1" si="46"/>
        <v>185868800</v>
      </c>
      <c r="I509" s="160">
        <f t="shared" ca="1" si="46"/>
        <v>277636700</v>
      </c>
      <c r="J509" s="160">
        <f t="shared" ca="1" si="46"/>
        <v>369305200</v>
      </c>
      <c r="K509" s="160">
        <f t="shared" ref="K509" ca="1" si="47">K494+K497+K506</f>
        <v>460972533.33333331</v>
      </c>
      <c r="M509" s="22"/>
    </row>
    <row r="510" spans="1:13" s="181" customFormat="1" hidden="1" outlineLevel="2" x14ac:dyDescent="0.2">
      <c r="A510" s="181" t="str">
        <f>"        " &amp; A12</f>
        <v xml:space="preserve">        Наименование проекта</v>
      </c>
      <c r="C510" s="209" t="str">
        <f ca="1">CUR_Report</f>
        <v>руб.</v>
      </c>
      <c r="D510" s="90" t="str">
        <f>"[" &amp; F12 &amp; "];int_end"</f>
        <v>[Проект];int_end</v>
      </c>
      <c r="F510" s="94">
        <f ca="1">IF(F$33&lt;$B28,0,IF(F$33&gt;$C28,IF(LIFE_PRJ=1,E510,0),OFFSET(Проект!F$1430,0,1-$B28)))</f>
        <v>20495000</v>
      </c>
      <c r="G510" s="94">
        <f ca="1">IF(G$33&lt;$B28,0,IF(G$33&gt;$C28,IF(LIFE_PRJ=1,F510,0),OFFSET(Проект!G$1430,0,1-$B28)))</f>
        <v>87421700</v>
      </c>
      <c r="H510" s="94">
        <f ca="1">IF(H$33&lt;$B28,0,IF(H$33&gt;$C28,IF(LIFE_PRJ=1,G510,0),OFFSET(Проект!H$1430,0,1-$B28)))</f>
        <v>185868800</v>
      </c>
      <c r="I510" s="94">
        <f ca="1">IF(I$33&lt;$B28,0,IF(I$33&gt;$C28,IF(LIFE_PRJ=1,H510,0),OFFSET(Проект!I$1430,0,1-$B28)))</f>
        <v>277636700</v>
      </c>
      <c r="J510" s="94">
        <f ca="1">IF(J$33&lt;$B28,0,IF(J$33&gt;$C28,IF(LIFE_PRJ=1,I510,0),OFFSET(Проект!J$1430,0,1-$B28)))</f>
        <v>369305200</v>
      </c>
      <c r="K510" s="94">
        <f ca="1">IF(K$33&lt;$B28,0,IF(K$33&gt;$C28,IF(LIFE_PRJ=1,J510,0),OFFSET(Проект!K$1430,0,1-$B28)))</f>
        <v>460972533.33333331</v>
      </c>
      <c r="M510" s="206"/>
    </row>
    <row r="511" spans="1:13" s="11" customFormat="1" outlineLevel="1" x14ac:dyDescent="0.2">
      <c r="A511" s="64" t="str">
        <f ca="1">Language!A$800</f>
        <v>Контроль сходимости баланса</v>
      </c>
      <c r="B511" s="146" t="str">
        <f ca="1">IF(OR(MAX(F511:L511)&lt;&gt;0,MIN(F511:L511)&lt;&gt;0),Language!A801,"")</f>
        <v/>
      </c>
      <c r="C511" s="64"/>
      <c r="D511" s="64"/>
      <c r="E511" s="64"/>
      <c r="F511" s="147">
        <f t="shared" ref="F511:J511" ca="1" si="48">IF(AND(0&lt;=ABS(F475-F509),ABS(F475-F509)&lt;=1),0,F475-F509)</f>
        <v>0</v>
      </c>
      <c r="G511" s="147">
        <f t="shared" ca="1" si="48"/>
        <v>0</v>
      </c>
      <c r="H511" s="147">
        <f t="shared" ca="1" si="48"/>
        <v>0</v>
      </c>
      <c r="I511" s="147">
        <f t="shared" ca="1" si="48"/>
        <v>0</v>
      </c>
      <c r="J511" s="147">
        <f t="shared" ca="1" si="48"/>
        <v>0</v>
      </c>
      <c r="K511" s="147">
        <f t="shared" ref="K511" ca="1" si="49">IF(AND(0&lt;=ABS(K475-K509),ABS(K475-K509)&lt;=1),0,K475-K509)</f>
        <v>0</v>
      </c>
      <c r="L511" s="64"/>
      <c r="M511" s="22"/>
    </row>
    <row r="512" spans="1:13" outlineLevel="1" x14ac:dyDescent="0.2"/>
    <row r="513" spans="1:1" outlineLevel="1" collapsed="1" x14ac:dyDescent="0.2">
      <c r="A513" s="11" t="str">
        <f ca="1">Language!A972</f>
        <v>График: Активы проектов</v>
      </c>
    </row>
    <row r="514" spans="1:1" hidden="1" outlineLevel="2" x14ac:dyDescent="0.2"/>
    <row r="515" spans="1:1" hidden="1" outlineLevel="2" x14ac:dyDescent="0.2"/>
    <row r="516" spans="1:1" hidden="1" outlineLevel="2" x14ac:dyDescent="0.2"/>
    <row r="517" spans="1:1" hidden="1" outlineLevel="2" x14ac:dyDescent="0.2"/>
    <row r="518" spans="1:1" hidden="1" outlineLevel="2" x14ac:dyDescent="0.2"/>
    <row r="519" spans="1:1" hidden="1" outlineLevel="2" x14ac:dyDescent="0.2"/>
    <row r="520" spans="1:1" hidden="1" outlineLevel="2" x14ac:dyDescent="0.2"/>
    <row r="521" spans="1:1" hidden="1" outlineLevel="2" x14ac:dyDescent="0.2"/>
    <row r="522" spans="1:1" hidden="1" outlineLevel="2" x14ac:dyDescent="0.2"/>
    <row r="523" spans="1:1" hidden="1" outlineLevel="2" x14ac:dyDescent="0.2"/>
    <row r="524" spans="1:1" hidden="1" outlineLevel="2" x14ac:dyDescent="0.2"/>
    <row r="525" spans="1:1" hidden="1" outlineLevel="2" x14ac:dyDescent="0.2"/>
    <row r="526" spans="1:1" hidden="1" outlineLevel="2" x14ac:dyDescent="0.2"/>
    <row r="527" spans="1:1" hidden="1" outlineLevel="2" x14ac:dyDescent="0.2"/>
    <row r="528" spans="1:1" hidden="1" outlineLevel="2" x14ac:dyDescent="0.2"/>
    <row r="529" spans="1:1" hidden="1" outlineLevel="2" x14ac:dyDescent="0.2"/>
    <row r="530" spans="1:1" hidden="1" outlineLevel="2" x14ac:dyDescent="0.2"/>
    <row r="531" spans="1:1" hidden="1" outlineLevel="2" x14ac:dyDescent="0.2"/>
    <row r="532" spans="1:1" hidden="1" outlineLevel="2" x14ac:dyDescent="0.2"/>
    <row r="533" spans="1:1" hidden="1" outlineLevel="2" x14ac:dyDescent="0.2"/>
    <row r="534" spans="1:1" hidden="1" outlineLevel="2" x14ac:dyDescent="0.2"/>
    <row r="535" spans="1:1" hidden="1" outlineLevel="2" x14ac:dyDescent="0.2"/>
    <row r="536" spans="1:1" hidden="1" outlineLevel="2" x14ac:dyDescent="0.2"/>
    <row r="537" spans="1:1" outlineLevel="1" x14ac:dyDescent="0.2"/>
    <row r="538" spans="1:1" outlineLevel="1" collapsed="1" x14ac:dyDescent="0.2">
      <c r="A538" s="11" t="str">
        <f ca="1">Language!A973</f>
        <v>График: Пассивы проектов</v>
      </c>
    </row>
    <row r="539" spans="1:1" hidden="1" outlineLevel="2" x14ac:dyDescent="0.2"/>
    <row r="540" spans="1:1" hidden="1" outlineLevel="2" x14ac:dyDescent="0.2"/>
    <row r="541" spans="1:1" hidden="1" outlineLevel="2" x14ac:dyDescent="0.2"/>
    <row r="542" spans="1:1" hidden="1" outlineLevel="2" x14ac:dyDescent="0.2"/>
    <row r="543" spans="1:1" hidden="1" outlineLevel="2" x14ac:dyDescent="0.2"/>
    <row r="544" spans="1:1" hidden="1" outlineLevel="2" x14ac:dyDescent="0.2"/>
    <row r="545" hidden="1" outlineLevel="2" x14ac:dyDescent="0.2"/>
    <row r="546" hidden="1" outlineLevel="2" x14ac:dyDescent="0.2"/>
    <row r="547" hidden="1" outlineLevel="2" x14ac:dyDescent="0.2"/>
    <row r="548" hidden="1" outlineLevel="2" x14ac:dyDescent="0.2"/>
    <row r="549" hidden="1" outlineLevel="2" x14ac:dyDescent="0.2"/>
    <row r="550" hidden="1" outlineLevel="2" x14ac:dyDescent="0.2"/>
    <row r="551" hidden="1" outlineLevel="2" x14ac:dyDescent="0.2"/>
    <row r="552" hidden="1" outlineLevel="2" x14ac:dyDescent="0.2"/>
    <row r="553" hidden="1" outlineLevel="2" x14ac:dyDescent="0.2"/>
    <row r="554" hidden="1" outlineLevel="2" x14ac:dyDescent="0.2"/>
    <row r="555" hidden="1" outlineLevel="2" x14ac:dyDescent="0.2"/>
    <row r="556" hidden="1" outlineLevel="2" x14ac:dyDescent="0.2"/>
    <row r="557" hidden="1" outlineLevel="2" x14ac:dyDescent="0.2"/>
    <row r="558" hidden="1" outlineLevel="2" x14ac:dyDescent="0.2"/>
    <row r="559" hidden="1" outlineLevel="2" x14ac:dyDescent="0.2"/>
    <row r="560" hidden="1" outlineLevel="2" x14ac:dyDescent="0.2"/>
    <row r="561" spans="1:13" hidden="1" outlineLevel="2" x14ac:dyDescent="0.2"/>
    <row r="562" spans="1:13" outlineLevel="1" x14ac:dyDescent="0.2"/>
    <row r="563" spans="1:13" outlineLevel="1" x14ac:dyDescent="0.2"/>
    <row r="564" spans="1:13" s="4" customFormat="1" ht="15.9" customHeight="1" thickBot="1" x14ac:dyDescent="0.25">
      <c r="A564" s="166" t="str">
        <f ca="1">Language!A974</f>
        <v xml:space="preserve">         СВОДНЫЕ ПОКАЗАТЕЛИ ФИНАНСОВОЙ СОСТОЯТЕЛЬНОСТИ</v>
      </c>
      <c r="B564" s="166"/>
      <c r="C564" s="166"/>
      <c r="D564" s="166"/>
      <c r="E564" s="166"/>
      <c r="F564" s="178" t="str">
        <f>IF(Проект!ShowRealDates,F36,F34)</f>
        <v>4/ 2020</v>
      </c>
      <c r="G564" s="178" t="str">
        <f>IF(Проект!ShowRealDates,G36,G34)</f>
        <v>5/ 2020</v>
      </c>
      <c r="H564" s="178" t="str">
        <f>IF(Проект!ShowRealDates,H36,H34)</f>
        <v>6/ 2020</v>
      </c>
      <c r="I564" s="178" t="str">
        <f>IF(Проект!ShowRealDates,I36,I34)</f>
        <v>7/ 2020</v>
      </c>
      <c r="J564" s="178" t="str">
        <f>IF(Проект!ShowRealDates,J36,J34)</f>
        <v>8/ 2020</v>
      </c>
      <c r="K564" s="178" t="str">
        <f>IF(Проект!ShowRealDates,K36,K34)</f>
        <v>9/ 2020</v>
      </c>
      <c r="L564" s="167"/>
      <c r="M564" s="110"/>
    </row>
    <row r="565" spans="1:13" ht="10.8" outlineLevel="1" thickTop="1" x14ac:dyDescent="0.2"/>
    <row r="566" spans="1:13" outlineLevel="1" x14ac:dyDescent="0.2">
      <c r="A566" t="str">
        <f ca="1">Language!A$805</f>
        <v>Рентабельность активов</v>
      </c>
      <c r="C566" s="17" t="s">
        <v>177</v>
      </c>
      <c r="D566" s="16" t="s">
        <v>176</v>
      </c>
      <c r="F566" s="158">
        <f t="shared" ref="F566:J566" ca="1" si="50">IF(F475&gt;0,F169/IF(F$33=PRJ_Len,F475,(F475+OFFSET(F475,0,1))/2)*360/PRJ_Step,"-")</f>
        <v>2.9194740017068721</v>
      </c>
      <c r="G566" s="158">
        <f t="shared" ca="1" si="50"/>
        <v>5.1012003710337535</v>
      </c>
      <c r="H566" s="158">
        <f t="shared" ca="1" si="50"/>
        <v>4.7517002495116021</v>
      </c>
      <c r="I566" s="158">
        <f t="shared" ca="1" si="50"/>
        <v>3.4006825033283516</v>
      </c>
      <c r="J566" s="158">
        <f t="shared" ca="1" si="50"/>
        <v>2.6497687601080639</v>
      </c>
      <c r="K566" s="158">
        <f t="shared" ref="K566" ca="1" si="51">IF(K475&gt;0,K169/IF(K$33=PRJ_Len,K475,(K475+OFFSET(K475,0,1))/2)*360/PRJ_Step,"-")</f>
        <v>2.3862766660862511</v>
      </c>
      <c r="M566" s="11"/>
    </row>
    <row r="567" spans="1:13" outlineLevel="1" x14ac:dyDescent="0.2">
      <c r="A567" t="str">
        <f ca="1">Language!A$806</f>
        <v>Рентабельность собственного капитала</v>
      </c>
      <c r="C567" s="17" t="s">
        <v>177</v>
      </c>
      <c r="D567" s="16" t="s">
        <v>176</v>
      </c>
      <c r="F567" s="158">
        <f t="shared" ref="F567:J567" ca="1" si="52">IF(F506&gt;0,F169/IF(F$33=PRJ_Len,F506,(F506+OFFSET(F506,0,1))/2)*360/PRJ_Step,"-")</f>
        <v>3.7354655815723672</v>
      </c>
      <c r="G567" s="158">
        <f t="shared" ca="1" si="52"/>
        <v>5.9526684773767276</v>
      </c>
      <c r="H567" s="158">
        <f t="shared" ca="1" si="52"/>
        <v>5.2735868731591324</v>
      </c>
      <c r="I567" s="158">
        <f t="shared" ca="1" si="52"/>
        <v>3.6608040063037786</v>
      </c>
      <c r="J567" s="158">
        <f t="shared" ca="1" si="52"/>
        <v>2.8050739542957195</v>
      </c>
      <c r="K567" s="158">
        <f t="shared" ref="K567" ca="1" si="53">IF(K506&gt;0,K169/IF(K$33=PRJ_Len,K506,(K506+OFFSET(K506,0,1))/2)*360/PRJ_Step,"-")</f>
        <v>2.5115024071053385</v>
      </c>
      <c r="M567" s="11"/>
    </row>
    <row r="568" spans="1:13" outlineLevel="1" x14ac:dyDescent="0.2">
      <c r="A568" t="str">
        <f ca="1">Language!A$807</f>
        <v>Рентабельность внеоборотных активов</v>
      </c>
      <c r="C568" s="17" t="s">
        <v>177</v>
      </c>
      <c r="D568" s="16" t="s">
        <v>176</v>
      </c>
      <c r="F568" s="158">
        <f t="shared" ref="F568:J568" ca="1" si="54">IF(F472&gt;0,F169/IF(F$33=PRJ_Len,F472,(F472+OFFSET(F472,0,1))/2)*360/PRJ_Step,"-")</f>
        <v>281.30357142857144</v>
      </c>
      <c r="G568" s="158">
        <f t="shared" ca="1" si="54"/>
        <v>1152.1566942148759</v>
      </c>
      <c r="H568" s="158">
        <f t="shared" ca="1" si="54"/>
        <v>1106.7533668341709</v>
      </c>
      <c r="I568" s="158">
        <f t="shared" ca="1" si="54"/>
        <v>800.01600000000008</v>
      </c>
      <c r="J568" s="158">
        <f t="shared" ca="1" si="54"/>
        <v>783.25900433157324</v>
      </c>
      <c r="K568" s="158">
        <f t="shared" ref="K568" ca="1" si="55">IF(K472&gt;0,K169/IF(K$33=PRJ_Len,K472,(K472+OFFSET(K472,0,1))/2)*360/PRJ_Step,"-")</f>
        <v>775.29049688711382</v>
      </c>
      <c r="M568" s="11"/>
    </row>
    <row r="569" spans="1:13" outlineLevel="1" x14ac:dyDescent="0.2">
      <c r="A569" t="str">
        <f ca="1">Language!A$808</f>
        <v>Прямые расходы к выручке от реализации</v>
      </c>
      <c r="C569" s="17" t="s">
        <v>177</v>
      </c>
      <c r="D569" s="16" t="s">
        <v>176</v>
      </c>
      <c r="F569" s="158">
        <f t="shared" ref="F569:J569" ca="1" si="56">IF(F124&gt;0,F126/F124,"-")</f>
        <v>1.8683333333333333E-2</v>
      </c>
      <c r="G569" s="158">
        <f t="shared" ca="1" si="56"/>
        <v>9.9071428571428574E-3</v>
      </c>
      <c r="H569" s="158">
        <f t="shared" ca="1" si="56"/>
        <v>8.2649999999999998E-3</v>
      </c>
      <c r="I569" s="158">
        <f t="shared" ca="1" si="56"/>
        <v>9.0966666666666661E-3</v>
      </c>
      <c r="J569" s="158">
        <f t="shared" ca="1" si="56"/>
        <v>9.0966666666666661E-3</v>
      </c>
      <c r="K569" s="158">
        <f t="shared" ref="K569" ca="1" si="57">IF(K124&gt;0,K126/K124,"-")</f>
        <v>9.1063888888888896E-3</v>
      </c>
      <c r="M569" s="11"/>
    </row>
    <row r="570" spans="1:13" outlineLevel="1" x14ac:dyDescent="0.2">
      <c r="A570" t="str">
        <f ca="1">Language!A$809</f>
        <v>Прибыльность продаж</v>
      </c>
      <c r="C570" s="17" t="s">
        <v>177</v>
      </c>
      <c r="D570" s="16" t="s">
        <v>176</v>
      </c>
      <c r="F570" s="158">
        <f t="shared" ref="F570:J570" ca="1" si="58">IF(F124&gt;0,F169/F124,"-")</f>
        <v>0.36465277777777777</v>
      </c>
      <c r="G570" s="158">
        <f t="shared" ca="1" si="58"/>
        <v>0.69152261904761902</v>
      </c>
      <c r="H570" s="158">
        <f t="shared" ca="1" si="58"/>
        <v>0.76473583333333328</v>
      </c>
      <c r="I570" s="158">
        <f t="shared" ca="1" si="58"/>
        <v>0.76390416666666672</v>
      </c>
      <c r="J570" s="158">
        <f t="shared" ca="1" si="58"/>
        <v>0.76390416666666672</v>
      </c>
      <c r="K570" s="158">
        <f t="shared" ref="K570" ca="1" si="59">IF(K124&gt;0,K169/K124,"-")</f>
        <v>0.76389444444444443</v>
      </c>
      <c r="M570" s="11"/>
    </row>
    <row r="571" spans="1:13" outlineLevel="1" x14ac:dyDescent="0.2">
      <c r="M571" s="11"/>
    </row>
    <row r="572" spans="1:13" outlineLevel="1" x14ac:dyDescent="0.2">
      <c r="A572" s="119" t="str">
        <f ca="1">Language!A$810</f>
        <v>Доля постоянных  затрат</v>
      </c>
      <c r="C572" s="17" t="s">
        <v>177</v>
      </c>
      <c r="D572" s="16" t="s">
        <v>176</v>
      </c>
      <c r="F572" s="291">
        <f t="shared" ref="F572:J572" ca="1" si="60">IF((F126+F143+F145+F147+F149+F151)&gt;0,(F133+F135+F137+F139+F143+F145+F147+F149+F151)/(F126+F143+F145+F147+F149+F151),0)</f>
        <v>1</v>
      </c>
      <c r="G572" s="291">
        <f t="shared" ca="1" si="60"/>
        <v>1</v>
      </c>
      <c r="H572" s="291">
        <f t="shared" ca="1" si="60"/>
        <v>1</v>
      </c>
      <c r="I572" s="291">
        <f t="shared" ca="1" si="60"/>
        <v>1</v>
      </c>
      <c r="J572" s="291">
        <f t="shared" ca="1" si="60"/>
        <v>1</v>
      </c>
      <c r="K572" s="291">
        <f t="shared" ref="K572" ca="1" si="61">IF((K126+K143+K145+K147+K149+K151)&gt;0,(K133+K135+K137+K139+K143+K145+K147+K149+K151)/(K126+K143+K145+K147+K149+K151),0)</f>
        <v>1</v>
      </c>
      <c r="M572" s="11"/>
    </row>
    <row r="573" spans="1:13" outlineLevel="1" x14ac:dyDescent="0.2">
      <c r="A573" s="119" t="str">
        <f ca="1">Language!A$811</f>
        <v>Точка безубыточности</v>
      </c>
      <c r="C573" s="5" t="str">
        <f ca="1">CUR_Report</f>
        <v>руб.</v>
      </c>
      <c r="D573" s="16" t="s">
        <v>176</v>
      </c>
      <c r="F573" s="144">
        <f t="shared" ref="F573:J573" ca="1" si="62">IF((F124-(F126+F143+F145+F147+F149)*(1-F572))=0,"-",F572*(F126+F143+F145+F147+F149)/(F124-(F126+F143+F145+F147+F149)*(1-F572))*F124)</f>
        <v>20712500</v>
      </c>
      <c r="G573" s="144">
        <f t="shared" ca="1" si="62"/>
        <v>20872100</v>
      </c>
      <c r="H573" s="144">
        <f t="shared" ca="1" si="62"/>
        <v>21031700</v>
      </c>
      <c r="I573" s="144">
        <f t="shared" ca="1" si="62"/>
        <v>21131500</v>
      </c>
      <c r="J573" s="144">
        <f t="shared" ca="1" si="62"/>
        <v>21131500</v>
      </c>
      <c r="K573" s="144">
        <f t="shared" ref="K573" ca="1" si="63">IF((K124-(K126+K143+K145+K147+K149)*(1-K572))=0,"-",K572*(K126+K143+K145+K147+K149)/(K124-(K126+K143+K145+K147+K149)*(1-K572))*K124)</f>
        <v>21132666.666666668</v>
      </c>
      <c r="M573" s="11"/>
    </row>
    <row r="574" spans="1:13" outlineLevel="1" x14ac:dyDescent="0.2">
      <c r="A574" s="119" t="str">
        <f ca="1">Language!A$812</f>
        <v>"Запас прочности"</v>
      </c>
      <c r="C574" s="17" t="s">
        <v>177</v>
      </c>
      <c r="D574" s="16" t="s">
        <v>176</v>
      </c>
      <c r="F574" s="158">
        <f t="shared" ref="F574:J574" ca="1" si="64">IF(ISERR((F124-F573)/F124),"-",(F124-F573)/F124)</f>
        <v>0.42465277777777777</v>
      </c>
      <c r="G574" s="158">
        <f t="shared" ca="1" si="64"/>
        <v>0.75152261904761908</v>
      </c>
      <c r="H574" s="158">
        <f t="shared" ca="1" si="64"/>
        <v>0.82473583333333333</v>
      </c>
      <c r="I574" s="158">
        <f t="shared" ca="1" si="64"/>
        <v>0.82390416666666666</v>
      </c>
      <c r="J574" s="158">
        <f t="shared" ca="1" si="64"/>
        <v>0.82390416666666666</v>
      </c>
      <c r="K574" s="158">
        <f t="shared" ref="K574" ca="1" si="65">IF(ISERR((K124-K573)/K124),"-",(K124-K573)/K124)</f>
        <v>0.82389444444444437</v>
      </c>
      <c r="M574" s="11"/>
    </row>
    <row r="575" spans="1:13" outlineLevel="1" x14ac:dyDescent="0.2">
      <c r="M575" s="11"/>
    </row>
    <row r="576" spans="1:13" outlineLevel="1" x14ac:dyDescent="0.2">
      <c r="A576" t="str">
        <f ca="1">Language!A$813</f>
        <v>Рентабельность по EBITDA</v>
      </c>
      <c r="C576" s="17" t="s">
        <v>177</v>
      </c>
      <c r="D576" s="16" t="s">
        <v>176</v>
      </c>
      <c r="F576" s="61">
        <f t="shared" ref="F576:J576" ca="1" si="66">IF((F126+F143+F145+F147+F149)&gt;0,F173/(F126+F143+F145+F147+F149),"-")</f>
        <v>0.73808086904043457</v>
      </c>
      <c r="G576" s="61">
        <f t="shared" ca="1" si="66"/>
        <v>3.0245111895784325</v>
      </c>
      <c r="H576" s="61">
        <f t="shared" ca="1" si="66"/>
        <v>4.7056728652462709</v>
      </c>
      <c r="I576" s="61">
        <f t="shared" ca="1" si="66"/>
        <v>4.6796725267964883</v>
      </c>
      <c r="J576" s="61">
        <f t="shared" ca="1" si="66"/>
        <v>4.6796725267964883</v>
      </c>
      <c r="K576" s="61">
        <f t="shared" ref="K576" ca="1" si="67">IF((K126+K143+K145+K147+K149)&gt;0,K173/(K126+K143+K145+K147+K149),"-")</f>
        <v>4.6794141771033786</v>
      </c>
      <c r="M576" s="11"/>
    </row>
    <row r="577" spans="1:13" outlineLevel="1" x14ac:dyDescent="0.2">
      <c r="A577" t="str">
        <f ca="1">Language!A$814</f>
        <v>Рентабельность по EBIT</v>
      </c>
      <c r="C577" s="17" t="s">
        <v>177</v>
      </c>
      <c r="D577" s="16" t="s">
        <v>176</v>
      </c>
      <c r="F577" s="61">
        <f t="shared" ref="F577:J577" ca="1" si="68">IF((F126+F143+F145+F147+F149)&gt;0,F175/(F126+F143+F145+F147+F149),"-")</f>
        <v>0.73808086904043457</v>
      </c>
      <c r="G577" s="61">
        <f t="shared" ca="1" si="68"/>
        <v>3.0245111895784325</v>
      </c>
      <c r="H577" s="61">
        <f t="shared" ca="1" si="68"/>
        <v>4.7056728652462709</v>
      </c>
      <c r="I577" s="61">
        <f t="shared" ca="1" si="68"/>
        <v>4.67872607245108</v>
      </c>
      <c r="J577" s="61">
        <f t="shared" ca="1" si="68"/>
        <v>4.67872607245108</v>
      </c>
      <c r="K577" s="61">
        <f t="shared" ref="K577" ca="1" si="69">IF((K126+K143+K145+K147+K149)&gt;0,K175/(K126+K143+K145+K147+K149),"-")</f>
        <v>4.6784125682198168</v>
      </c>
      <c r="M577" s="11"/>
    </row>
    <row r="578" spans="1:13" outlineLevel="1" x14ac:dyDescent="0.2">
      <c r="A578" t="str">
        <f ca="1">Language!A$815</f>
        <v xml:space="preserve">Рентабельность по чистой прибыли </v>
      </c>
      <c r="C578" s="17" t="s">
        <v>177</v>
      </c>
      <c r="D578" s="16" t="s">
        <v>176</v>
      </c>
      <c r="F578" s="61">
        <f t="shared" ref="F578:J578" ca="1" si="70">IF((F126+F143+F145+F147+F149)&gt;0,F169/(F126+F143+F145+F147+F149),"-")</f>
        <v>0.63379601689800846</v>
      </c>
      <c r="G578" s="61">
        <f t="shared" ca="1" si="70"/>
        <v>2.7830405182037263</v>
      </c>
      <c r="H578" s="61">
        <f t="shared" ca="1" si="70"/>
        <v>4.3633324933314945</v>
      </c>
      <c r="I578" s="61">
        <f t="shared" ca="1" si="70"/>
        <v>4.3380025081040152</v>
      </c>
      <c r="J578" s="61">
        <f t="shared" ca="1" si="70"/>
        <v>4.3380025081040152</v>
      </c>
      <c r="K578" s="61">
        <f t="shared" ref="K578" ca="1" si="71">IF((K126+K143+K145+K147+K149)&gt;0,K169/(K126+K143+K145+K147+K149),"-")</f>
        <v>4.3377078141266283</v>
      </c>
      <c r="M578" s="11"/>
    </row>
    <row r="579" spans="1:13" outlineLevel="1" x14ac:dyDescent="0.2">
      <c r="M579" s="11"/>
    </row>
    <row r="580" spans="1:13" outlineLevel="1" x14ac:dyDescent="0.2">
      <c r="A580" t="str">
        <f ca="1">Language!A$816</f>
        <v>Эффективная ставка налога на прибыль</v>
      </c>
      <c r="B580" s="156"/>
      <c r="C580" s="5" t="s">
        <v>177</v>
      </c>
      <c r="D580" s="16" t="s">
        <v>176</v>
      </c>
      <c r="F580" s="163">
        <f t="shared" ref="F580:J580" ca="1" si="72">IF(F165&gt;0,F167/F165,0)</f>
        <v>0.14129190515126738</v>
      </c>
      <c r="G580" s="163">
        <f t="shared" ca="1" si="72"/>
        <v>7.9837916357109934E-2</v>
      </c>
      <c r="H580" s="163">
        <f t="shared" ca="1" si="72"/>
        <v>7.2750567605991009E-2</v>
      </c>
      <c r="I580" s="163">
        <f t="shared" ca="1" si="72"/>
        <v>7.2824003600742399E-2</v>
      </c>
      <c r="J580" s="163">
        <f t="shared" ca="1" si="72"/>
        <v>7.2824003600742399E-2</v>
      </c>
      <c r="K580" s="163">
        <f t="shared" ref="K580" ca="1" si="73">IF(K165&gt;0,K167/K165,0)</f>
        <v>7.2824862947653765E-2</v>
      </c>
      <c r="M580" s="11"/>
    </row>
    <row r="581" spans="1:13" outlineLevel="1" x14ac:dyDescent="0.2">
      <c r="M581" s="11"/>
    </row>
    <row r="582" spans="1:13" outlineLevel="1" x14ac:dyDescent="0.2">
      <c r="A582" t="str">
        <f ca="1">Language!A$817</f>
        <v>Коэффициент общей ликвидности</v>
      </c>
      <c r="C582" s="5" t="str">
        <f ca="1">Language!A$197</f>
        <v>разы</v>
      </c>
      <c r="D582" s="16" t="s">
        <v>176</v>
      </c>
      <c r="F582" s="164">
        <f t="shared" ref="F582:J582" ca="1" si="74">IF(F494&gt;0,F455/F494,"-")</f>
        <v>2.7085171360705802</v>
      </c>
      <c r="G582" s="164">
        <f t="shared" ca="1" si="74"/>
        <v>5.3585148985271163</v>
      </c>
      <c r="H582" s="164">
        <f t="shared" ca="1" si="74"/>
        <v>8.0942971627827696</v>
      </c>
      <c r="I582" s="164">
        <f t="shared" ca="1" si="74"/>
        <v>12.020130957819401</v>
      </c>
      <c r="J582" s="164">
        <f t="shared" ca="1" si="74"/>
        <v>16.007100437251189</v>
      </c>
      <c r="K582" s="164">
        <f t="shared" ref="K582" ca="1" si="75">IF(K494&gt;0,K455/K494,"-")</f>
        <v>19.994069916682982</v>
      </c>
      <c r="M582" s="11"/>
    </row>
    <row r="583" spans="1:13" outlineLevel="1" x14ac:dyDescent="0.2">
      <c r="A583" t="str">
        <f ca="1">Language!A$818</f>
        <v>Чистый оборотный капитал</v>
      </c>
      <c r="C583" s="5" t="str">
        <f ca="1">CUR_Report</f>
        <v>руб.</v>
      </c>
      <c r="D583" s="16" t="s">
        <v>176</v>
      </c>
      <c r="F583" s="131">
        <f t="shared" ref="F583:J583" ca="1" si="76">F455-F494</f>
        <v>12587500</v>
      </c>
      <c r="G583" s="131">
        <f t="shared" ca="1" si="76"/>
        <v>70635400</v>
      </c>
      <c r="H583" s="131">
        <f t="shared" ca="1" si="76"/>
        <v>162353699.99999997</v>
      </c>
      <c r="I583" s="131">
        <f t="shared" ca="1" si="76"/>
        <v>253292200</v>
      </c>
      <c r="J583" s="131">
        <f t="shared" ca="1" si="76"/>
        <v>344930700</v>
      </c>
      <c r="K583" s="131">
        <f t="shared" ref="K583" ca="1" si="77">K455-K494</f>
        <v>436569200</v>
      </c>
      <c r="M583" s="11"/>
    </row>
    <row r="584" spans="1:13" outlineLevel="1" x14ac:dyDescent="0.2">
      <c r="M584" s="11"/>
    </row>
    <row r="585" spans="1:13" outlineLevel="1" x14ac:dyDescent="0.2">
      <c r="A585" t="str">
        <f ca="1">Language!A$819</f>
        <v>Коэффициент общей платежеспособности</v>
      </c>
      <c r="C585" s="5" t="str">
        <f ca="1">Language!A$197</f>
        <v>разы</v>
      </c>
      <c r="D585" s="16" t="s">
        <v>176</v>
      </c>
      <c r="F585" s="164">
        <f t="shared" ref="F585:J585" ca="1" si="78">IF(F509&gt;0,F506/F509,"-")</f>
        <v>0.64052207855574528</v>
      </c>
      <c r="G585" s="164">
        <f t="shared" ca="1" si="78"/>
        <v>0.81461925357205367</v>
      </c>
      <c r="H585" s="164">
        <f t="shared" ca="1" si="78"/>
        <v>0.87687497847944351</v>
      </c>
      <c r="I585" s="164">
        <f t="shared" ca="1" si="78"/>
        <v>0.91721375452164644</v>
      </c>
      <c r="J585" s="164">
        <f t="shared" ca="1" si="78"/>
        <v>0.93776285847044671</v>
      </c>
      <c r="K585" s="164">
        <f t="shared" ref="K585" ca="1" si="79">IF(K509&gt;0,K506/K509,"-")</f>
        <v>0.95013911168677001</v>
      </c>
      <c r="M585" s="11"/>
    </row>
    <row r="586" spans="1:13" outlineLevel="1" x14ac:dyDescent="0.2">
      <c r="A586" t="str">
        <f ca="1">Language!A$820</f>
        <v>Коэффициент автономии</v>
      </c>
      <c r="C586" s="5" t="str">
        <f ca="1">Language!A$197</f>
        <v>разы</v>
      </c>
      <c r="D586" s="16" t="s">
        <v>176</v>
      </c>
      <c r="F586" s="164">
        <f t="shared" ref="F586:J586" ca="1" si="80">IF((F494+F497)&gt;0,F506/(F494+F497),"-")</f>
        <v>1.7818120122158128</v>
      </c>
      <c r="G586" s="164">
        <f t="shared" ca="1" si="80"/>
        <v>4.3943034498929432</v>
      </c>
      <c r="H586" s="164">
        <f t="shared" ca="1" si="80"/>
        <v>7.1218259915840436</v>
      </c>
      <c r="I586" s="164">
        <f t="shared" ca="1" si="80"/>
        <v>11.079301268245992</v>
      </c>
      <c r="J586" s="164">
        <f t="shared" ca="1" si="80"/>
        <v>15.067575975113664</v>
      </c>
      <c r="K586" s="164">
        <f t="shared" ref="K586" ca="1" si="81">IF((K494+K497)&gt;0,K506/(K494+K497),"-")</f>
        <v>19.055799923136604</v>
      </c>
      <c r="M586" s="11"/>
    </row>
    <row r="587" spans="1:13" outlineLevel="1" x14ac:dyDescent="0.2">
      <c r="A587" t="str">
        <f ca="1">Language!A$821</f>
        <v>Доля долгосрочных кредитов в валюте баланса</v>
      </c>
      <c r="C587" s="5" t="s">
        <v>177</v>
      </c>
      <c r="D587" s="16" t="s">
        <v>176</v>
      </c>
      <c r="F587" s="61">
        <f t="shared" ref="F587:J587" ca="1" si="82">IF(F509&gt;0,F497/F509,"-")</f>
        <v>0</v>
      </c>
      <c r="G587" s="61">
        <f t="shared" ca="1" si="82"/>
        <v>0</v>
      </c>
      <c r="H587" s="61">
        <f t="shared" ca="1" si="82"/>
        <v>0</v>
      </c>
      <c r="I587" s="61">
        <f t="shared" ca="1" si="82"/>
        <v>0</v>
      </c>
      <c r="J587" s="61">
        <f t="shared" ca="1" si="82"/>
        <v>0</v>
      </c>
      <c r="K587" s="61">
        <f t="shared" ref="K587" ca="1" si="83">IF(K509&gt;0,K497/K509,"-")</f>
        <v>0</v>
      </c>
      <c r="M587" s="11"/>
    </row>
    <row r="588" spans="1:13" outlineLevel="1" x14ac:dyDescent="0.2">
      <c r="A588" t="str">
        <f ca="1">Language!A$822</f>
        <v>Общий коэффициент покрытия долга</v>
      </c>
      <c r="C588" s="5" t="str">
        <f ca="1">Language!A$197</f>
        <v>разы</v>
      </c>
      <c r="D588" s="16" t="s">
        <v>176</v>
      </c>
      <c r="F588" s="164" t="str">
        <f t="shared" ref="F588:J588" ca="1" si="84">IF((-F317-F279)&gt;0,(F327-F317-F279)/(-F317-F279),"-")</f>
        <v>-</v>
      </c>
      <c r="G588" s="164" t="str">
        <f t="shared" ca="1" si="84"/>
        <v>-</v>
      </c>
      <c r="H588" s="164" t="str">
        <f t="shared" ca="1" si="84"/>
        <v>-</v>
      </c>
      <c r="I588" s="164" t="str">
        <f t="shared" ca="1" si="84"/>
        <v>-</v>
      </c>
      <c r="J588" s="164" t="str">
        <f t="shared" ca="1" si="84"/>
        <v>-</v>
      </c>
      <c r="K588" s="164" t="str">
        <f t="shared" ref="K588" ca="1" si="85">IF((-K317-K279)&gt;0,(K327-K317-K279)/(-K317-K279),"-")</f>
        <v>-</v>
      </c>
      <c r="M588" s="11"/>
    </row>
    <row r="589" spans="1:13" outlineLevel="1" x14ac:dyDescent="0.2">
      <c r="A589" t="str">
        <f ca="1">Language!A$823</f>
        <v>Покрытие процентов по кредитам</v>
      </c>
      <c r="C589" s="5" t="str">
        <f ca="1">Language!A$197</f>
        <v>разы</v>
      </c>
      <c r="D589" s="16" t="s">
        <v>176</v>
      </c>
      <c r="F589" s="213" t="str">
        <f t="shared" ref="F589:J589" ca="1" si="86">IF(F151&gt;0,(F165+F151)/F151,"-")</f>
        <v>-</v>
      </c>
      <c r="G589" s="213" t="str">
        <f t="shared" ca="1" si="86"/>
        <v>-</v>
      </c>
      <c r="H589" s="213" t="str">
        <f t="shared" ca="1" si="86"/>
        <v>-</v>
      </c>
      <c r="I589" s="213" t="str">
        <f t="shared" ca="1" si="86"/>
        <v>-</v>
      </c>
      <c r="J589" s="213" t="str">
        <f t="shared" ca="1" si="86"/>
        <v>-</v>
      </c>
      <c r="K589" s="213" t="str">
        <f t="shared" ref="K589" ca="1" si="87">IF(K151&gt;0,(K165+K151)/K151,"-")</f>
        <v>-</v>
      </c>
      <c r="M589" s="11"/>
    </row>
    <row r="590" spans="1:13" outlineLevel="1" x14ac:dyDescent="0.2">
      <c r="A590" s="63"/>
      <c r="B590" s="63"/>
      <c r="C590" s="63"/>
      <c r="D590" s="63"/>
      <c r="E590" s="63"/>
      <c r="F590" s="63"/>
      <c r="G590" s="63"/>
      <c r="H590" s="63"/>
      <c r="I590" s="63"/>
      <c r="J590" s="63"/>
      <c r="K590" s="63"/>
      <c r="L590" s="63"/>
      <c r="M590" s="11"/>
    </row>
    <row r="591" spans="1:13" outlineLevel="1" collapsed="1" x14ac:dyDescent="0.2">
      <c r="A591" s="22" t="str">
        <f ca="1">Language!A$824</f>
        <v>График: Рентабельность активов</v>
      </c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1"/>
    </row>
    <row r="592" spans="1:13" hidden="1" outlineLevel="2" x14ac:dyDescent="0.2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1"/>
    </row>
    <row r="593" spans="1:13" hidden="1" outlineLevel="2" x14ac:dyDescent="0.2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1"/>
    </row>
    <row r="594" spans="1:13" hidden="1" outlineLevel="2" x14ac:dyDescent="0.2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1"/>
    </row>
    <row r="595" spans="1:13" hidden="1" outlineLevel="2" x14ac:dyDescent="0.2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1"/>
    </row>
    <row r="596" spans="1:13" hidden="1" outlineLevel="2" x14ac:dyDescent="0.2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1"/>
    </row>
    <row r="597" spans="1:13" hidden="1" outlineLevel="2" x14ac:dyDescent="0.2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1"/>
    </row>
    <row r="598" spans="1:13" hidden="1" outlineLevel="2" x14ac:dyDescent="0.2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1"/>
    </row>
    <row r="599" spans="1:13" hidden="1" outlineLevel="2" x14ac:dyDescent="0.2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1"/>
    </row>
    <row r="600" spans="1:13" hidden="1" outlineLevel="2" x14ac:dyDescent="0.2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1"/>
    </row>
    <row r="601" spans="1:13" hidden="1" outlineLevel="2" x14ac:dyDescent="0.2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1"/>
    </row>
    <row r="602" spans="1:13" hidden="1" outlineLevel="2" x14ac:dyDescent="0.2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1"/>
    </row>
    <row r="603" spans="1:13" hidden="1" outlineLevel="2" x14ac:dyDescent="0.2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1"/>
    </row>
    <row r="604" spans="1:13" hidden="1" outlineLevel="2" x14ac:dyDescent="0.2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1"/>
    </row>
    <row r="605" spans="1:13" hidden="1" outlineLevel="2" x14ac:dyDescent="0.2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1"/>
    </row>
    <row r="606" spans="1:13" hidden="1" outlineLevel="2" x14ac:dyDescent="0.2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1"/>
    </row>
    <row r="607" spans="1:13" hidden="1" outlineLevel="2" x14ac:dyDescent="0.2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1"/>
    </row>
    <row r="608" spans="1:13" hidden="1" outlineLevel="2" x14ac:dyDescent="0.2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1"/>
    </row>
    <row r="609" spans="1:13" hidden="1" outlineLevel="2" x14ac:dyDescent="0.2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1"/>
    </row>
    <row r="610" spans="1:13" hidden="1" outlineLevel="2" x14ac:dyDescent="0.2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1"/>
    </row>
    <row r="611" spans="1:13" hidden="1" outlineLevel="2" x14ac:dyDescent="0.2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1"/>
    </row>
    <row r="612" spans="1:13" hidden="1" outlineLevel="2" x14ac:dyDescent="0.2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1"/>
    </row>
    <row r="613" spans="1:13" hidden="1" outlineLevel="2" x14ac:dyDescent="0.2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1"/>
    </row>
    <row r="614" spans="1:13" hidden="1" outlineLevel="2" x14ac:dyDescent="0.2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1"/>
    </row>
    <row r="615" spans="1:13" outlineLevel="1" x14ac:dyDescent="0.2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1"/>
    </row>
    <row r="616" spans="1:13" outlineLevel="1" collapsed="1" x14ac:dyDescent="0.2">
      <c r="A616" s="22" t="str">
        <f ca="1">Language!A$825</f>
        <v>График: Прибыльность продаж</v>
      </c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1"/>
    </row>
    <row r="617" spans="1:13" hidden="1" outlineLevel="2" x14ac:dyDescent="0.2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1"/>
    </row>
    <row r="618" spans="1:13" hidden="1" outlineLevel="2" x14ac:dyDescent="0.2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1"/>
    </row>
    <row r="619" spans="1:13" hidden="1" outlineLevel="2" x14ac:dyDescent="0.2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1"/>
    </row>
    <row r="620" spans="1:13" hidden="1" outlineLevel="2" x14ac:dyDescent="0.2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1"/>
    </row>
    <row r="621" spans="1:13" hidden="1" outlineLevel="2" x14ac:dyDescent="0.2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1"/>
    </row>
    <row r="622" spans="1:13" hidden="1" outlineLevel="2" x14ac:dyDescent="0.2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1"/>
    </row>
    <row r="623" spans="1:13" hidden="1" outlineLevel="2" x14ac:dyDescent="0.2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1"/>
    </row>
    <row r="624" spans="1:13" hidden="1" outlineLevel="2" x14ac:dyDescent="0.2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1"/>
    </row>
    <row r="625" spans="1:13" hidden="1" outlineLevel="2" x14ac:dyDescent="0.2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1"/>
    </row>
    <row r="626" spans="1:13" hidden="1" outlineLevel="2" x14ac:dyDescent="0.2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1"/>
    </row>
    <row r="627" spans="1:13" hidden="1" outlineLevel="2" x14ac:dyDescent="0.2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1"/>
    </row>
    <row r="628" spans="1:13" hidden="1" outlineLevel="2" x14ac:dyDescent="0.2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1"/>
    </row>
    <row r="629" spans="1:13" hidden="1" outlineLevel="2" x14ac:dyDescent="0.2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1"/>
    </row>
    <row r="630" spans="1:13" hidden="1" outlineLevel="2" x14ac:dyDescent="0.2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1"/>
    </row>
    <row r="631" spans="1:13" hidden="1" outlineLevel="2" x14ac:dyDescent="0.2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1"/>
    </row>
    <row r="632" spans="1:13" hidden="1" outlineLevel="2" x14ac:dyDescent="0.2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1"/>
    </row>
    <row r="633" spans="1:13" hidden="1" outlineLevel="2" x14ac:dyDescent="0.2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1"/>
    </row>
    <row r="634" spans="1:13" hidden="1" outlineLevel="2" x14ac:dyDescent="0.2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1"/>
    </row>
    <row r="635" spans="1:13" hidden="1" outlineLevel="2" x14ac:dyDescent="0.2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1"/>
    </row>
    <row r="636" spans="1:13" hidden="1" outlineLevel="2" x14ac:dyDescent="0.2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1"/>
    </row>
    <row r="637" spans="1:13" hidden="1" outlineLevel="2" x14ac:dyDescent="0.2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1"/>
    </row>
    <row r="638" spans="1:13" hidden="1" outlineLevel="2" x14ac:dyDescent="0.2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1"/>
    </row>
    <row r="639" spans="1:13" hidden="1" outlineLevel="2" x14ac:dyDescent="0.2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1"/>
    </row>
    <row r="640" spans="1:13" outlineLevel="1" x14ac:dyDescent="0.2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1"/>
    </row>
    <row r="641" spans="1:13" outlineLevel="1" collapsed="1" x14ac:dyDescent="0.2">
      <c r="A641" s="22" t="str">
        <f ca="1">Language!A$826</f>
        <v>График: Рентабельность по EBITDA</v>
      </c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1"/>
    </row>
    <row r="642" spans="1:13" hidden="1" outlineLevel="2" x14ac:dyDescent="0.2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1"/>
    </row>
    <row r="643" spans="1:13" hidden="1" outlineLevel="2" x14ac:dyDescent="0.2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1"/>
    </row>
    <row r="644" spans="1:13" hidden="1" outlineLevel="2" x14ac:dyDescent="0.2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1"/>
    </row>
    <row r="645" spans="1:13" hidden="1" outlineLevel="2" x14ac:dyDescent="0.2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1"/>
    </row>
    <row r="646" spans="1:13" hidden="1" outlineLevel="2" x14ac:dyDescent="0.2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1"/>
    </row>
    <row r="647" spans="1:13" hidden="1" outlineLevel="2" x14ac:dyDescent="0.2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1"/>
    </row>
    <row r="648" spans="1:13" hidden="1" outlineLevel="2" x14ac:dyDescent="0.2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1"/>
    </row>
    <row r="649" spans="1:13" hidden="1" outlineLevel="2" x14ac:dyDescent="0.2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1"/>
    </row>
    <row r="650" spans="1:13" hidden="1" outlineLevel="2" x14ac:dyDescent="0.2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1"/>
    </row>
    <row r="651" spans="1:13" hidden="1" outlineLevel="2" x14ac:dyDescent="0.2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1"/>
    </row>
    <row r="652" spans="1:13" hidden="1" outlineLevel="2" x14ac:dyDescent="0.2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1"/>
    </row>
    <row r="653" spans="1:13" hidden="1" outlineLevel="2" x14ac:dyDescent="0.2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1"/>
    </row>
    <row r="654" spans="1:13" hidden="1" outlineLevel="2" x14ac:dyDescent="0.2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1"/>
    </row>
    <row r="655" spans="1:13" hidden="1" outlineLevel="2" x14ac:dyDescent="0.2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1"/>
    </row>
    <row r="656" spans="1:13" hidden="1" outlineLevel="2" x14ac:dyDescent="0.2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1"/>
    </row>
    <row r="657" spans="1:13" hidden="1" outlineLevel="2" x14ac:dyDescent="0.2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1"/>
    </row>
    <row r="658" spans="1:13" hidden="1" outlineLevel="2" x14ac:dyDescent="0.2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1"/>
    </row>
    <row r="659" spans="1:13" hidden="1" outlineLevel="2" x14ac:dyDescent="0.2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1"/>
    </row>
    <row r="660" spans="1:13" hidden="1" outlineLevel="2" x14ac:dyDescent="0.2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1"/>
    </row>
    <row r="661" spans="1:13" hidden="1" outlineLevel="2" x14ac:dyDescent="0.2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1"/>
    </row>
    <row r="662" spans="1:13" hidden="1" outlineLevel="2" x14ac:dyDescent="0.2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1"/>
    </row>
    <row r="663" spans="1:13" hidden="1" outlineLevel="2" x14ac:dyDescent="0.2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1"/>
    </row>
    <row r="664" spans="1:13" hidden="1" outlineLevel="2" x14ac:dyDescent="0.2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1"/>
    </row>
    <row r="665" spans="1:13" outlineLevel="1" x14ac:dyDescent="0.2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1"/>
    </row>
    <row r="666" spans="1:13" outlineLevel="1" x14ac:dyDescent="0.2">
      <c r="M666" s="11"/>
    </row>
    <row r="667" spans="1:13" s="4" customFormat="1" ht="15.9" customHeight="1" thickBot="1" x14ac:dyDescent="0.25">
      <c r="A667" s="166" t="str">
        <f ca="1">Language!A$827</f>
        <v xml:space="preserve">         ЭФФЕКТИВНОСТЬ ПОЛНЫХ ИНВЕСТИЦИОННЫХ ЗАТРАТ</v>
      </c>
      <c r="B667" s="166"/>
      <c r="C667" s="166"/>
      <c r="D667" s="166"/>
      <c r="E667" s="166"/>
      <c r="F667" s="178" t="str">
        <f>IF(Проект!ShowRealDates,F36,F34)</f>
        <v>4/ 2020</v>
      </c>
      <c r="G667" s="178" t="str">
        <f>IF(Проект!ShowRealDates,G36,G34)</f>
        <v>5/ 2020</v>
      </c>
      <c r="H667" s="178" t="str">
        <f>IF(Проект!ShowRealDates,H36,H34)</f>
        <v>6/ 2020</v>
      </c>
      <c r="I667" s="178" t="str">
        <f>IF(Проект!ShowRealDates,I36,I34)</f>
        <v>7/ 2020</v>
      </c>
      <c r="J667" s="178" t="str">
        <f>IF(Проект!ShowRealDates,J36,J34)</f>
        <v>8/ 2020</v>
      </c>
      <c r="K667" s="178" t="str">
        <f>IF(Проект!ShowRealDates,K36,K34)</f>
        <v>9/ 2020</v>
      </c>
      <c r="L667" s="166"/>
      <c r="M667" s="167" t="str">
        <f ca="1">Language!A$371</f>
        <v>ИТОГО</v>
      </c>
    </row>
    <row r="668" spans="1:13" ht="10.8" outlineLevel="1" thickTop="1" x14ac:dyDescent="0.2">
      <c r="M668" s="11"/>
    </row>
    <row r="669" spans="1:13" outlineLevel="1" collapsed="1" x14ac:dyDescent="0.2">
      <c r="A669" s="23" t="str">
        <f ca="1">Language!A104</f>
        <v>Предполагаемый темп годового роста цен</v>
      </c>
      <c r="C669" s="5" t="s">
        <v>177</v>
      </c>
      <c r="D669" s="16" t="s">
        <v>176</v>
      </c>
      <c r="F669" s="257">
        <f>Проект!F80</f>
        <v>7.0000000000000007E-2</v>
      </c>
      <c r="G669" s="257">
        <f t="shared" ref="G669:K669" si="88">F669</f>
        <v>7.0000000000000007E-2</v>
      </c>
      <c r="H669" s="257">
        <f t="shared" si="88"/>
        <v>7.0000000000000007E-2</v>
      </c>
      <c r="I669" s="257">
        <f t="shared" si="88"/>
        <v>7.0000000000000007E-2</v>
      </c>
      <c r="J669" s="257">
        <f t="shared" si="88"/>
        <v>7.0000000000000007E-2</v>
      </c>
      <c r="K669" s="257">
        <f t="shared" si="88"/>
        <v>7.0000000000000007E-2</v>
      </c>
      <c r="M669" s="11"/>
    </row>
    <row r="670" spans="1:13" hidden="1" outlineLevel="2" x14ac:dyDescent="0.2">
      <c r="A670" t="str">
        <f ca="1">Language!A106</f>
        <v>То же, в пересчете на период, равный шагу проекта</v>
      </c>
      <c r="C670" s="5" t="s">
        <v>177</v>
      </c>
      <c r="D670" s="16" t="s">
        <v>176</v>
      </c>
      <c r="F670" s="30">
        <f t="shared" ref="F670:J670" si="89">POWER(1+F669,PRJ_Step/360)-1</f>
        <v>5.6541453874052738E-3</v>
      </c>
      <c r="G670" s="30">
        <f t="shared" si="89"/>
        <v>5.6541453874052738E-3</v>
      </c>
      <c r="H670" s="30">
        <f t="shared" si="89"/>
        <v>5.6541453874052738E-3</v>
      </c>
      <c r="I670" s="30">
        <f t="shared" si="89"/>
        <v>5.6541453874052738E-3</v>
      </c>
      <c r="J670" s="30">
        <f t="shared" si="89"/>
        <v>5.6541453874052738E-3</v>
      </c>
      <c r="K670" s="30">
        <f t="shared" ref="K670" si="90">POWER(1+K669,PRJ_Step/360)-1</f>
        <v>5.6541453874052738E-3</v>
      </c>
      <c r="M670" s="11"/>
    </row>
    <row r="671" spans="1:13" outlineLevel="1" x14ac:dyDescent="0.2">
      <c r="C671" s="5"/>
      <c r="D671" s="16"/>
      <c r="F671" s="30"/>
      <c r="G671" s="30"/>
      <c r="H671" s="30"/>
      <c r="I671" s="30"/>
      <c r="J671" s="30"/>
      <c r="K671" s="30"/>
      <c r="M671" s="11"/>
    </row>
    <row r="672" spans="1:13" outlineLevel="1" x14ac:dyDescent="0.2">
      <c r="A672" t="str">
        <f ca="1">Language!A$833</f>
        <v>Учитывать ранее осуществленные инвестиции</v>
      </c>
      <c r="B672" s="255">
        <v>2</v>
      </c>
      <c r="C672" s="36" t="str">
        <f ca="1">CHOOSE(B672,Language!A828,Language!A829)</f>
        <v>Нет</v>
      </c>
      <c r="M672" s="11"/>
    </row>
    <row r="673" spans="1:13" outlineLevel="1" x14ac:dyDescent="0.2">
      <c r="A673" t="str">
        <f ca="1">Language!A$834</f>
        <v>Учитывать остаточную стоимость проекта</v>
      </c>
      <c r="B673" s="255">
        <v>1</v>
      </c>
      <c r="C673" s="36" t="str">
        <f ca="1">CHOOSE(B673,Language!A$828,Language!A$829)</f>
        <v>Да</v>
      </c>
      <c r="M673" s="11"/>
    </row>
    <row r="674" spans="1:13" outlineLevel="1" collapsed="1" x14ac:dyDescent="0.2">
      <c r="A674" t="str">
        <f ca="1">Language!A$836</f>
        <v>Годовая ставка дисконтирования:</v>
      </c>
      <c r="B674" s="273">
        <f>Проект!SENS_Discount</f>
        <v>0.25</v>
      </c>
      <c r="C674" s="5" t="s">
        <v>177</v>
      </c>
      <c r="D674" s="16" t="s">
        <v>176</v>
      </c>
      <c r="F674" s="251">
        <f>$B$674</f>
        <v>0.25</v>
      </c>
      <c r="G674" s="251">
        <f t="shared" ref="G674:K674" si="91">F674</f>
        <v>0.25</v>
      </c>
      <c r="H674" s="251">
        <f t="shared" si="91"/>
        <v>0.25</v>
      </c>
      <c r="I674" s="251">
        <f t="shared" si="91"/>
        <v>0.25</v>
      </c>
      <c r="J674" s="251">
        <f t="shared" si="91"/>
        <v>0.25</v>
      </c>
      <c r="K674" s="251">
        <f t="shared" si="91"/>
        <v>0.25</v>
      </c>
      <c r="M674" s="11"/>
    </row>
    <row r="675" spans="1:13" hidden="1" outlineLevel="2" x14ac:dyDescent="0.2">
      <c r="A675" t="str">
        <f ca="1">Language!A$837</f>
        <v xml:space="preserve">    ставка дисконтирования на расчетный период</v>
      </c>
      <c r="D675" s="16" t="s">
        <v>176</v>
      </c>
      <c r="F675" s="251">
        <f t="shared" ref="F675:J675" si="92">POWER(1+F674,PRJ_Step/360)-1-IF(CalcMethod=1,F670,0)</f>
        <v>1.3115119734100844E-2</v>
      </c>
      <c r="G675" s="251">
        <f t="shared" si="92"/>
        <v>1.3115119734100844E-2</v>
      </c>
      <c r="H675" s="251">
        <f t="shared" si="92"/>
        <v>1.3115119734100844E-2</v>
      </c>
      <c r="I675" s="251">
        <f t="shared" si="92"/>
        <v>1.3115119734100844E-2</v>
      </c>
      <c r="J675" s="251">
        <f t="shared" si="92"/>
        <v>1.3115119734100844E-2</v>
      </c>
      <c r="K675" s="251">
        <f t="shared" ref="K675" si="93">POWER(1+K674,PRJ_Step/360)-1-IF(CalcMethod=1,K670,0)</f>
        <v>1.3115119734100844E-2</v>
      </c>
      <c r="M675" s="11"/>
    </row>
    <row r="676" spans="1:13" hidden="1" outlineLevel="2" x14ac:dyDescent="0.2">
      <c r="A676" t="str">
        <f ca="1">Language!A$838</f>
        <v xml:space="preserve">    коэффициент дисконта для потока на начало периода</v>
      </c>
      <c r="D676" s="16" t="s">
        <v>176</v>
      </c>
      <c r="F676" s="252">
        <v>1</v>
      </c>
      <c r="G676" s="252">
        <f t="shared" ref="G676:K676" si="94">F676*(1+F675)</f>
        <v>1.0131151197341008</v>
      </c>
      <c r="H676" s="252">
        <f t="shared" si="94"/>
        <v>1.0264022458338415</v>
      </c>
      <c r="I676" s="252">
        <f t="shared" si="94"/>
        <v>1.0398636341833023</v>
      </c>
      <c r="J676" s="252">
        <f t="shared" si="94"/>
        <v>1.0535015702527535</v>
      </c>
      <c r="K676" s="252">
        <f t="shared" si="94"/>
        <v>1.0673183694866817</v>
      </c>
      <c r="M676" s="11"/>
    </row>
    <row r="677" spans="1:13" outlineLevel="1" x14ac:dyDescent="0.2">
      <c r="F677" s="136"/>
      <c r="M677" s="11"/>
    </row>
    <row r="678" spans="1:13" outlineLevel="1" collapsed="1" x14ac:dyDescent="0.2">
      <c r="A678" s="23" t="str">
        <f ca="1">Language!A$840</f>
        <v>Учитываемые денежные потоки проекта:</v>
      </c>
      <c r="M678" s="11"/>
    </row>
    <row r="679" spans="1:13" hidden="1" outlineLevel="2" x14ac:dyDescent="0.2">
      <c r="A679" t="str">
        <f ca="1">Language!A$841</f>
        <v>Денежные потоки от операционной деятельности</v>
      </c>
      <c r="B679" s="36" t="str">
        <f ca="1">Language!A$828</f>
        <v>Да</v>
      </c>
      <c r="C679" s="5" t="str">
        <f t="shared" ref="C679:C689" ca="1" si="95">CUR_Report</f>
        <v>руб.</v>
      </c>
      <c r="F679" s="84">
        <f t="shared" ref="F679:J679" ca="1" si="96">F286+F313</f>
        <v>13127500</v>
      </c>
      <c r="G679" s="84">
        <f t="shared" ca="1" si="96"/>
        <v>58087900</v>
      </c>
      <c r="H679" s="84">
        <f t="shared" ca="1" si="96"/>
        <v>91768300</v>
      </c>
      <c r="I679" s="84">
        <f t="shared" ca="1" si="96"/>
        <v>91688500</v>
      </c>
      <c r="J679" s="84">
        <f t="shared" ca="1" si="96"/>
        <v>91688500</v>
      </c>
      <c r="K679" s="84">
        <f t="shared" ref="K679" ca="1" si="97">K286+K313</f>
        <v>91688500</v>
      </c>
      <c r="M679" s="54">
        <f ca="1">SUM(F679:K679)</f>
        <v>438049200</v>
      </c>
    </row>
    <row r="680" spans="1:13" hidden="1" outlineLevel="2" x14ac:dyDescent="0.2">
      <c r="A680" t="str">
        <f ca="1">Language!A$842</f>
        <v xml:space="preserve">    за исключением процентов по кредитам</v>
      </c>
      <c r="B680" s="36" t="str">
        <f ca="1">Language!A$828</f>
        <v>Да</v>
      </c>
      <c r="C680" s="5" t="str">
        <f t="shared" ca="1" si="95"/>
        <v>руб.</v>
      </c>
      <c r="D680" s="5"/>
      <c r="F680" s="53">
        <f t="shared" ref="F680:J680" ca="1" si="98">-F279</f>
        <v>0</v>
      </c>
      <c r="G680" s="53">
        <f t="shared" ca="1" si="98"/>
        <v>0</v>
      </c>
      <c r="H680" s="53">
        <f t="shared" ca="1" si="98"/>
        <v>0</v>
      </c>
      <c r="I680" s="53">
        <f t="shared" ca="1" si="98"/>
        <v>0</v>
      </c>
      <c r="J680" s="53">
        <f t="shared" ca="1" si="98"/>
        <v>0</v>
      </c>
      <c r="K680" s="53">
        <f t="shared" ref="K680" ca="1" si="99">-K279</f>
        <v>0</v>
      </c>
      <c r="M680" s="54">
        <f ca="1">SUM(F680:K680)</f>
        <v>0</v>
      </c>
    </row>
    <row r="681" spans="1:13" hidden="1" outlineLevel="2" x14ac:dyDescent="0.2">
      <c r="A681" t="str">
        <f ca="1">Language!A$843</f>
        <v>Денежные потоки от инвестиционной деятельности</v>
      </c>
      <c r="B681" s="36" t="str">
        <f ca="1">Language!A$828</f>
        <v>Да</v>
      </c>
      <c r="C681" s="5" t="str">
        <f t="shared" ca="1" si="95"/>
        <v>руб.</v>
      </c>
      <c r="D681" s="5"/>
      <c r="F681" s="53">
        <f t="shared" ref="F681:J681" ca="1" si="100">F306</f>
        <v>1994583.333333333</v>
      </c>
      <c r="G681" s="53">
        <f t="shared" ca="1" si="100"/>
        <v>8761560</v>
      </c>
      <c r="H681" s="53">
        <f t="shared" ca="1" si="100"/>
        <v>6591560</v>
      </c>
      <c r="I681" s="53">
        <f t="shared" ca="1" si="100"/>
        <v>-669220</v>
      </c>
      <c r="J681" s="53">
        <f t="shared" ca="1" si="100"/>
        <v>-50000</v>
      </c>
      <c r="K681" s="53">
        <f t="shared" ref="K681" ca="1" si="101">K306</f>
        <v>-50000</v>
      </c>
      <c r="M681" s="54">
        <f ca="1">SUM(F681:K681)</f>
        <v>16578483.333333332</v>
      </c>
    </row>
    <row r="682" spans="1:13" hidden="1" outlineLevel="2" x14ac:dyDescent="0.2">
      <c r="A682" t="str">
        <f ca="1">Language!A$844</f>
        <v>Поступления собственного капитала</v>
      </c>
      <c r="B682" s="36" t="str">
        <f ca="1">Language!A$829</f>
        <v>Нет</v>
      </c>
      <c r="C682" s="5" t="str">
        <f t="shared" ca="1" si="95"/>
        <v>руб.</v>
      </c>
      <c r="D682" s="5"/>
      <c r="M682" s="11"/>
    </row>
    <row r="683" spans="1:13" hidden="1" outlineLevel="2" x14ac:dyDescent="0.2">
      <c r="A683" t="str">
        <f ca="1">Language!A$845</f>
        <v>Поступления целевого финансирования</v>
      </c>
      <c r="B683" s="36" t="str">
        <f ca="1">Language!A$829</f>
        <v>Нет</v>
      </c>
      <c r="C683" s="5" t="str">
        <f t="shared" ca="1" si="95"/>
        <v>руб.</v>
      </c>
      <c r="D683" s="5"/>
      <c r="M683" s="11"/>
    </row>
    <row r="684" spans="1:13" hidden="1" outlineLevel="2" x14ac:dyDescent="0.2">
      <c r="A684" t="str">
        <f ca="1">Language!A$846</f>
        <v>Поступления кредитов</v>
      </c>
      <c r="B684" s="36" t="str">
        <f ca="1">Language!A$829</f>
        <v>Нет</v>
      </c>
      <c r="C684" s="5" t="str">
        <f t="shared" ca="1" si="95"/>
        <v>руб.</v>
      </c>
      <c r="D684" s="5"/>
      <c r="M684" s="11"/>
    </row>
    <row r="685" spans="1:13" hidden="1" outlineLevel="2" x14ac:dyDescent="0.2">
      <c r="A685" t="str">
        <f ca="1">Language!A$847</f>
        <v>Возврат кредитов</v>
      </c>
      <c r="B685" s="36" t="str">
        <f ca="1">Language!A$829</f>
        <v>Нет</v>
      </c>
      <c r="C685" s="5" t="str">
        <f t="shared" ca="1" si="95"/>
        <v>руб.</v>
      </c>
      <c r="D685" s="5"/>
      <c r="M685" s="11"/>
    </row>
    <row r="686" spans="1:13" hidden="1" outlineLevel="2" x14ac:dyDescent="0.2">
      <c r="A686" t="str">
        <f ca="1">Language!A$848</f>
        <v>Лизинговые платежи</v>
      </c>
      <c r="B686" s="36" t="str">
        <f ca="1">Language!A$828</f>
        <v>Да</v>
      </c>
      <c r="C686" s="5" t="str">
        <f t="shared" ca="1" si="95"/>
        <v>руб.</v>
      </c>
      <c r="D686" s="5"/>
      <c r="F686" s="53">
        <f t="shared" ref="F686:J686" ca="1" si="102">F319</f>
        <v>0</v>
      </c>
      <c r="G686" s="53">
        <f t="shared" ca="1" si="102"/>
        <v>0</v>
      </c>
      <c r="H686" s="53">
        <f t="shared" ca="1" si="102"/>
        <v>0</v>
      </c>
      <c r="I686" s="53">
        <f t="shared" ca="1" si="102"/>
        <v>0</v>
      </c>
      <c r="J686" s="53">
        <f t="shared" ca="1" si="102"/>
        <v>0</v>
      </c>
      <c r="K686" s="53">
        <f t="shared" ref="K686" ca="1" si="103">K319</f>
        <v>0</v>
      </c>
      <c r="M686" s="54">
        <f ca="1">SUM(F686:K686)</f>
        <v>0</v>
      </c>
    </row>
    <row r="687" spans="1:13" hidden="1" outlineLevel="2" x14ac:dyDescent="0.2">
      <c r="A687" t="str">
        <f ca="1">Language!A$849</f>
        <v>Выплата дивидендов</v>
      </c>
      <c r="B687" s="36" t="str">
        <f ca="1">Language!A$829</f>
        <v>Нет</v>
      </c>
      <c r="C687" s="5" t="str">
        <f t="shared" ca="1" si="95"/>
        <v>руб.</v>
      </c>
      <c r="D687" s="5"/>
      <c r="M687" s="11"/>
    </row>
    <row r="688" spans="1:13" hidden="1" outlineLevel="2" x14ac:dyDescent="0.2">
      <c r="A688" t="str">
        <f ca="1">Language!A$850</f>
        <v>Ранее осуществленные инвестиции</v>
      </c>
      <c r="B688" s="36" t="str">
        <f ca="1">CHOOSE(B672,Language!A828,Language!A829)</f>
        <v>Нет</v>
      </c>
      <c r="C688" s="5" t="str">
        <f t="shared" ca="1" si="95"/>
        <v>руб.</v>
      </c>
      <c r="D688" s="5"/>
      <c r="F688" s="53">
        <f t="shared" ref="F688:J688" si="104">IF($B672=1,-F112,0)</f>
        <v>0</v>
      </c>
      <c r="G688" s="53">
        <f t="shared" si="104"/>
        <v>0</v>
      </c>
      <c r="H688" s="53">
        <f t="shared" si="104"/>
        <v>0</v>
      </c>
      <c r="I688" s="53">
        <f t="shared" si="104"/>
        <v>0</v>
      </c>
      <c r="J688" s="53">
        <f t="shared" si="104"/>
        <v>0</v>
      </c>
      <c r="K688" s="53">
        <f t="shared" ref="K688" si="105">IF($B672=1,-K112,0)</f>
        <v>0</v>
      </c>
      <c r="M688" s="54">
        <f>SUM(F688:K688)</f>
        <v>0</v>
      </c>
    </row>
    <row r="689" spans="1:13" hidden="1" outlineLevel="2" x14ac:dyDescent="0.2">
      <c r="A689" t="str">
        <f ca="1">Language!A$851</f>
        <v>Остаточная стоимость проекта</v>
      </c>
      <c r="B689" s="36" t="str">
        <f ca="1">CHOOSE(B673,Language!A$828,Language!A$829)</f>
        <v>Да</v>
      </c>
      <c r="C689" s="5" t="str">
        <f t="shared" ca="1" si="95"/>
        <v>руб.</v>
      </c>
      <c r="D689" s="5"/>
      <c r="F689" s="111">
        <f t="shared" ref="F689:J689" si="106">IF($B673=1,IF(F$33=PRJ_Len,F$506-F$437,0),0)</f>
        <v>0</v>
      </c>
      <c r="G689" s="111">
        <f t="shared" si="106"/>
        <v>0</v>
      </c>
      <c r="H689" s="111">
        <f t="shared" si="106"/>
        <v>0</v>
      </c>
      <c r="I689" s="111">
        <f t="shared" si="106"/>
        <v>0</v>
      </c>
      <c r="J689" s="111">
        <f t="shared" si="106"/>
        <v>0</v>
      </c>
      <c r="K689" s="111">
        <f t="shared" ref="K689" ca="1" si="107">IF($B673=1,IF(K$33=PRJ_Len,K$506-K$437,0),0)</f>
        <v>-21565666.666666687</v>
      </c>
      <c r="M689" s="54">
        <f ca="1">SUM(F689:K689)</f>
        <v>-21565666.666666687</v>
      </c>
    </row>
    <row r="690" spans="1:13" hidden="1" outlineLevel="2" x14ac:dyDescent="0.2">
      <c r="A690" s="63"/>
      <c r="B690" s="63"/>
      <c r="C690" s="67"/>
      <c r="D690" s="67"/>
      <c r="E690" s="63"/>
      <c r="F690" s="140"/>
      <c r="G690" s="140"/>
      <c r="H690" s="140"/>
      <c r="I690" s="140"/>
      <c r="J690" s="140"/>
      <c r="K690" s="140"/>
      <c r="L690" s="140"/>
      <c r="M690" s="161"/>
    </row>
    <row r="691" spans="1:13" hidden="1" outlineLevel="2" x14ac:dyDescent="0.2">
      <c r="A691" s="24" t="str">
        <f ca="1">Language!A$852</f>
        <v>Чистый денежный поток</v>
      </c>
      <c r="B691" s="24"/>
      <c r="C691" s="5" t="str">
        <f ca="1">CUR_Report</f>
        <v>руб.</v>
      </c>
      <c r="D691" s="115"/>
      <c r="E691" s="24"/>
      <c r="F691" s="162">
        <f t="shared" ref="F691:J691" ca="1" si="108">F681+F689+F679+F680+F686+F688</f>
        <v>15122083.333333332</v>
      </c>
      <c r="G691" s="162">
        <f t="shared" ca="1" si="108"/>
        <v>66849460</v>
      </c>
      <c r="H691" s="162">
        <f t="shared" ca="1" si="108"/>
        <v>98359860</v>
      </c>
      <c r="I691" s="162">
        <f t="shared" ca="1" si="108"/>
        <v>91019280</v>
      </c>
      <c r="J691" s="162">
        <f t="shared" ca="1" si="108"/>
        <v>91638500</v>
      </c>
      <c r="K691" s="162">
        <f t="shared" ref="K691" ca="1" si="109">K681+K689+K679+K680+K686+K688</f>
        <v>70072833.333333313</v>
      </c>
      <c r="L691" s="24"/>
      <c r="M691" s="54">
        <f ca="1">SUM(F691:K691)</f>
        <v>433062016.66666663</v>
      </c>
    </row>
    <row r="692" spans="1:13" outlineLevel="1" x14ac:dyDescent="0.2">
      <c r="A692" t="str">
        <f ca="1">Language!A$853</f>
        <v>Дисконтированный чистый денежный поток</v>
      </c>
      <c r="C692" s="5" t="str">
        <f ca="1">CUR_Report</f>
        <v>руб.</v>
      </c>
      <c r="D692" s="5"/>
      <c r="F692" s="53">
        <f t="shared" ref="F692:J692" ca="1" si="110">F691/F676</f>
        <v>15122083.333333332</v>
      </c>
      <c r="G692" s="53">
        <f t="shared" ca="1" si="110"/>
        <v>65984071.008184254</v>
      </c>
      <c r="H692" s="53">
        <f t="shared" ca="1" si="110"/>
        <v>95829739.655424446</v>
      </c>
      <c r="I692" s="53">
        <f t="shared" ca="1" si="110"/>
        <v>87530015.482737377</v>
      </c>
      <c r="J692" s="53">
        <f t="shared" ca="1" si="110"/>
        <v>86984682.878084674</v>
      </c>
      <c r="K692" s="53">
        <f t="shared" ref="K692" ca="1" si="111">K691/K676</f>
        <v>65653169.041805483</v>
      </c>
      <c r="M692" s="54">
        <f ca="1">SUM(F692:K692)</f>
        <v>417103761.39956957</v>
      </c>
    </row>
    <row r="693" spans="1:13" outlineLevel="1" x14ac:dyDescent="0.2">
      <c r="A693" t="str">
        <f ca="1">Language!A$854</f>
        <v>Дисконтированный поток нарастающим итогом</v>
      </c>
      <c r="C693" s="5" t="str">
        <f ca="1">CUR_Report</f>
        <v>руб.</v>
      </c>
      <c r="D693" s="16" t="s">
        <v>384</v>
      </c>
      <c r="F693" s="106">
        <f t="shared" ref="F693:K693" ca="1" si="112">E693+F692</f>
        <v>15122083.333333332</v>
      </c>
      <c r="G693" s="106">
        <f t="shared" ca="1" si="112"/>
        <v>81106154.341517583</v>
      </c>
      <c r="H693" s="106">
        <f t="shared" ca="1" si="112"/>
        <v>176935893.99694204</v>
      </c>
      <c r="I693" s="106">
        <f t="shared" ca="1" si="112"/>
        <v>264465909.47967941</v>
      </c>
      <c r="J693" s="106">
        <f t="shared" ca="1" si="112"/>
        <v>351450592.35776407</v>
      </c>
      <c r="K693" s="106">
        <f t="shared" ca="1" si="112"/>
        <v>417103761.39956957</v>
      </c>
      <c r="M693" s="11"/>
    </row>
    <row r="694" spans="1:13" outlineLevel="1" x14ac:dyDescent="0.2">
      <c r="M694" s="11"/>
    </row>
    <row r="695" spans="1:13" outlineLevel="1" collapsed="1" x14ac:dyDescent="0.2">
      <c r="A695" s="23" t="str">
        <f ca="1">Language!A$855</f>
        <v>Простой срок окупаемости</v>
      </c>
      <c r="B695" s="164" t="str">
        <f ca="1">IF(ISERROR(E697),Language!A$829,IF(E697&gt;=PRJ_Len,Language!A$829,IF(OR(E697=0),E697*PRJ_Step/360,(E697-OFFSET(F696,0,E697-1)/(-OFFSET(F696,0,E697-1)+OFFSET(F696,0,E697)))*PRJ_Step/360)))</f>
        <v>Нет</v>
      </c>
      <c r="C695" s="17" t="str">
        <f ca="1">IF(B695=0,Language!A$33,IF(OR(B695&lt;1,AND(B695&gt;1,B695&lt;5)),Language!A$830,IF(B695=1,Language!A$37,Language!A$33)))</f>
        <v>лет</v>
      </c>
      <c r="M695" s="11"/>
    </row>
    <row r="696" spans="1:13" hidden="1" outlineLevel="2" x14ac:dyDescent="0.2">
      <c r="A696" t="str">
        <f ca="1">Language!A$856</f>
        <v xml:space="preserve">    недисконтированный поток нарастающим итогом</v>
      </c>
      <c r="D696" s="16" t="s">
        <v>384</v>
      </c>
      <c r="F696" s="53">
        <f t="shared" ref="F696:K696" ca="1" si="113">E696+F691</f>
        <v>15122083.333333332</v>
      </c>
      <c r="G696" s="53">
        <f t="shared" ca="1" si="113"/>
        <v>81971543.333333328</v>
      </c>
      <c r="H696" s="53">
        <f t="shared" ca="1" si="113"/>
        <v>180331403.33333331</v>
      </c>
      <c r="I696" s="53">
        <f t="shared" ca="1" si="113"/>
        <v>271350683.33333331</v>
      </c>
      <c r="J696" s="53">
        <f t="shared" ca="1" si="113"/>
        <v>362989183.33333331</v>
      </c>
      <c r="K696" s="53">
        <f t="shared" ca="1" si="113"/>
        <v>433062016.66666663</v>
      </c>
      <c r="M696" s="11"/>
    </row>
    <row r="697" spans="1:13" hidden="1" outlineLevel="2" x14ac:dyDescent="0.2">
      <c r="A697" t="str">
        <f ca="1">Language!A$857</f>
        <v xml:space="preserve">    знак остатка денежных средств</v>
      </c>
      <c r="D697" s="16" t="s">
        <v>384</v>
      </c>
      <c r="E697" s="101" t="e">
        <f ca="1">PRJ_Len+1-(MATCH(-1,F698:L698,0))</f>
        <v>#N/A</v>
      </c>
      <c r="F697" s="16">
        <f t="shared" ref="F697:J697" ca="1" si="114">SIGN(F696)</f>
        <v>1</v>
      </c>
      <c r="G697" s="16">
        <f t="shared" ca="1" si="114"/>
        <v>1</v>
      </c>
      <c r="H697" s="16">
        <f t="shared" ca="1" si="114"/>
        <v>1</v>
      </c>
      <c r="I697" s="16">
        <f t="shared" ca="1" si="114"/>
        <v>1</v>
      </c>
      <c r="J697" s="16">
        <f t="shared" ca="1" si="114"/>
        <v>1</v>
      </c>
      <c r="K697" s="16">
        <f t="shared" ref="K697" ca="1" si="115">SIGN(K696)</f>
        <v>1</v>
      </c>
      <c r="M697" s="11"/>
    </row>
    <row r="698" spans="1:13" hidden="1" outlineLevel="2" x14ac:dyDescent="0.2">
      <c r="A698" t="str">
        <f ca="1">Language!A$858</f>
        <v xml:space="preserve">    знак остатка денежных средств (с конца)</v>
      </c>
      <c r="D698" s="16" t="s">
        <v>384</v>
      </c>
      <c r="F698" s="101">
        <f t="shared" ref="F698:J698" ca="1" si="116">OFFSET(F697,0,PRJ_Len-F$33-F$33+1)</f>
        <v>1</v>
      </c>
      <c r="G698" s="101">
        <f t="shared" ca="1" si="116"/>
        <v>1</v>
      </c>
      <c r="H698" s="101">
        <f t="shared" ca="1" si="116"/>
        <v>1</v>
      </c>
      <c r="I698" s="101">
        <f t="shared" ca="1" si="116"/>
        <v>1</v>
      </c>
      <c r="J698" s="101">
        <f t="shared" ca="1" si="116"/>
        <v>1</v>
      </c>
      <c r="K698" s="101">
        <f t="shared" ref="K698" ca="1" si="117">OFFSET(K697,0,PRJ_Len-K$33-K$33+1)</f>
        <v>1</v>
      </c>
      <c r="M698" s="11"/>
    </row>
    <row r="699" spans="1:13" outlineLevel="1" x14ac:dyDescent="0.2">
      <c r="M699" s="11"/>
    </row>
    <row r="700" spans="1:13" outlineLevel="1" x14ac:dyDescent="0.2">
      <c r="A700" s="35" t="str">
        <f ca="1">Language!A$859</f>
        <v>Чистая приведенная стоимость (NPV)</v>
      </c>
      <c r="B700" s="151">
        <f ca="1">M692</f>
        <v>417103761.39956957</v>
      </c>
      <c r="C700" s="5" t="str">
        <f ca="1">CUR_Report</f>
        <v>руб.</v>
      </c>
      <c r="M700" s="11"/>
    </row>
    <row r="701" spans="1:13" outlineLevel="1" collapsed="1" x14ac:dyDescent="0.2">
      <c r="A701" s="35" t="str">
        <f ca="1">Language!A$860</f>
        <v>Дисконтированный срок окупаемости (PBP)</v>
      </c>
      <c r="B701" s="150" t="str">
        <f ca="1">IF(ISERROR(E702),Language!A$829,IF(E702&gt;=PRJ_Len,Language!A$829,IF(OR(E702=0),E702*PRJ_Step/360,(E702-OFFSET(F693,0,E702-1)/(-OFFSET(F693,0,E702-1)+OFFSET(F693,0,E702)))*PRJ_Step/360)))</f>
        <v>Нет</v>
      </c>
      <c r="C701" s="17" t="str">
        <f ca="1">IF(B701=0,Language!A$33,IF(OR(B701&lt;1,AND(B701&gt;1,B701&lt;5)),Language!A$830,IF(B701=1,Language!A$37,Language!A$33)))</f>
        <v>лет</v>
      </c>
      <c r="M701" s="11"/>
    </row>
    <row r="702" spans="1:13" hidden="1" outlineLevel="2" x14ac:dyDescent="0.2">
      <c r="A702" t="str">
        <f ca="1">Language!A$861</f>
        <v xml:space="preserve">    знак остатка дисконтированных денежных средств</v>
      </c>
      <c r="D702" s="16" t="s">
        <v>384</v>
      </c>
      <c r="E702" s="101" t="e">
        <f ca="1">PRJ_Len+1-(MATCH(-1,F703:L703,0))</f>
        <v>#N/A</v>
      </c>
      <c r="F702" s="16">
        <f t="shared" ref="F702:J702" ca="1" si="118">SIGN(F693)</f>
        <v>1</v>
      </c>
      <c r="G702" s="16">
        <f t="shared" ca="1" si="118"/>
        <v>1</v>
      </c>
      <c r="H702" s="16">
        <f t="shared" ca="1" si="118"/>
        <v>1</v>
      </c>
      <c r="I702" s="16">
        <f t="shared" ca="1" si="118"/>
        <v>1</v>
      </c>
      <c r="J702" s="16">
        <f t="shared" ca="1" si="118"/>
        <v>1</v>
      </c>
      <c r="K702" s="16">
        <f t="shared" ref="K702" ca="1" si="119">SIGN(K693)</f>
        <v>1</v>
      </c>
      <c r="M702" s="11"/>
    </row>
    <row r="703" spans="1:13" hidden="1" outlineLevel="2" x14ac:dyDescent="0.2">
      <c r="A703" t="str">
        <f ca="1">Language!A$862</f>
        <v xml:space="preserve">    знак остатка дисконтированных денежных средств (с конца)</v>
      </c>
      <c r="D703" s="16" t="s">
        <v>384</v>
      </c>
      <c r="F703" s="101">
        <f t="shared" ref="F703:J703" ca="1" si="120">OFFSET(F702,0,PRJ_Len-F$33-F$33+1)</f>
        <v>1</v>
      </c>
      <c r="G703" s="101">
        <f t="shared" ca="1" si="120"/>
        <v>1</v>
      </c>
      <c r="H703" s="101">
        <f t="shared" ca="1" si="120"/>
        <v>1</v>
      </c>
      <c r="I703" s="101">
        <f t="shared" ca="1" si="120"/>
        <v>1</v>
      </c>
      <c r="J703" s="101">
        <f t="shared" ca="1" si="120"/>
        <v>1</v>
      </c>
      <c r="K703" s="101">
        <f t="shared" ref="K703" ca="1" si="121">OFFSET(K702,0,PRJ_Len-K$33-K$33+1)</f>
        <v>1</v>
      </c>
      <c r="M703" s="11"/>
    </row>
    <row r="704" spans="1:13" outlineLevel="1" collapsed="1" x14ac:dyDescent="0.2">
      <c r="A704" s="130" t="str">
        <f ca="1">Language!A$863</f>
        <v>Внутренняя норма рентабельности (IRR)</v>
      </c>
      <c r="B704" s="152" t="str">
        <f ca="1">IF(ISERROR(E704),Language!A$829,IF(AND(E704&gt;0,E704&lt;100),E704,Language!A$829))</f>
        <v>Нет</v>
      </c>
      <c r="C704" s="216" t="str">
        <f ca="1">IF(CalcMethod=1,Language!A$831,Language!A$832)</f>
        <v>(реальная - без учета инфляции)</v>
      </c>
      <c r="E704" s="16" t="e">
        <f ca="1">(POWER(1+IRR(F705:K705,0.2*PRJ_Step/360),360/PRJ_Step)-1)</f>
        <v>#NUM!</v>
      </c>
      <c r="M704" s="11"/>
    </row>
    <row r="705" spans="1:13" s="48" customFormat="1" hidden="1" outlineLevel="2" x14ac:dyDescent="0.2">
      <c r="A705" s="24" t="str">
        <f ca="1">Language!A$852</f>
        <v>Чистый денежный поток</v>
      </c>
      <c r="B705" s="223"/>
      <c r="C705" s="216"/>
      <c r="E705" s="101"/>
      <c r="F705" s="65">
        <f t="shared" ref="F705:J705" ca="1" si="122">F691</f>
        <v>15122083.333333332</v>
      </c>
      <c r="G705" s="65">
        <f t="shared" ca="1" si="122"/>
        <v>66849460</v>
      </c>
      <c r="H705" s="65">
        <f t="shared" ca="1" si="122"/>
        <v>98359860</v>
      </c>
      <c r="I705" s="65">
        <f t="shared" ca="1" si="122"/>
        <v>91019280</v>
      </c>
      <c r="J705" s="65">
        <f t="shared" ca="1" si="122"/>
        <v>91638500</v>
      </c>
      <c r="K705" s="65">
        <f t="shared" ref="K705" ca="1" si="123">K691</f>
        <v>70072833.333333313</v>
      </c>
      <c r="M705" s="41"/>
    </row>
    <row r="706" spans="1:13" outlineLevel="1" collapsed="1" x14ac:dyDescent="0.2">
      <c r="A706" s="23" t="str">
        <f ca="1">Language!A$864</f>
        <v>Норма доходности дисконтированных затрат (PI)</v>
      </c>
      <c r="B706" s="309" t="str">
        <f ca="1">IF(M710&lt;0,M708/-M710,Language!A$829)</f>
        <v>Нет</v>
      </c>
      <c r="C706" s="5" t="str">
        <f ca="1">Language!A$197</f>
        <v>разы</v>
      </c>
      <c r="M706" s="11"/>
    </row>
    <row r="707" spans="1:13" hidden="1" outlineLevel="2" x14ac:dyDescent="0.2">
      <c r="A707" t="str">
        <f ca="1">Language!A$865</f>
        <v xml:space="preserve">    притоки</v>
      </c>
      <c r="C707" s="5" t="str">
        <f ca="1">CUR_Report</f>
        <v>руб.</v>
      </c>
      <c r="F707" s="43">
        <f t="shared" ref="F707:J707" ca="1" si="124">MAX(0,F691)</f>
        <v>15122083.333333332</v>
      </c>
      <c r="G707" s="43">
        <f t="shared" ca="1" si="124"/>
        <v>66849460</v>
      </c>
      <c r="H707" s="43">
        <f t="shared" ca="1" si="124"/>
        <v>98359860</v>
      </c>
      <c r="I707" s="43">
        <f t="shared" ca="1" si="124"/>
        <v>91019280</v>
      </c>
      <c r="J707" s="43">
        <f t="shared" ca="1" si="124"/>
        <v>91638500</v>
      </c>
      <c r="K707" s="43">
        <f t="shared" ref="K707" ca="1" si="125">MAX(0,K691)</f>
        <v>70072833.333333313</v>
      </c>
      <c r="M707" s="54">
        <f ca="1">SUM(F707:K707)</f>
        <v>433062016.66666663</v>
      </c>
    </row>
    <row r="708" spans="1:13" hidden="1" outlineLevel="2" x14ac:dyDescent="0.2">
      <c r="A708" t="str">
        <f ca="1">Language!A$866</f>
        <v xml:space="preserve">    дисконтированные притоки</v>
      </c>
      <c r="C708" s="5" t="str">
        <f ca="1">CUR_Report</f>
        <v>руб.</v>
      </c>
      <c r="F708" s="43">
        <f t="shared" ref="F708:J708" ca="1" si="126">F707/F676</f>
        <v>15122083.333333332</v>
      </c>
      <c r="G708" s="43">
        <f t="shared" ca="1" si="126"/>
        <v>65984071.008184254</v>
      </c>
      <c r="H708" s="43">
        <f t="shared" ca="1" si="126"/>
        <v>95829739.655424446</v>
      </c>
      <c r="I708" s="43">
        <f t="shared" ca="1" si="126"/>
        <v>87530015.482737377</v>
      </c>
      <c r="J708" s="43">
        <f t="shared" ca="1" si="126"/>
        <v>86984682.878084674</v>
      </c>
      <c r="K708" s="43">
        <f t="shared" ref="K708" ca="1" si="127">K707/K676</f>
        <v>65653169.041805483</v>
      </c>
      <c r="M708" s="54">
        <f ca="1">SUM(F708:K708)</f>
        <v>417103761.39956957</v>
      </c>
    </row>
    <row r="709" spans="1:13" hidden="1" outlineLevel="2" x14ac:dyDescent="0.2">
      <c r="A709" t="str">
        <f ca="1">Language!A$867</f>
        <v xml:space="preserve">    оттоки</v>
      </c>
      <c r="C709" s="5" t="str">
        <f ca="1">CUR_Report</f>
        <v>руб.</v>
      </c>
      <c r="F709" s="43">
        <f t="shared" ref="F709:J709" ca="1" si="128">MIN(0,F691)</f>
        <v>0</v>
      </c>
      <c r="G709" s="43">
        <f t="shared" ca="1" si="128"/>
        <v>0</v>
      </c>
      <c r="H709" s="43">
        <f t="shared" ca="1" si="128"/>
        <v>0</v>
      </c>
      <c r="I709" s="43">
        <f t="shared" ca="1" si="128"/>
        <v>0</v>
      </c>
      <c r="J709" s="43">
        <f t="shared" ca="1" si="128"/>
        <v>0</v>
      </c>
      <c r="K709" s="43">
        <f t="shared" ref="K709" ca="1" si="129">MIN(0,K691)</f>
        <v>0</v>
      </c>
      <c r="M709" s="54">
        <f ca="1">SUM(F709:K709)</f>
        <v>0</v>
      </c>
    </row>
    <row r="710" spans="1:13" hidden="1" outlineLevel="2" x14ac:dyDescent="0.2">
      <c r="A710" t="str">
        <f ca="1">Language!A$868</f>
        <v xml:space="preserve">    дисконтированные оттоки</v>
      </c>
      <c r="C710" s="5" t="str">
        <f ca="1">CUR_Report</f>
        <v>руб.</v>
      </c>
      <c r="F710" s="43">
        <f t="shared" ref="F710:J710" ca="1" si="130">F709/F676</f>
        <v>0</v>
      </c>
      <c r="G710" s="43">
        <f t="shared" ca="1" si="130"/>
        <v>0</v>
      </c>
      <c r="H710" s="43">
        <f t="shared" ca="1" si="130"/>
        <v>0</v>
      </c>
      <c r="I710" s="43">
        <f t="shared" ca="1" si="130"/>
        <v>0</v>
      </c>
      <c r="J710" s="43">
        <f t="shared" ca="1" si="130"/>
        <v>0</v>
      </c>
      <c r="K710" s="43">
        <f t="shared" ref="K710" ca="1" si="131">K709/K676</f>
        <v>0</v>
      </c>
      <c r="M710" s="54">
        <f ca="1">SUM(F710:K710)</f>
        <v>0</v>
      </c>
    </row>
    <row r="711" spans="1:13" outlineLevel="1" x14ac:dyDescent="0.2">
      <c r="F711" s="43"/>
      <c r="G711" s="43"/>
      <c r="H711" s="43"/>
      <c r="I711" s="43"/>
      <c r="J711" s="43"/>
      <c r="K711" s="43"/>
      <c r="M711" s="11"/>
    </row>
    <row r="712" spans="1:13" outlineLevel="1" x14ac:dyDescent="0.2">
      <c r="A712" s="23" t="str">
        <f ca="1">Language!A$869</f>
        <v>Модифицированная IRR (MIRR)</v>
      </c>
      <c r="B712" s="310" t="str">
        <f ca="1">IF(ISERROR(E712),Language!A$829,E712)</f>
        <v>Нет</v>
      </c>
      <c r="C712" s="5"/>
      <c r="E712" s="153" t="e">
        <f ca="1">(POWER(1+MIRR(F691:L691,POWER(1+B714,PRJ_Step/360)-1,POWER(1+B713,PRJ_Step/360)-1),360/PRJ_Step)-1)</f>
        <v>#DIV/0!</v>
      </c>
      <c r="F712" s="43"/>
      <c r="G712" s="43"/>
      <c r="H712" s="43"/>
      <c r="I712" s="43"/>
      <c r="J712" s="43"/>
      <c r="K712" s="43"/>
      <c r="M712" s="11"/>
    </row>
    <row r="713" spans="1:13" outlineLevel="1" x14ac:dyDescent="0.2">
      <c r="A713" t="str">
        <f ca="1">Language!A$870</f>
        <v>Ставка реинвестирования доходов</v>
      </c>
      <c r="B713" s="273">
        <f>B674</f>
        <v>0.25</v>
      </c>
      <c r="M713" s="11"/>
    </row>
    <row r="714" spans="1:13" outlineLevel="1" x14ac:dyDescent="0.2">
      <c r="A714" t="str">
        <f ca="1">Language!A$871</f>
        <v>Ставка дисконтирования инвестиционных затрат</v>
      </c>
      <c r="B714" s="273">
        <f>B674</f>
        <v>0.25</v>
      </c>
      <c r="M714" s="11"/>
    </row>
    <row r="715" spans="1:13" outlineLevel="1" x14ac:dyDescent="0.2">
      <c r="A715" s="63"/>
      <c r="B715" s="63"/>
      <c r="C715" s="63"/>
      <c r="D715" s="63"/>
      <c r="E715" s="63"/>
      <c r="F715" s="63"/>
      <c r="G715" s="63"/>
      <c r="H715" s="63"/>
      <c r="I715" s="63"/>
      <c r="J715" s="63"/>
      <c r="K715" s="63"/>
      <c r="L715" s="63"/>
      <c r="M715" s="204"/>
    </row>
    <row r="716" spans="1:13" outlineLevel="1" collapsed="1" x14ac:dyDescent="0.2">
      <c r="A716" s="11" t="str">
        <f ca="1">Language!A975</f>
        <v>График: Окупаемость проектов (для полных инвестиционных затрат)</v>
      </c>
    </row>
    <row r="717" spans="1:13" hidden="1" outlineLevel="2" x14ac:dyDescent="0.2"/>
    <row r="718" spans="1:13" hidden="1" outlineLevel="2" x14ac:dyDescent="0.2"/>
    <row r="719" spans="1:13" hidden="1" outlineLevel="2" x14ac:dyDescent="0.2"/>
    <row r="720" spans="1:13" hidden="1" outlineLevel="2" x14ac:dyDescent="0.2"/>
    <row r="721" hidden="1" outlineLevel="2" x14ac:dyDescent="0.2"/>
    <row r="722" hidden="1" outlineLevel="2" x14ac:dyDescent="0.2"/>
    <row r="723" hidden="1" outlineLevel="2" x14ac:dyDescent="0.2"/>
    <row r="724" hidden="1" outlineLevel="2" x14ac:dyDescent="0.2"/>
    <row r="725" hidden="1" outlineLevel="2" x14ac:dyDescent="0.2"/>
    <row r="726" hidden="1" outlineLevel="2" x14ac:dyDescent="0.2"/>
    <row r="727" hidden="1" outlineLevel="2" x14ac:dyDescent="0.2"/>
    <row r="728" hidden="1" outlineLevel="2" x14ac:dyDescent="0.2"/>
    <row r="729" hidden="1" outlineLevel="2" x14ac:dyDescent="0.2"/>
    <row r="730" hidden="1" outlineLevel="2" x14ac:dyDescent="0.2"/>
    <row r="731" hidden="1" outlineLevel="2" x14ac:dyDescent="0.2"/>
    <row r="732" hidden="1" outlineLevel="2" x14ac:dyDescent="0.2"/>
    <row r="733" hidden="1" outlineLevel="2" x14ac:dyDescent="0.2"/>
    <row r="734" hidden="1" outlineLevel="2" x14ac:dyDescent="0.2"/>
    <row r="735" hidden="1" outlineLevel="2" x14ac:dyDescent="0.2"/>
    <row r="736" hidden="1" outlineLevel="2" x14ac:dyDescent="0.2"/>
    <row r="737" spans="1:13" hidden="1" outlineLevel="2" x14ac:dyDescent="0.2"/>
    <row r="738" spans="1:13" hidden="1" outlineLevel="2" x14ac:dyDescent="0.2"/>
    <row r="739" spans="1:13" hidden="1" outlineLevel="2" x14ac:dyDescent="0.2"/>
    <row r="740" spans="1:13" outlineLevel="1" x14ac:dyDescent="0.2"/>
    <row r="741" spans="1:13" outlineLevel="1" x14ac:dyDescent="0.2"/>
    <row r="742" spans="1:13" s="4" customFormat="1" ht="15.9" customHeight="1" thickBot="1" x14ac:dyDescent="0.25">
      <c r="A742" s="166" t="str">
        <f ca="1">Language!A873</f>
        <v xml:space="preserve">         ЭФФЕКТИВНОСТЬ ДЛЯ СОБСТВЕННОГО КАПИТАЛА</v>
      </c>
      <c r="B742" s="166"/>
      <c r="C742" s="166"/>
      <c r="D742" s="166"/>
      <c r="E742" s="166"/>
      <c r="F742" s="178" t="str">
        <f>IF(Проект!ShowRealDates,F36,F34)</f>
        <v>4/ 2020</v>
      </c>
      <c r="G742" s="178" t="str">
        <f>IF(Проект!ShowRealDates,G36,G34)</f>
        <v>5/ 2020</v>
      </c>
      <c r="H742" s="178" t="str">
        <f>IF(Проект!ShowRealDates,H36,H34)</f>
        <v>6/ 2020</v>
      </c>
      <c r="I742" s="178" t="str">
        <f>IF(Проект!ShowRealDates,I36,I34)</f>
        <v>7/ 2020</v>
      </c>
      <c r="J742" s="178" t="str">
        <f>IF(Проект!ShowRealDates,J36,J34)</f>
        <v>8/ 2020</v>
      </c>
      <c r="K742" s="178" t="str">
        <f>IF(Проект!ShowRealDates,K36,K34)</f>
        <v>9/ 2020</v>
      </c>
      <c r="L742" s="166"/>
      <c r="M742" s="167" t="str">
        <f ca="1">Language!A$371</f>
        <v>ИТОГО</v>
      </c>
    </row>
    <row r="743" spans="1:13" ht="10.8" outlineLevel="1" thickTop="1" x14ac:dyDescent="0.2">
      <c r="M743" s="11"/>
    </row>
    <row r="744" spans="1:13" outlineLevel="1" collapsed="1" x14ac:dyDescent="0.2">
      <c r="A744" s="23" t="str">
        <f ca="1">Language!A104</f>
        <v>Предполагаемый темп годового роста цен</v>
      </c>
      <c r="C744" s="5" t="s">
        <v>177</v>
      </c>
      <c r="D744" s="16" t="s">
        <v>176</v>
      </c>
      <c r="F744" s="211">
        <f t="shared" ref="F744:J744" si="132">F669</f>
        <v>7.0000000000000007E-2</v>
      </c>
      <c r="G744" s="211">
        <f t="shared" si="132"/>
        <v>7.0000000000000007E-2</v>
      </c>
      <c r="H744" s="211">
        <f t="shared" si="132"/>
        <v>7.0000000000000007E-2</v>
      </c>
      <c r="I744" s="211">
        <f t="shared" si="132"/>
        <v>7.0000000000000007E-2</v>
      </c>
      <c r="J744" s="211">
        <f t="shared" si="132"/>
        <v>7.0000000000000007E-2</v>
      </c>
      <c r="K744" s="211">
        <f t="shared" ref="K744" si="133">K669</f>
        <v>7.0000000000000007E-2</v>
      </c>
      <c r="M744" s="11"/>
    </row>
    <row r="745" spans="1:13" hidden="1" outlineLevel="2" x14ac:dyDescent="0.2">
      <c r="A745" t="str">
        <f ca="1">Language!A106</f>
        <v>То же, в пересчете на период, равный шагу проекта</v>
      </c>
      <c r="C745" s="5" t="s">
        <v>177</v>
      </c>
      <c r="D745" s="16" t="s">
        <v>176</v>
      </c>
      <c r="F745" s="30">
        <f t="shared" ref="F745:J745" si="134">POWER(1+F744,PRJ_Step/360)-1</f>
        <v>5.6541453874052738E-3</v>
      </c>
      <c r="G745" s="30">
        <f t="shared" si="134"/>
        <v>5.6541453874052738E-3</v>
      </c>
      <c r="H745" s="30">
        <f t="shared" si="134"/>
        <v>5.6541453874052738E-3</v>
      </c>
      <c r="I745" s="30">
        <f t="shared" si="134"/>
        <v>5.6541453874052738E-3</v>
      </c>
      <c r="J745" s="30">
        <f t="shared" si="134"/>
        <v>5.6541453874052738E-3</v>
      </c>
      <c r="K745" s="30">
        <f t="shared" ref="K745" si="135">POWER(1+K744,PRJ_Step/360)-1</f>
        <v>5.6541453874052738E-3</v>
      </c>
      <c r="M745" s="11"/>
    </row>
    <row r="746" spans="1:13" outlineLevel="1" x14ac:dyDescent="0.2">
      <c r="M746" s="11"/>
    </row>
    <row r="747" spans="1:13" outlineLevel="1" x14ac:dyDescent="0.2">
      <c r="A747" t="str">
        <f ca="1">Language!A$833</f>
        <v>Учитывать ранее осуществленные инвестиции</v>
      </c>
      <c r="B747" s="255">
        <v>2</v>
      </c>
      <c r="C747" s="36" t="str">
        <f ca="1">CHOOSE(B747,Language!A828,Language!A829)</f>
        <v>Нет</v>
      </c>
      <c r="M747" s="11"/>
    </row>
    <row r="748" spans="1:13" outlineLevel="1" x14ac:dyDescent="0.2">
      <c r="A748" t="str">
        <f ca="1">Language!A$834</f>
        <v>Учитывать остаточную стоимость проекта</v>
      </c>
      <c r="B748" s="255">
        <v>1</v>
      </c>
      <c r="C748" s="36" t="str">
        <f ca="1">CHOOSE(B748,Language!A$828,Language!A$829)</f>
        <v>Да</v>
      </c>
      <c r="M748" s="11"/>
    </row>
    <row r="749" spans="1:13" outlineLevel="1" collapsed="1" x14ac:dyDescent="0.2">
      <c r="A749" t="str">
        <f ca="1">Language!A$836</f>
        <v>Годовая ставка дисконтирования:</v>
      </c>
      <c r="B749" s="273">
        <f>B674</f>
        <v>0.25</v>
      </c>
      <c r="C749" s="5" t="s">
        <v>177</v>
      </c>
      <c r="D749" s="16" t="s">
        <v>176</v>
      </c>
      <c r="F749" s="251">
        <f>B749</f>
        <v>0.25</v>
      </c>
      <c r="G749" s="251">
        <f t="shared" ref="G749:K749" si="136">F749</f>
        <v>0.25</v>
      </c>
      <c r="H749" s="251">
        <f t="shared" si="136"/>
        <v>0.25</v>
      </c>
      <c r="I749" s="251">
        <f t="shared" si="136"/>
        <v>0.25</v>
      </c>
      <c r="J749" s="251">
        <f t="shared" si="136"/>
        <v>0.25</v>
      </c>
      <c r="K749" s="251">
        <f t="shared" si="136"/>
        <v>0.25</v>
      </c>
      <c r="M749" s="11"/>
    </row>
    <row r="750" spans="1:13" hidden="1" outlineLevel="2" x14ac:dyDescent="0.2">
      <c r="A750" t="str">
        <f ca="1">Language!A$837</f>
        <v xml:space="preserve">    ставка дисконтирования на расчетный период</v>
      </c>
      <c r="D750" s="16" t="s">
        <v>176</v>
      </c>
      <c r="F750" s="251">
        <f t="shared" ref="F750:J750" si="137">POWER(1+F749,PRJ_Step/360)-1-IF(CalcMethod=1,F745,0)</f>
        <v>1.3115119734100844E-2</v>
      </c>
      <c r="G750" s="251">
        <f t="shared" si="137"/>
        <v>1.3115119734100844E-2</v>
      </c>
      <c r="H750" s="251">
        <f t="shared" si="137"/>
        <v>1.3115119734100844E-2</v>
      </c>
      <c r="I750" s="251">
        <f t="shared" si="137"/>
        <v>1.3115119734100844E-2</v>
      </c>
      <c r="J750" s="251">
        <f t="shared" si="137"/>
        <v>1.3115119734100844E-2</v>
      </c>
      <c r="K750" s="251">
        <f t="shared" ref="K750" si="138">POWER(1+K749,PRJ_Step/360)-1-IF(CalcMethod=1,K745,0)</f>
        <v>1.3115119734100844E-2</v>
      </c>
      <c r="M750" s="11"/>
    </row>
    <row r="751" spans="1:13" hidden="1" outlineLevel="2" x14ac:dyDescent="0.2">
      <c r="A751" t="str">
        <f ca="1">Language!A$838</f>
        <v xml:space="preserve">    коэффициент дисконта для потока на начало периода</v>
      </c>
      <c r="D751" s="16" t="s">
        <v>176</v>
      </c>
      <c r="F751" s="252">
        <v>1</v>
      </c>
      <c r="G751" s="252">
        <f t="shared" ref="G751:K751" si="139">F751*(1+F750)</f>
        <v>1.0131151197341008</v>
      </c>
      <c r="H751" s="252">
        <f t="shared" si="139"/>
        <v>1.0264022458338415</v>
      </c>
      <c r="I751" s="252">
        <f t="shared" si="139"/>
        <v>1.0398636341833023</v>
      </c>
      <c r="J751" s="252">
        <f t="shared" si="139"/>
        <v>1.0535015702527535</v>
      </c>
      <c r="K751" s="252">
        <f t="shared" si="139"/>
        <v>1.0673183694866817</v>
      </c>
      <c r="M751" s="11"/>
    </row>
    <row r="752" spans="1:13" outlineLevel="1" x14ac:dyDescent="0.2">
      <c r="M752" s="11"/>
    </row>
    <row r="753" spans="1:13" outlineLevel="1" collapsed="1" x14ac:dyDescent="0.2">
      <c r="A753" s="23" t="str">
        <f ca="1">Language!A$840</f>
        <v>Учитываемые денежные потоки проекта:</v>
      </c>
      <c r="M753" s="11"/>
    </row>
    <row r="754" spans="1:13" hidden="1" outlineLevel="2" x14ac:dyDescent="0.2">
      <c r="A754" t="str">
        <f ca="1">Language!A$841</f>
        <v>Денежные потоки от операционной деятельности</v>
      </c>
      <c r="B754" s="36" t="str">
        <f ca="1">Language!A$828</f>
        <v>Да</v>
      </c>
      <c r="C754" s="5" t="str">
        <f t="shared" ref="C754:C764" ca="1" si="140">CUR_Report</f>
        <v>руб.</v>
      </c>
      <c r="F754" s="84">
        <f t="shared" ref="F754:J754" ca="1" si="141">F286</f>
        <v>13127500</v>
      </c>
      <c r="G754" s="84">
        <f t="shared" ca="1" si="141"/>
        <v>58087900</v>
      </c>
      <c r="H754" s="84">
        <f t="shared" ca="1" si="141"/>
        <v>91768300</v>
      </c>
      <c r="I754" s="84">
        <f t="shared" ca="1" si="141"/>
        <v>91688500</v>
      </c>
      <c r="J754" s="84">
        <f t="shared" ca="1" si="141"/>
        <v>91688500</v>
      </c>
      <c r="K754" s="84">
        <f t="shared" ref="K754" ca="1" si="142">K286</f>
        <v>91688500</v>
      </c>
      <c r="L754" s="43"/>
      <c r="M754" s="54">
        <f ca="1">SUM(F754:K754)</f>
        <v>438049200</v>
      </c>
    </row>
    <row r="755" spans="1:13" hidden="1" outlineLevel="2" x14ac:dyDescent="0.2">
      <c r="A755" t="str">
        <f ca="1">Language!A$842</f>
        <v xml:space="preserve">    за исключением процентов по кредитам</v>
      </c>
      <c r="B755" s="36" t="str">
        <f ca="1">Language!A$829</f>
        <v>Нет</v>
      </c>
      <c r="C755" s="5" t="str">
        <f t="shared" ca="1" si="140"/>
        <v>руб.</v>
      </c>
      <c r="D755" s="5"/>
      <c r="F755" s="43"/>
      <c r="G755" s="43"/>
      <c r="H755" s="43"/>
      <c r="I755" s="43"/>
      <c r="J755" s="43"/>
      <c r="K755" s="43"/>
      <c r="L755" s="43"/>
      <c r="M755" s="54"/>
    </row>
    <row r="756" spans="1:13" hidden="1" outlineLevel="2" x14ac:dyDescent="0.2">
      <c r="A756" t="str">
        <f ca="1">Language!A$843</f>
        <v>Денежные потоки от инвестиционной деятельности</v>
      </c>
      <c r="B756" s="36" t="str">
        <f ca="1">Language!A$828</f>
        <v>Да</v>
      </c>
      <c r="C756" s="5" t="str">
        <f t="shared" ca="1" si="140"/>
        <v>руб.</v>
      </c>
      <c r="D756" s="5"/>
      <c r="F756" s="43">
        <f t="shared" ref="F756:J756" ca="1" si="143">F306</f>
        <v>1994583.333333333</v>
      </c>
      <c r="G756" s="43">
        <f t="shared" ca="1" si="143"/>
        <v>8761560</v>
      </c>
      <c r="H756" s="43">
        <f t="shared" ca="1" si="143"/>
        <v>6591560</v>
      </c>
      <c r="I756" s="43">
        <f t="shared" ca="1" si="143"/>
        <v>-669220</v>
      </c>
      <c r="J756" s="43">
        <f t="shared" ca="1" si="143"/>
        <v>-50000</v>
      </c>
      <c r="K756" s="43">
        <f t="shared" ref="K756" ca="1" si="144">K306</f>
        <v>-50000</v>
      </c>
      <c r="L756" s="43"/>
      <c r="M756" s="54">
        <f ca="1">SUM(F756:K756)</f>
        <v>16578483.333333332</v>
      </c>
    </row>
    <row r="757" spans="1:13" hidden="1" outlineLevel="2" x14ac:dyDescent="0.2">
      <c r="A757" t="str">
        <f ca="1">Language!A$844</f>
        <v>Поступления собственного капитала</v>
      </c>
      <c r="B757" s="36" t="str">
        <f ca="1">Language!A$829</f>
        <v>Нет</v>
      </c>
      <c r="C757" s="5" t="str">
        <f t="shared" ca="1" si="140"/>
        <v>руб.</v>
      </c>
      <c r="D757" s="5"/>
      <c r="F757" s="43"/>
      <c r="G757" s="43"/>
      <c r="H757" s="43"/>
      <c r="I757" s="43"/>
      <c r="J757" s="43"/>
      <c r="K757" s="43"/>
      <c r="L757" s="43"/>
      <c r="M757" s="54"/>
    </row>
    <row r="758" spans="1:13" hidden="1" outlineLevel="2" x14ac:dyDescent="0.2">
      <c r="A758" t="str">
        <f ca="1">Language!A$845</f>
        <v>Поступления целевого финансирования</v>
      </c>
      <c r="B758" s="36" t="str">
        <f ca="1">Language!A$828</f>
        <v>Да</v>
      </c>
      <c r="C758" s="5" t="str">
        <f t="shared" ca="1" si="140"/>
        <v>руб.</v>
      </c>
      <c r="D758" s="5"/>
      <c r="F758" s="53">
        <f t="shared" ref="F758:J758" ca="1" si="145">F311+F313</f>
        <v>0</v>
      </c>
      <c r="G758" s="53">
        <f t="shared" ca="1" si="145"/>
        <v>0</v>
      </c>
      <c r="H758" s="53">
        <f t="shared" ca="1" si="145"/>
        <v>0</v>
      </c>
      <c r="I758" s="53">
        <f t="shared" ca="1" si="145"/>
        <v>0</v>
      </c>
      <c r="J758" s="53">
        <f t="shared" ca="1" si="145"/>
        <v>0</v>
      </c>
      <c r="K758" s="53">
        <f t="shared" ref="K758" ca="1" si="146">K311+K313</f>
        <v>0</v>
      </c>
      <c r="L758" s="43"/>
      <c r="M758" s="54">
        <f ca="1">SUM(F758:K758)</f>
        <v>0</v>
      </c>
    </row>
    <row r="759" spans="1:13" hidden="1" outlineLevel="2" x14ac:dyDescent="0.2">
      <c r="A759" t="str">
        <f ca="1">Language!A$846</f>
        <v>Поступления кредитов</v>
      </c>
      <c r="B759" s="36" t="str">
        <f ca="1">Language!A$828</f>
        <v>Да</v>
      </c>
      <c r="C759" s="5" t="str">
        <f t="shared" ca="1" si="140"/>
        <v>руб.</v>
      </c>
      <c r="D759" s="5"/>
      <c r="F759" s="53">
        <f t="shared" ref="F759:J759" ca="1" si="147">F315</f>
        <v>0</v>
      </c>
      <c r="G759" s="53">
        <f t="shared" ca="1" si="147"/>
        <v>0</v>
      </c>
      <c r="H759" s="53">
        <f t="shared" ca="1" si="147"/>
        <v>0</v>
      </c>
      <c r="I759" s="53">
        <f t="shared" ca="1" si="147"/>
        <v>0</v>
      </c>
      <c r="J759" s="53">
        <f t="shared" ca="1" si="147"/>
        <v>0</v>
      </c>
      <c r="K759" s="53">
        <f t="shared" ref="K759" ca="1" si="148">K315</f>
        <v>0</v>
      </c>
      <c r="L759" s="43"/>
      <c r="M759" s="54">
        <f ca="1">SUM(F759:K759)</f>
        <v>0</v>
      </c>
    </row>
    <row r="760" spans="1:13" hidden="1" outlineLevel="2" x14ac:dyDescent="0.2">
      <c r="A760" t="str">
        <f ca="1">Language!A$847</f>
        <v>Возврат кредитов</v>
      </c>
      <c r="B760" s="36" t="str">
        <f ca="1">Language!A$828</f>
        <v>Да</v>
      </c>
      <c r="C760" s="5" t="str">
        <f t="shared" ca="1" si="140"/>
        <v>руб.</v>
      </c>
      <c r="D760" s="5"/>
      <c r="F760" s="53">
        <f t="shared" ref="F760:J760" ca="1" si="149">F317</f>
        <v>0</v>
      </c>
      <c r="G760" s="53">
        <f t="shared" ca="1" si="149"/>
        <v>0</v>
      </c>
      <c r="H760" s="53">
        <f t="shared" ca="1" si="149"/>
        <v>0</v>
      </c>
      <c r="I760" s="53">
        <f t="shared" ca="1" si="149"/>
        <v>0</v>
      </c>
      <c r="J760" s="53">
        <f t="shared" ca="1" si="149"/>
        <v>0</v>
      </c>
      <c r="K760" s="53">
        <f t="shared" ref="K760" ca="1" si="150">K317</f>
        <v>0</v>
      </c>
      <c r="L760" s="43"/>
      <c r="M760" s="54">
        <f ca="1">SUM(F760:K760)</f>
        <v>0</v>
      </c>
    </row>
    <row r="761" spans="1:13" hidden="1" outlineLevel="2" x14ac:dyDescent="0.2">
      <c r="A761" t="str">
        <f ca="1">Language!A$848</f>
        <v>Лизинговые платежи</v>
      </c>
      <c r="B761" s="36" t="str">
        <f ca="1">Language!A$828</f>
        <v>Да</v>
      </c>
      <c r="C761" s="5" t="str">
        <f t="shared" ca="1" si="140"/>
        <v>руб.</v>
      </c>
      <c r="D761" s="5"/>
      <c r="F761" s="43">
        <f t="shared" ref="F761:J761" ca="1" si="151">F319</f>
        <v>0</v>
      </c>
      <c r="G761" s="43">
        <f t="shared" ca="1" si="151"/>
        <v>0</v>
      </c>
      <c r="H761" s="43">
        <f t="shared" ca="1" si="151"/>
        <v>0</v>
      </c>
      <c r="I761" s="43">
        <f t="shared" ca="1" si="151"/>
        <v>0</v>
      </c>
      <c r="J761" s="43">
        <f t="shared" ca="1" si="151"/>
        <v>0</v>
      </c>
      <c r="K761" s="43">
        <f t="shared" ref="K761" ca="1" si="152">K319</f>
        <v>0</v>
      </c>
      <c r="L761" s="43"/>
      <c r="M761" s="54">
        <f ca="1">SUM(F761:K761)</f>
        <v>0</v>
      </c>
    </row>
    <row r="762" spans="1:13" hidden="1" outlineLevel="2" x14ac:dyDescent="0.2">
      <c r="A762" t="str">
        <f ca="1">Language!A$849</f>
        <v>Выплата дивидендов</v>
      </c>
      <c r="B762" s="36" t="str">
        <f ca="1">Language!A$829</f>
        <v>Нет</v>
      </c>
      <c r="C762" s="5" t="str">
        <f t="shared" ca="1" si="140"/>
        <v>руб.</v>
      </c>
      <c r="D762" s="5"/>
      <c r="F762" s="43"/>
      <c r="G762" s="43"/>
      <c r="H762" s="43"/>
      <c r="I762" s="43"/>
      <c r="J762" s="43"/>
      <c r="K762" s="43"/>
      <c r="L762" s="43"/>
      <c r="M762" s="54"/>
    </row>
    <row r="763" spans="1:13" hidden="1" outlineLevel="2" x14ac:dyDescent="0.2">
      <c r="A763" t="str">
        <f ca="1">Language!A$850</f>
        <v>Ранее осуществленные инвестиции</v>
      </c>
      <c r="B763" s="36" t="str">
        <f ca="1">CHOOSE(B747,Language!A828,Language!A829)</f>
        <v>Нет</v>
      </c>
      <c r="C763" s="5" t="str">
        <f t="shared" ca="1" si="140"/>
        <v>руб.</v>
      </c>
      <c r="D763" s="5"/>
      <c r="F763" s="53">
        <f t="shared" ref="F763:J763" si="153">IF($B747=1,-F112,0)</f>
        <v>0</v>
      </c>
      <c r="G763" s="53">
        <f t="shared" si="153"/>
        <v>0</v>
      </c>
      <c r="H763" s="53">
        <f t="shared" si="153"/>
        <v>0</v>
      </c>
      <c r="I763" s="53">
        <f t="shared" si="153"/>
        <v>0</v>
      </c>
      <c r="J763" s="53">
        <f t="shared" si="153"/>
        <v>0</v>
      </c>
      <c r="K763" s="53">
        <f t="shared" ref="K763" si="154">IF($B747=1,-K112,0)</f>
        <v>0</v>
      </c>
      <c r="M763" s="54">
        <f>SUM(F763:K763)</f>
        <v>0</v>
      </c>
    </row>
    <row r="764" spans="1:13" hidden="1" outlineLevel="2" x14ac:dyDescent="0.2">
      <c r="A764" t="str">
        <f ca="1">Language!A$851</f>
        <v>Остаточная стоимость проекта</v>
      </c>
      <c r="B764" s="36" t="str">
        <f ca="1">CHOOSE(B748,Language!A$828,Language!A$829)</f>
        <v>Да</v>
      </c>
      <c r="C764" s="5" t="str">
        <f t="shared" ca="1" si="140"/>
        <v>руб.</v>
      </c>
      <c r="D764" s="5"/>
      <c r="F764" s="111">
        <f t="shared" ref="F764:J764" si="155">IF($B748=1,IF(F$33=PRJ_Len,F$506-F$437,0),0)</f>
        <v>0</v>
      </c>
      <c r="G764" s="111">
        <f t="shared" si="155"/>
        <v>0</v>
      </c>
      <c r="H764" s="111">
        <f t="shared" si="155"/>
        <v>0</v>
      </c>
      <c r="I764" s="111">
        <f t="shared" si="155"/>
        <v>0</v>
      </c>
      <c r="J764" s="111">
        <f t="shared" si="155"/>
        <v>0</v>
      </c>
      <c r="K764" s="111">
        <f t="shared" ref="K764" ca="1" si="156">IF($B748=1,IF(K$33=PRJ_Len,K$506-K$437,0),0)</f>
        <v>-21565666.666666687</v>
      </c>
      <c r="L764" s="43"/>
      <c r="M764" s="54">
        <f ca="1">SUM(F764:K764)</f>
        <v>-21565666.666666687</v>
      </c>
    </row>
    <row r="765" spans="1:13" hidden="1" outlineLevel="2" x14ac:dyDescent="0.2">
      <c r="A765" s="63"/>
      <c r="B765" s="63"/>
      <c r="C765" s="67"/>
      <c r="D765" s="67"/>
      <c r="E765" s="63"/>
      <c r="F765" s="121"/>
      <c r="G765" s="121"/>
      <c r="H765" s="121"/>
      <c r="I765" s="121"/>
      <c r="J765" s="121"/>
      <c r="K765" s="121"/>
      <c r="L765" s="121"/>
      <c r="M765" s="122"/>
    </row>
    <row r="766" spans="1:13" hidden="1" outlineLevel="2" x14ac:dyDescent="0.2">
      <c r="A766" s="24" t="str">
        <f ca="1">Language!A$852</f>
        <v>Чистый денежный поток</v>
      </c>
      <c r="B766" s="19"/>
      <c r="C766" s="5" t="str">
        <f ca="1">CUR_Report</f>
        <v>руб.</v>
      </c>
      <c r="D766" s="26"/>
      <c r="E766" s="19"/>
      <c r="F766" s="65">
        <f t="shared" ref="F766:J766" ca="1" si="157">F756+F758+F759+F760+F764+F754+F755+F761+F763</f>
        <v>15122083.333333332</v>
      </c>
      <c r="G766" s="65">
        <f t="shared" ca="1" si="157"/>
        <v>66849460</v>
      </c>
      <c r="H766" s="65">
        <f t="shared" ca="1" si="157"/>
        <v>98359860</v>
      </c>
      <c r="I766" s="65">
        <f t="shared" ca="1" si="157"/>
        <v>91019280</v>
      </c>
      <c r="J766" s="65">
        <f t="shared" ca="1" si="157"/>
        <v>91638500</v>
      </c>
      <c r="K766" s="65">
        <f t="shared" ref="K766" ca="1" si="158">K756+K758+K759+K760+K764+K754+K755+K761+K763</f>
        <v>70072833.333333313</v>
      </c>
      <c r="L766" s="65"/>
      <c r="M766" s="54">
        <f ca="1">SUM(F766:K766)</f>
        <v>433062016.66666663</v>
      </c>
    </row>
    <row r="767" spans="1:13" outlineLevel="1" x14ac:dyDescent="0.2">
      <c r="A767" t="str">
        <f ca="1">Language!A$853</f>
        <v>Дисконтированный чистый денежный поток</v>
      </c>
      <c r="B767" s="19"/>
      <c r="C767" s="5" t="str">
        <f ca="1">CUR_Report</f>
        <v>руб.</v>
      </c>
      <c r="D767" s="26"/>
      <c r="E767" s="19"/>
      <c r="F767" s="53">
        <f t="shared" ref="F767:J767" ca="1" si="159">F766/F751</f>
        <v>15122083.333333332</v>
      </c>
      <c r="G767" s="53">
        <f t="shared" ca="1" si="159"/>
        <v>65984071.008184254</v>
      </c>
      <c r="H767" s="53">
        <f t="shared" ca="1" si="159"/>
        <v>95829739.655424446</v>
      </c>
      <c r="I767" s="53">
        <f t="shared" ca="1" si="159"/>
        <v>87530015.482737377</v>
      </c>
      <c r="J767" s="53">
        <f t="shared" ca="1" si="159"/>
        <v>86984682.878084674</v>
      </c>
      <c r="K767" s="53">
        <f t="shared" ref="K767" ca="1" si="160">K766/K751</f>
        <v>65653169.041805483</v>
      </c>
      <c r="L767" s="65"/>
      <c r="M767" s="54">
        <f ca="1">SUM(F767:K767)</f>
        <v>417103761.39956957</v>
      </c>
    </row>
    <row r="768" spans="1:13" outlineLevel="1" x14ac:dyDescent="0.2">
      <c r="A768" t="str">
        <f ca="1">Language!A$854</f>
        <v>Дисконтированный поток нарастающим итогом</v>
      </c>
      <c r="C768" s="5" t="str">
        <f ca="1">CUR_Report</f>
        <v>руб.</v>
      </c>
      <c r="D768" s="16" t="s">
        <v>384</v>
      </c>
      <c r="F768" s="43">
        <f t="shared" ref="F768:K768" ca="1" si="161">E768+F767</f>
        <v>15122083.333333332</v>
      </c>
      <c r="G768" s="43">
        <f t="shared" ca="1" si="161"/>
        <v>81106154.341517583</v>
      </c>
      <c r="H768" s="43">
        <f t="shared" ca="1" si="161"/>
        <v>176935893.99694204</v>
      </c>
      <c r="I768" s="43">
        <f t="shared" ca="1" si="161"/>
        <v>264465909.47967941</v>
      </c>
      <c r="J768" s="43">
        <f t="shared" ca="1" si="161"/>
        <v>351450592.35776407</v>
      </c>
      <c r="K768" s="43">
        <f t="shared" ca="1" si="161"/>
        <v>417103761.39956957</v>
      </c>
      <c r="L768" s="43"/>
      <c r="M768" s="54"/>
    </row>
    <row r="769" spans="1:13" outlineLevel="1" x14ac:dyDescent="0.2">
      <c r="F769" s="43"/>
      <c r="G769" s="43"/>
      <c r="H769" s="43"/>
      <c r="I769" s="43"/>
      <c r="J769" s="43"/>
      <c r="K769" s="43"/>
      <c r="L769" s="43"/>
      <c r="M769" s="54"/>
    </row>
    <row r="770" spans="1:13" outlineLevel="1" collapsed="1" x14ac:dyDescent="0.2">
      <c r="A770" s="23" t="str">
        <f ca="1">Language!A$855</f>
        <v>Простой срок окупаемости</v>
      </c>
      <c r="B770" s="164" t="str">
        <f ca="1">IF(ISERROR(E772),Language!A$829,IF(E772&gt;=PRJ_Len,Language!A$829,IF(OR(E772=0),E772*PRJ_Step/360,(E772-OFFSET(F771,0,E772-1)/(-OFFSET(F771,0,E772-1)+OFFSET(F771,0,E772)))*PRJ_Step/360)))</f>
        <v>Нет</v>
      </c>
      <c r="C770" s="17" t="str">
        <f ca="1">IF(B770=0,Language!A$33,IF(OR(B770&lt;1,AND(B770&gt;1,B770&lt;5)),Language!A$830,IF(B770=1,Language!A$37,Language!A$33)))</f>
        <v>лет</v>
      </c>
      <c r="M770" s="11"/>
    </row>
    <row r="771" spans="1:13" hidden="1" outlineLevel="2" x14ac:dyDescent="0.2">
      <c r="A771" t="str">
        <f ca="1">Language!A$856</f>
        <v xml:space="preserve">    недисконтированный поток нарастающим итогом</v>
      </c>
      <c r="D771" s="16" t="s">
        <v>384</v>
      </c>
      <c r="F771" s="53">
        <f t="shared" ref="F771:K771" ca="1" si="162">E771+F766</f>
        <v>15122083.333333332</v>
      </c>
      <c r="G771" s="53">
        <f t="shared" ca="1" si="162"/>
        <v>81971543.333333328</v>
      </c>
      <c r="H771" s="53">
        <f t="shared" ca="1" si="162"/>
        <v>180331403.33333331</v>
      </c>
      <c r="I771" s="53">
        <f t="shared" ca="1" si="162"/>
        <v>271350683.33333331</v>
      </c>
      <c r="J771" s="53">
        <f t="shared" ca="1" si="162"/>
        <v>362989183.33333331</v>
      </c>
      <c r="K771" s="53">
        <f t="shared" ca="1" si="162"/>
        <v>433062016.66666663</v>
      </c>
      <c r="M771" s="11"/>
    </row>
    <row r="772" spans="1:13" hidden="1" outlineLevel="2" x14ac:dyDescent="0.2">
      <c r="A772" t="str">
        <f ca="1">Language!A$857</f>
        <v xml:space="preserve">    знак остатка денежных средств</v>
      </c>
      <c r="D772" s="16" t="s">
        <v>384</v>
      </c>
      <c r="E772" s="101" t="e">
        <f ca="1">PRJ_Len+1-(MATCH(-1,F773:L773,0))</f>
        <v>#N/A</v>
      </c>
      <c r="F772" s="16">
        <f t="shared" ref="F772:J772" ca="1" si="163">SIGN(F771)</f>
        <v>1</v>
      </c>
      <c r="G772" s="16">
        <f t="shared" ca="1" si="163"/>
        <v>1</v>
      </c>
      <c r="H772" s="16">
        <f t="shared" ca="1" si="163"/>
        <v>1</v>
      </c>
      <c r="I772" s="16">
        <f t="shared" ca="1" si="163"/>
        <v>1</v>
      </c>
      <c r="J772" s="16">
        <f t="shared" ca="1" si="163"/>
        <v>1</v>
      </c>
      <c r="K772" s="16">
        <f t="shared" ref="K772" ca="1" si="164">SIGN(K771)</f>
        <v>1</v>
      </c>
      <c r="M772" s="11"/>
    </row>
    <row r="773" spans="1:13" hidden="1" outlineLevel="2" x14ac:dyDescent="0.2">
      <c r="A773" t="str">
        <f ca="1">Language!A$858</f>
        <v xml:space="preserve">    знак остатка денежных средств (с конца)</v>
      </c>
      <c r="D773" s="16" t="s">
        <v>384</v>
      </c>
      <c r="F773" s="101">
        <f t="shared" ref="F773:J773" ca="1" si="165">OFFSET(F772,0,PRJ_Len-F$33-F$33+1)</f>
        <v>1</v>
      </c>
      <c r="G773" s="101">
        <f t="shared" ca="1" si="165"/>
        <v>1</v>
      </c>
      <c r="H773" s="101">
        <f t="shared" ca="1" si="165"/>
        <v>1</v>
      </c>
      <c r="I773" s="101">
        <f t="shared" ca="1" si="165"/>
        <v>1</v>
      </c>
      <c r="J773" s="101">
        <f t="shared" ca="1" si="165"/>
        <v>1</v>
      </c>
      <c r="K773" s="101">
        <f t="shared" ref="K773" ca="1" si="166">OFFSET(K772,0,PRJ_Len-K$33-K$33+1)</f>
        <v>1</v>
      </c>
      <c r="M773" s="11"/>
    </row>
    <row r="774" spans="1:13" outlineLevel="1" x14ac:dyDescent="0.2">
      <c r="M774" s="11"/>
    </row>
    <row r="775" spans="1:13" outlineLevel="1" x14ac:dyDescent="0.2">
      <c r="A775" s="35" t="str">
        <f ca="1">Language!A$859</f>
        <v>Чистая приведенная стоимость (NPV)</v>
      </c>
      <c r="B775" s="151">
        <f ca="1">M767</f>
        <v>417103761.39956957</v>
      </c>
      <c r="C775" s="5" t="str">
        <f ca="1">CUR_Report</f>
        <v>руб.</v>
      </c>
      <c r="M775" s="11"/>
    </row>
    <row r="776" spans="1:13" outlineLevel="1" collapsed="1" x14ac:dyDescent="0.2">
      <c r="A776" s="35" t="str">
        <f ca="1">Language!A$860</f>
        <v>Дисконтированный срок окупаемости (PBP)</v>
      </c>
      <c r="B776" s="150" t="str">
        <f ca="1">IF(ISERROR(E777),Language!A$829,IF(E777&gt;=PRJ_Len,Language!A$829,IF(OR(E777=0),E777*PRJ_Step/360,(E777-OFFSET(F768,0,E777-1)/(-OFFSET(F768,0,E777-1)+OFFSET(F768,0,E777)))*PRJ_Step/360)))</f>
        <v>Нет</v>
      </c>
      <c r="C776" s="17" t="str">
        <f ca="1">IF(B776=0,Language!A$33,IF(OR(B776&lt;1,AND(B776&gt;1,B776&lt;5)),Language!A$830,IF(B776=1,Language!A$37,Language!A$33)))</f>
        <v>лет</v>
      </c>
      <c r="M776" s="11"/>
    </row>
    <row r="777" spans="1:13" hidden="1" outlineLevel="2" x14ac:dyDescent="0.2">
      <c r="A777" t="str">
        <f ca="1">Language!A$861</f>
        <v xml:space="preserve">    знак остатка дисконтированных денежных средств</v>
      </c>
      <c r="D777" s="16" t="s">
        <v>384</v>
      </c>
      <c r="E777" s="101" t="e">
        <f ca="1">PRJ_Len+1-(MATCH(-1,F778:L778,0))</f>
        <v>#N/A</v>
      </c>
      <c r="F777" s="16">
        <f t="shared" ref="F777:J777" ca="1" si="167">SIGN(F768)</f>
        <v>1</v>
      </c>
      <c r="G777" s="16">
        <f t="shared" ca="1" si="167"/>
        <v>1</v>
      </c>
      <c r="H777" s="16">
        <f t="shared" ca="1" si="167"/>
        <v>1</v>
      </c>
      <c r="I777" s="16">
        <f t="shared" ca="1" si="167"/>
        <v>1</v>
      </c>
      <c r="J777" s="16">
        <f t="shared" ca="1" si="167"/>
        <v>1</v>
      </c>
      <c r="K777" s="16">
        <f t="shared" ref="K777" ca="1" si="168">SIGN(K768)</f>
        <v>1</v>
      </c>
      <c r="M777" s="11"/>
    </row>
    <row r="778" spans="1:13" hidden="1" outlineLevel="2" x14ac:dyDescent="0.2">
      <c r="A778" t="str">
        <f ca="1">Language!A$862</f>
        <v xml:space="preserve">    знак остатка дисконтированных денежных средств (с конца)</v>
      </c>
      <c r="D778" s="16" t="s">
        <v>384</v>
      </c>
      <c r="F778" s="101">
        <f t="shared" ref="F778:J778" ca="1" si="169">OFFSET(F777,0,PRJ_Len-F$33-F$33+1)</f>
        <v>1</v>
      </c>
      <c r="G778" s="101">
        <f t="shared" ca="1" si="169"/>
        <v>1</v>
      </c>
      <c r="H778" s="101">
        <f t="shared" ca="1" si="169"/>
        <v>1</v>
      </c>
      <c r="I778" s="101">
        <f t="shared" ca="1" si="169"/>
        <v>1</v>
      </c>
      <c r="J778" s="101">
        <f t="shared" ca="1" si="169"/>
        <v>1</v>
      </c>
      <c r="K778" s="101">
        <f t="shared" ref="K778" ca="1" si="170">OFFSET(K777,0,PRJ_Len-K$33-K$33+1)</f>
        <v>1</v>
      </c>
      <c r="M778" s="11"/>
    </row>
    <row r="779" spans="1:13" outlineLevel="1" collapsed="1" x14ac:dyDescent="0.2">
      <c r="A779" s="130" t="str">
        <f ca="1">Language!A$863</f>
        <v>Внутренняя норма рентабельности (IRR)</v>
      </c>
      <c r="B779" s="152" t="str">
        <f ca="1">IF(ISERROR(E779),Language!A$829,IF(AND(E779&gt;0,E779&lt;100),E779,Language!A$829))</f>
        <v>Нет</v>
      </c>
      <c r="C779" s="216" t="str">
        <f ca="1">IF(CalcMethod=1,Language!A$831,Language!A$832)</f>
        <v>(реальная - без учета инфляции)</v>
      </c>
      <c r="E779" s="16" t="e">
        <f ca="1">(POWER(1+IRR(F780:K780,0.2*PRJ_Step/360),360/PRJ_Step)-1)</f>
        <v>#NUM!</v>
      </c>
      <c r="M779" s="11"/>
    </row>
    <row r="780" spans="1:13" s="48" customFormat="1" hidden="1" outlineLevel="2" x14ac:dyDescent="0.2">
      <c r="A780" s="24" t="str">
        <f ca="1">Language!A$852</f>
        <v>Чистый денежный поток</v>
      </c>
      <c r="B780" s="223"/>
      <c r="C780" s="216"/>
      <c r="E780" s="101"/>
      <c r="F780" s="65">
        <f t="shared" ref="F780:J780" ca="1" si="171">F766</f>
        <v>15122083.333333332</v>
      </c>
      <c r="G780" s="65">
        <f t="shared" ca="1" si="171"/>
        <v>66849460</v>
      </c>
      <c r="H780" s="65">
        <f t="shared" ca="1" si="171"/>
        <v>98359860</v>
      </c>
      <c r="I780" s="65">
        <f t="shared" ca="1" si="171"/>
        <v>91019280</v>
      </c>
      <c r="J780" s="65">
        <f t="shared" ca="1" si="171"/>
        <v>91638500</v>
      </c>
      <c r="K780" s="65">
        <f t="shared" ref="K780" ca="1" si="172">K766</f>
        <v>70072833.333333313</v>
      </c>
      <c r="M780" s="41"/>
    </row>
    <row r="781" spans="1:13" outlineLevel="1" collapsed="1" x14ac:dyDescent="0.2">
      <c r="A781" s="23" t="str">
        <f ca="1">Language!A$864</f>
        <v>Норма доходности дисконтированных затрат (PI)</v>
      </c>
      <c r="B781" s="309" t="str">
        <f ca="1">IF(M785&lt;0,M783/-M785,Language!A$829)</f>
        <v>Нет</v>
      </c>
      <c r="C781" s="5" t="str">
        <f ca="1">Language!A$197</f>
        <v>разы</v>
      </c>
      <c r="M781" s="11"/>
    </row>
    <row r="782" spans="1:13" hidden="1" outlineLevel="2" x14ac:dyDescent="0.2">
      <c r="A782" t="str">
        <f ca="1">Language!A$865</f>
        <v xml:space="preserve">    притоки</v>
      </c>
      <c r="C782" s="5" t="str">
        <f ca="1">CUR_Report</f>
        <v>руб.</v>
      </c>
      <c r="F782" s="43">
        <f t="shared" ref="F782:J782" ca="1" si="173">MAX(0,F766)</f>
        <v>15122083.333333332</v>
      </c>
      <c r="G782" s="43">
        <f t="shared" ca="1" si="173"/>
        <v>66849460</v>
      </c>
      <c r="H782" s="43">
        <f t="shared" ca="1" si="173"/>
        <v>98359860</v>
      </c>
      <c r="I782" s="43">
        <f t="shared" ca="1" si="173"/>
        <v>91019280</v>
      </c>
      <c r="J782" s="43">
        <f t="shared" ca="1" si="173"/>
        <v>91638500</v>
      </c>
      <c r="K782" s="43">
        <f t="shared" ref="K782" ca="1" si="174">MAX(0,K766)</f>
        <v>70072833.333333313</v>
      </c>
      <c r="M782" s="54">
        <f ca="1">SUM(F782:K782)</f>
        <v>433062016.66666663</v>
      </c>
    </row>
    <row r="783" spans="1:13" hidden="1" outlineLevel="2" x14ac:dyDescent="0.2">
      <c r="A783" t="str">
        <f ca="1">Language!A$866</f>
        <v xml:space="preserve">    дисконтированные притоки</v>
      </c>
      <c r="C783" s="5" t="str">
        <f ca="1">CUR_Report</f>
        <v>руб.</v>
      </c>
      <c r="F783" s="43">
        <f t="shared" ref="F783:J783" ca="1" si="175">F782/F751</f>
        <v>15122083.333333332</v>
      </c>
      <c r="G783" s="43">
        <f t="shared" ca="1" si="175"/>
        <v>65984071.008184254</v>
      </c>
      <c r="H783" s="43">
        <f t="shared" ca="1" si="175"/>
        <v>95829739.655424446</v>
      </c>
      <c r="I783" s="43">
        <f t="shared" ca="1" si="175"/>
        <v>87530015.482737377</v>
      </c>
      <c r="J783" s="43">
        <f t="shared" ca="1" si="175"/>
        <v>86984682.878084674</v>
      </c>
      <c r="K783" s="43">
        <f t="shared" ref="K783" ca="1" si="176">K782/K751</f>
        <v>65653169.041805483</v>
      </c>
      <c r="M783" s="54">
        <f ca="1">SUM(F783:K783)</f>
        <v>417103761.39956957</v>
      </c>
    </row>
    <row r="784" spans="1:13" hidden="1" outlineLevel="2" x14ac:dyDescent="0.2">
      <c r="A784" t="str">
        <f ca="1">Language!A$867</f>
        <v xml:space="preserve">    оттоки</v>
      </c>
      <c r="C784" s="5" t="str">
        <f ca="1">CUR_Report</f>
        <v>руб.</v>
      </c>
      <c r="F784" s="43">
        <f t="shared" ref="F784:J784" ca="1" si="177">MIN(0,F766)</f>
        <v>0</v>
      </c>
      <c r="G784" s="43">
        <f t="shared" ca="1" si="177"/>
        <v>0</v>
      </c>
      <c r="H784" s="43">
        <f t="shared" ca="1" si="177"/>
        <v>0</v>
      </c>
      <c r="I784" s="43">
        <f t="shared" ca="1" si="177"/>
        <v>0</v>
      </c>
      <c r="J784" s="43">
        <f t="shared" ca="1" si="177"/>
        <v>0</v>
      </c>
      <c r="K784" s="43">
        <f t="shared" ref="K784" ca="1" si="178">MIN(0,K766)</f>
        <v>0</v>
      </c>
      <c r="M784" s="54">
        <f ca="1">SUM(F784:K784)</f>
        <v>0</v>
      </c>
    </row>
    <row r="785" spans="1:13" hidden="1" outlineLevel="2" x14ac:dyDescent="0.2">
      <c r="A785" t="str">
        <f ca="1">Language!A$868</f>
        <v xml:space="preserve">    дисконтированные оттоки</v>
      </c>
      <c r="C785" s="5" t="str">
        <f ca="1">CUR_Report</f>
        <v>руб.</v>
      </c>
      <c r="F785" s="43">
        <f t="shared" ref="F785:J785" ca="1" si="179">F784/F751</f>
        <v>0</v>
      </c>
      <c r="G785" s="43">
        <f t="shared" ca="1" si="179"/>
        <v>0</v>
      </c>
      <c r="H785" s="43">
        <f t="shared" ca="1" si="179"/>
        <v>0</v>
      </c>
      <c r="I785" s="43">
        <f t="shared" ca="1" si="179"/>
        <v>0</v>
      </c>
      <c r="J785" s="43">
        <f t="shared" ca="1" si="179"/>
        <v>0</v>
      </c>
      <c r="K785" s="43">
        <f t="shared" ref="K785" ca="1" si="180">K784/K751</f>
        <v>0</v>
      </c>
      <c r="M785" s="54">
        <f ca="1">SUM(F785:K785)</f>
        <v>0</v>
      </c>
    </row>
    <row r="786" spans="1:13" outlineLevel="1" x14ac:dyDescent="0.2">
      <c r="F786" s="43"/>
      <c r="G786" s="43"/>
      <c r="H786" s="43"/>
      <c r="I786" s="43"/>
      <c r="J786" s="43"/>
      <c r="K786" s="43"/>
      <c r="M786" s="11"/>
    </row>
    <row r="787" spans="1:13" outlineLevel="1" x14ac:dyDescent="0.2">
      <c r="A787" s="23" t="str">
        <f ca="1">Language!A$869</f>
        <v>Модифицированная IRR (MIRR)</v>
      </c>
      <c r="B787" s="310" t="str">
        <f ca="1">IF(ISERROR(E787),Language!A$829,E787)</f>
        <v>Нет</v>
      </c>
      <c r="C787" s="5"/>
      <c r="E787" s="153" t="e">
        <f ca="1">(POWER(1+MIRR(F766:L766,POWER(1+B789,PRJ_Step/360)-1,POWER(1+B788,PRJ_Step/360)-1),360/PRJ_Step)-1)</f>
        <v>#DIV/0!</v>
      </c>
      <c r="F787" s="43"/>
      <c r="G787" s="43"/>
      <c r="H787" s="43"/>
      <c r="I787" s="43"/>
      <c r="J787" s="43"/>
      <c r="K787" s="43"/>
      <c r="M787" s="11"/>
    </row>
    <row r="788" spans="1:13" outlineLevel="1" x14ac:dyDescent="0.2">
      <c r="A788" t="str">
        <f ca="1">Language!A$870</f>
        <v>Ставка реинвестирования доходов</v>
      </c>
      <c r="B788" s="273">
        <f>B749</f>
        <v>0.25</v>
      </c>
      <c r="M788" s="11"/>
    </row>
    <row r="789" spans="1:13" outlineLevel="1" x14ac:dyDescent="0.2">
      <c r="A789" t="str">
        <f ca="1">Language!A$871</f>
        <v>Ставка дисконтирования инвестиционных затрат</v>
      </c>
      <c r="B789" s="273">
        <f>B749</f>
        <v>0.25</v>
      </c>
      <c r="M789" s="11"/>
    </row>
    <row r="790" spans="1:13" outlineLevel="1" x14ac:dyDescent="0.2">
      <c r="A790" s="63"/>
      <c r="B790" s="63"/>
      <c r="C790" s="63"/>
      <c r="D790" s="63"/>
      <c r="E790" s="63"/>
      <c r="F790" s="63"/>
      <c r="G790" s="63"/>
      <c r="H790" s="63"/>
      <c r="I790" s="63"/>
      <c r="J790" s="63"/>
      <c r="K790" s="63"/>
      <c r="L790" s="63"/>
      <c r="M790" s="64"/>
    </row>
    <row r="791" spans="1:13" outlineLevel="1" collapsed="1" x14ac:dyDescent="0.2">
      <c r="A791" s="22" t="str">
        <f ca="1">Language!A976</f>
        <v>График: Окупаемость проектов (для собственного капитала)</v>
      </c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22"/>
    </row>
    <row r="792" spans="1:13" hidden="1" outlineLevel="2" x14ac:dyDescent="0.2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22"/>
    </row>
    <row r="793" spans="1:13" hidden="1" outlineLevel="2" x14ac:dyDescent="0.2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22"/>
    </row>
    <row r="794" spans="1:13" hidden="1" outlineLevel="2" x14ac:dyDescent="0.2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22"/>
    </row>
    <row r="795" spans="1:13" hidden="1" outlineLevel="2" x14ac:dyDescent="0.2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22"/>
    </row>
    <row r="796" spans="1:13" hidden="1" outlineLevel="2" x14ac:dyDescent="0.2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22"/>
    </row>
    <row r="797" spans="1:13" hidden="1" outlineLevel="2" x14ac:dyDescent="0.2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22"/>
    </row>
    <row r="798" spans="1:13" hidden="1" outlineLevel="2" x14ac:dyDescent="0.2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22"/>
    </row>
    <row r="799" spans="1:13" hidden="1" outlineLevel="2" x14ac:dyDescent="0.2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22"/>
    </row>
    <row r="800" spans="1:13" hidden="1" outlineLevel="2" x14ac:dyDescent="0.2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22"/>
    </row>
    <row r="801" spans="1:13" hidden="1" outlineLevel="2" x14ac:dyDescent="0.2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22"/>
    </row>
    <row r="802" spans="1:13" hidden="1" outlineLevel="2" x14ac:dyDescent="0.2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22"/>
    </row>
    <row r="803" spans="1:13" hidden="1" outlineLevel="2" x14ac:dyDescent="0.2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22"/>
    </row>
    <row r="804" spans="1:13" hidden="1" outlineLevel="2" x14ac:dyDescent="0.2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22"/>
    </row>
    <row r="805" spans="1:13" hidden="1" outlineLevel="2" x14ac:dyDescent="0.2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22"/>
    </row>
    <row r="806" spans="1:13" hidden="1" outlineLevel="2" x14ac:dyDescent="0.2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22"/>
    </row>
    <row r="807" spans="1:13" hidden="1" outlineLevel="2" x14ac:dyDescent="0.2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22"/>
    </row>
    <row r="808" spans="1:13" hidden="1" outlineLevel="2" x14ac:dyDescent="0.2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22"/>
    </row>
    <row r="809" spans="1:13" hidden="1" outlineLevel="2" x14ac:dyDescent="0.2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22"/>
    </row>
    <row r="810" spans="1:13" hidden="1" outlineLevel="2" x14ac:dyDescent="0.2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22"/>
    </row>
    <row r="811" spans="1:13" hidden="1" outlineLevel="2" x14ac:dyDescent="0.2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22"/>
    </row>
    <row r="812" spans="1:13" hidden="1" outlineLevel="2" x14ac:dyDescent="0.2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22"/>
    </row>
    <row r="813" spans="1:13" hidden="1" outlineLevel="2" x14ac:dyDescent="0.2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22"/>
    </row>
    <row r="814" spans="1:13" hidden="1" outlineLevel="2" x14ac:dyDescent="0.2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22"/>
    </row>
    <row r="815" spans="1:13" outlineLevel="1" x14ac:dyDescent="0.2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22"/>
    </row>
    <row r="816" spans="1:13" outlineLevel="1" x14ac:dyDescent="0.2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22"/>
    </row>
    <row r="817" spans="1:13" s="4" customFormat="1" ht="15.9" customHeight="1" thickBot="1" x14ac:dyDescent="0.25">
      <c r="A817" s="166" t="str">
        <f ca="1">Language!A875</f>
        <v xml:space="preserve">         ЭФФЕКТИВНОСТЬ ДЛЯ БАНКА</v>
      </c>
      <c r="B817" s="166"/>
      <c r="C817" s="166"/>
      <c r="D817" s="166"/>
      <c r="E817" s="166"/>
      <c r="F817" s="178" t="str">
        <f>IF(Проект!ShowRealDates,F36,F34)</f>
        <v>4/ 2020</v>
      </c>
      <c r="G817" s="178" t="str">
        <f>IF(Проект!ShowRealDates,G36,G34)</f>
        <v>5/ 2020</v>
      </c>
      <c r="H817" s="178" t="str">
        <f>IF(Проект!ShowRealDates,H36,H34)</f>
        <v>6/ 2020</v>
      </c>
      <c r="I817" s="178" t="str">
        <f>IF(Проект!ShowRealDates,I36,I34)</f>
        <v>7/ 2020</v>
      </c>
      <c r="J817" s="178" t="str">
        <f>IF(Проект!ShowRealDates,J36,J34)</f>
        <v>8/ 2020</v>
      </c>
      <c r="K817" s="178" t="str">
        <f>IF(Проект!ShowRealDates,K36,K34)</f>
        <v>9/ 2020</v>
      </c>
      <c r="L817" s="166"/>
      <c r="M817" s="167" t="str">
        <f ca="1">Language!A$371</f>
        <v>ИТОГО</v>
      </c>
    </row>
    <row r="818" spans="1:13" ht="10.8" outlineLevel="1" thickTop="1" x14ac:dyDescent="0.2">
      <c r="M818" s="11"/>
    </row>
    <row r="819" spans="1:13" outlineLevel="1" collapsed="1" x14ac:dyDescent="0.2">
      <c r="A819" s="23" t="str">
        <f ca="1">Language!A104</f>
        <v>Предполагаемый темп годового роста цен</v>
      </c>
      <c r="C819" s="5" t="s">
        <v>177</v>
      </c>
      <c r="D819" s="16" t="s">
        <v>176</v>
      </c>
      <c r="F819" s="211">
        <f t="shared" ref="F819:J819" si="181">F669</f>
        <v>7.0000000000000007E-2</v>
      </c>
      <c r="G819" s="211">
        <f t="shared" si="181"/>
        <v>7.0000000000000007E-2</v>
      </c>
      <c r="H819" s="211">
        <f t="shared" si="181"/>
        <v>7.0000000000000007E-2</v>
      </c>
      <c r="I819" s="211">
        <f t="shared" si="181"/>
        <v>7.0000000000000007E-2</v>
      </c>
      <c r="J819" s="211">
        <f t="shared" si="181"/>
        <v>7.0000000000000007E-2</v>
      </c>
      <c r="K819" s="211">
        <f t="shared" ref="K819" si="182">K669</f>
        <v>7.0000000000000007E-2</v>
      </c>
      <c r="M819" s="11"/>
    </row>
    <row r="820" spans="1:13" hidden="1" outlineLevel="2" x14ac:dyDescent="0.2">
      <c r="A820" t="str">
        <f ca="1">Language!A106</f>
        <v>То же, в пересчете на период, равный шагу проекта</v>
      </c>
      <c r="C820" s="5" t="s">
        <v>177</v>
      </c>
      <c r="D820" s="16" t="s">
        <v>176</v>
      </c>
      <c r="F820" s="30">
        <f t="shared" ref="F820:J820" si="183">POWER(1+F819,PRJ_Step/360)-1</f>
        <v>5.6541453874052738E-3</v>
      </c>
      <c r="G820" s="30">
        <f t="shared" si="183"/>
        <v>5.6541453874052738E-3</v>
      </c>
      <c r="H820" s="30">
        <f t="shared" si="183"/>
        <v>5.6541453874052738E-3</v>
      </c>
      <c r="I820" s="30">
        <f t="shared" si="183"/>
        <v>5.6541453874052738E-3</v>
      </c>
      <c r="J820" s="30">
        <f t="shared" si="183"/>
        <v>5.6541453874052738E-3</v>
      </c>
      <c r="K820" s="30">
        <f t="shared" ref="K820" si="184">POWER(1+K819,PRJ_Step/360)-1</f>
        <v>5.6541453874052738E-3</v>
      </c>
      <c r="M820" s="11"/>
    </row>
    <row r="821" spans="1:13" outlineLevel="1" x14ac:dyDescent="0.2">
      <c r="M821" s="11"/>
    </row>
    <row r="822" spans="1:13" outlineLevel="1" collapsed="1" x14ac:dyDescent="0.2">
      <c r="A822" t="str">
        <f ca="1">Language!A$836</f>
        <v>Годовая ставка дисконтирования:</v>
      </c>
      <c r="B822" s="273">
        <f>B674</f>
        <v>0.25</v>
      </c>
      <c r="C822" s="5" t="s">
        <v>177</v>
      </c>
      <c r="D822" s="16" t="s">
        <v>176</v>
      </c>
      <c r="F822" s="251">
        <f>B822</f>
        <v>0.25</v>
      </c>
      <c r="G822" s="251">
        <f t="shared" ref="G822:K822" si="185">F822</f>
        <v>0.25</v>
      </c>
      <c r="H822" s="251">
        <f t="shared" si="185"/>
        <v>0.25</v>
      </c>
      <c r="I822" s="251">
        <f t="shared" si="185"/>
        <v>0.25</v>
      </c>
      <c r="J822" s="251">
        <f t="shared" si="185"/>
        <v>0.25</v>
      </c>
      <c r="K822" s="251">
        <f t="shared" si="185"/>
        <v>0.25</v>
      </c>
      <c r="M822" s="11"/>
    </row>
    <row r="823" spans="1:13" hidden="1" outlineLevel="2" x14ac:dyDescent="0.2">
      <c r="A823" t="str">
        <f ca="1">Language!A$837</f>
        <v xml:space="preserve">    ставка дисконтирования на расчетный период</v>
      </c>
      <c r="D823" s="16" t="s">
        <v>176</v>
      </c>
      <c r="F823" s="251">
        <f t="shared" ref="F823:J823" si="186">POWER(1+F822,PRJ_Step/360)-1-IF(CalcMethod=1,F820,0)</f>
        <v>1.3115119734100844E-2</v>
      </c>
      <c r="G823" s="251">
        <f t="shared" si="186"/>
        <v>1.3115119734100844E-2</v>
      </c>
      <c r="H823" s="251">
        <f t="shared" si="186"/>
        <v>1.3115119734100844E-2</v>
      </c>
      <c r="I823" s="251">
        <f t="shared" si="186"/>
        <v>1.3115119734100844E-2</v>
      </c>
      <c r="J823" s="251">
        <f t="shared" si="186"/>
        <v>1.3115119734100844E-2</v>
      </c>
      <c r="K823" s="251">
        <f t="shared" ref="K823" si="187">POWER(1+K822,PRJ_Step/360)-1-IF(CalcMethod=1,K820,0)</f>
        <v>1.3115119734100844E-2</v>
      </c>
      <c r="M823" s="11"/>
    </row>
    <row r="824" spans="1:13" hidden="1" outlineLevel="2" x14ac:dyDescent="0.2">
      <c r="A824" t="str">
        <f ca="1">Language!A$838</f>
        <v xml:space="preserve">    коэффициент дисконта для потока на начало периода</v>
      </c>
      <c r="D824" s="16" t="s">
        <v>176</v>
      </c>
      <c r="F824" s="252">
        <v>1</v>
      </c>
      <c r="G824" s="252">
        <f t="shared" ref="G824:K824" si="188">F824*(1+F823)</f>
        <v>1.0131151197341008</v>
      </c>
      <c r="H824" s="252">
        <f t="shared" si="188"/>
        <v>1.0264022458338415</v>
      </c>
      <c r="I824" s="252">
        <f t="shared" si="188"/>
        <v>1.0398636341833023</v>
      </c>
      <c r="J824" s="252">
        <f t="shared" si="188"/>
        <v>1.0535015702527535</v>
      </c>
      <c r="K824" s="252">
        <f t="shared" si="188"/>
        <v>1.0673183694866817</v>
      </c>
      <c r="M824" s="11"/>
    </row>
    <row r="825" spans="1:13" outlineLevel="1" x14ac:dyDescent="0.2">
      <c r="M825" s="11"/>
    </row>
    <row r="826" spans="1:13" outlineLevel="1" collapsed="1" x14ac:dyDescent="0.2">
      <c r="A826" s="23" t="str">
        <f ca="1">Language!A$840</f>
        <v>Учитываемые денежные потоки проекта:</v>
      </c>
      <c r="M826" s="11"/>
    </row>
    <row r="827" spans="1:13" hidden="1" outlineLevel="2" x14ac:dyDescent="0.2">
      <c r="A827" t="str">
        <f ca="1">Language!A$841</f>
        <v>Денежные потоки от операционной деятельности</v>
      </c>
      <c r="B827" s="36" t="str">
        <f ca="1">Language!A$828</f>
        <v>Да</v>
      </c>
      <c r="C827" s="5" t="str">
        <f t="shared" ref="C827:C837" ca="1" si="189">CUR_Report</f>
        <v>руб.</v>
      </c>
      <c r="F827" s="43">
        <f t="shared" ref="F827:J827" ca="1" si="190">F286</f>
        <v>13127500</v>
      </c>
      <c r="G827" s="43">
        <f t="shared" ca="1" si="190"/>
        <v>58087900</v>
      </c>
      <c r="H827" s="43">
        <f t="shared" ca="1" si="190"/>
        <v>91768300</v>
      </c>
      <c r="I827" s="43">
        <f t="shared" ca="1" si="190"/>
        <v>91688500</v>
      </c>
      <c r="J827" s="43">
        <f t="shared" ca="1" si="190"/>
        <v>91688500</v>
      </c>
      <c r="K827" s="43">
        <f t="shared" ref="K827" ca="1" si="191">K286</f>
        <v>91688500</v>
      </c>
      <c r="L827" s="43"/>
      <c r="M827" s="54">
        <f ca="1">SUM(F827:K827)</f>
        <v>438049200</v>
      </c>
    </row>
    <row r="828" spans="1:13" hidden="1" outlineLevel="2" x14ac:dyDescent="0.2">
      <c r="A828" t="str">
        <f ca="1">Language!A$842</f>
        <v xml:space="preserve">    за исключением процентов по кредитам</v>
      </c>
      <c r="B828" s="36" t="str">
        <f ca="1">Language!A$828</f>
        <v>Да</v>
      </c>
      <c r="C828" s="5" t="str">
        <f t="shared" ca="1" si="189"/>
        <v>руб.</v>
      </c>
      <c r="D828" s="5"/>
      <c r="F828" s="43">
        <f t="shared" ref="F828:J828" ca="1" si="192">-F279</f>
        <v>0</v>
      </c>
      <c r="G828" s="43">
        <f t="shared" ca="1" si="192"/>
        <v>0</v>
      </c>
      <c r="H828" s="43">
        <f t="shared" ca="1" si="192"/>
        <v>0</v>
      </c>
      <c r="I828" s="43">
        <f t="shared" ca="1" si="192"/>
        <v>0</v>
      </c>
      <c r="J828" s="43">
        <f t="shared" ca="1" si="192"/>
        <v>0</v>
      </c>
      <c r="K828" s="43">
        <f t="shared" ref="K828" ca="1" si="193">-K279</f>
        <v>0</v>
      </c>
      <c r="L828" s="43"/>
      <c r="M828" s="54">
        <f ca="1">SUM(F828:K828)</f>
        <v>0</v>
      </c>
    </row>
    <row r="829" spans="1:13" hidden="1" outlineLevel="2" x14ac:dyDescent="0.2">
      <c r="A829" t="str">
        <f ca="1">Language!A$843</f>
        <v>Денежные потоки от инвестиционной деятельности</v>
      </c>
      <c r="B829" s="36" t="str">
        <f ca="1">Language!A$828</f>
        <v>Да</v>
      </c>
      <c r="C829" s="5" t="str">
        <f t="shared" ca="1" si="189"/>
        <v>руб.</v>
      </c>
      <c r="D829" s="5"/>
      <c r="F829" s="43">
        <f t="shared" ref="F829:J829" ca="1" si="194">F306</f>
        <v>1994583.333333333</v>
      </c>
      <c r="G829" s="43">
        <f t="shared" ca="1" si="194"/>
        <v>8761560</v>
      </c>
      <c r="H829" s="43">
        <f t="shared" ca="1" si="194"/>
        <v>6591560</v>
      </c>
      <c r="I829" s="43">
        <f t="shared" ca="1" si="194"/>
        <v>-669220</v>
      </c>
      <c r="J829" s="43">
        <f t="shared" ca="1" si="194"/>
        <v>-50000</v>
      </c>
      <c r="K829" s="43">
        <f t="shared" ref="K829" ca="1" si="195">K306</f>
        <v>-50000</v>
      </c>
      <c r="L829" s="43"/>
      <c r="M829" s="54">
        <f ca="1">SUM(F829:K829)</f>
        <v>16578483.333333332</v>
      </c>
    </row>
    <row r="830" spans="1:13" hidden="1" outlineLevel="2" x14ac:dyDescent="0.2">
      <c r="A830" t="str">
        <f ca="1">Language!A$844</f>
        <v>Поступления собственного капитала</v>
      </c>
      <c r="B830" s="36" t="str">
        <f ca="1">Language!A$828</f>
        <v>Да</v>
      </c>
      <c r="C830" s="5" t="str">
        <f t="shared" ca="1" si="189"/>
        <v>руб.</v>
      </c>
      <c r="D830" s="5"/>
      <c r="F830" s="53">
        <f t="shared" ref="F830:J830" ca="1" si="196">F309</f>
        <v>0</v>
      </c>
      <c r="G830" s="53">
        <f t="shared" ca="1" si="196"/>
        <v>0</v>
      </c>
      <c r="H830" s="53">
        <f t="shared" ca="1" si="196"/>
        <v>0</v>
      </c>
      <c r="I830" s="53">
        <f t="shared" ca="1" si="196"/>
        <v>0</v>
      </c>
      <c r="J830" s="53">
        <f t="shared" ca="1" si="196"/>
        <v>0</v>
      </c>
      <c r="K830" s="53">
        <f t="shared" ref="K830" ca="1" si="197">K309</f>
        <v>0</v>
      </c>
      <c r="L830" s="43"/>
      <c r="M830" s="54">
        <f ca="1">SUM(F830:K830)</f>
        <v>0</v>
      </c>
    </row>
    <row r="831" spans="1:13" hidden="1" outlineLevel="2" x14ac:dyDescent="0.2">
      <c r="A831" t="str">
        <f ca="1">Language!A$845</f>
        <v>Поступления целевого финансирования</v>
      </c>
      <c r="B831" s="36" t="str">
        <f ca="1">Language!A$828</f>
        <v>Да</v>
      </c>
      <c r="C831" s="5" t="str">
        <f t="shared" ca="1" si="189"/>
        <v>руб.</v>
      </c>
      <c r="D831" s="5"/>
      <c r="F831" s="43">
        <f t="shared" ref="F831:J831" ca="1" si="198">F311+F313</f>
        <v>0</v>
      </c>
      <c r="G831" s="43">
        <f t="shared" ca="1" si="198"/>
        <v>0</v>
      </c>
      <c r="H831" s="43">
        <f t="shared" ca="1" si="198"/>
        <v>0</v>
      </c>
      <c r="I831" s="43">
        <f t="shared" ca="1" si="198"/>
        <v>0</v>
      </c>
      <c r="J831" s="43">
        <f t="shared" ca="1" si="198"/>
        <v>0</v>
      </c>
      <c r="K831" s="43">
        <f t="shared" ref="K831" ca="1" si="199">K311+K313</f>
        <v>0</v>
      </c>
      <c r="L831" s="43"/>
      <c r="M831" s="54">
        <f ca="1">SUM(F831:K831)</f>
        <v>0</v>
      </c>
    </row>
    <row r="832" spans="1:13" hidden="1" outlineLevel="2" x14ac:dyDescent="0.2">
      <c r="A832" t="str">
        <f ca="1">Language!A$846</f>
        <v>Поступления кредитов</v>
      </c>
      <c r="B832" s="36" t="str">
        <f ca="1">Language!A$829</f>
        <v>Нет</v>
      </c>
      <c r="C832" s="5" t="str">
        <f t="shared" ca="1" si="189"/>
        <v>руб.</v>
      </c>
      <c r="D832" s="5"/>
      <c r="F832" s="43"/>
      <c r="G832" s="43"/>
      <c r="H832" s="43"/>
      <c r="I832" s="43"/>
      <c r="J832" s="43"/>
      <c r="K832" s="43"/>
      <c r="L832" s="43"/>
      <c r="M832" s="54"/>
    </row>
    <row r="833" spans="1:13" hidden="1" outlineLevel="2" x14ac:dyDescent="0.2">
      <c r="A833" t="str">
        <f ca="1">Language!A$847</f>
        <v>Возврат кредитов</v>
      </c>
      <c r="B833" s="36" t="str">
        <f ca="1">Language!A$829</f>
        <v>Нет</v>
      </c>
      <c r="C833" s="5" t="str">
        <f t="shared" ca="1" si="189"/>
        <v>руб.</v>
      </c>
      <c r="D833" s="5"/>
      <c r="F833" s="43"/>
      <c r="G833" s="43"/>
      <c r="H833" s="43"/>
      <c r="I833" s="43"/>
      <c r="J833" s="43"/>
      <c r="K833" s="43"/>
      <c r="L833" s="43"/>
      <c r="M833" s="54"/>
    </row>
    <row r="834" spans="1:13" hidden="1" outlineLevel="2" x14ac:dyDescent="0.2">
      <c r="A834" t="str">
        <f ca="1">Language!A$848</f>
        <v>Лизинговые платежи</v>
      </c>
      <c r="B834" s="36" t="str">
        <f ca="1">Language!A$828</f>
        <v>Да</v>
      </c>
      <c r="C834" s="5" t="str">
        <f t="shared" ca="1" si="189"/>
        <v>руб.</v>
      </c>
      <c r="D834" s="5"/>
      <c r="F834" s="43">
        <f t="shared" ref="F834:J834" ca="1" si="200">F319</f>
        <v>0</v>
      </c>
      <c r="G834" s="43">
        <f t="shared" ca="1" si="200"/>
        <v>0</v>
      </c>
      <c r="H834" s="43">
        <f t="shared" ca="1" si="200"/>
        <v>0</v>
      </c>
      <c r="I834" s="43">
        <f t="shared" ca="1" si="200"/>
        <v>0</v>
      </c>
      <c r="J834" s="43">
        <f t="shared" ca="1" si="200"/>
        <v>0</v>
      </c>
      <c r="K834" s="43">
        <f t="shared" ref="K834" ca="1" si="201">K319</f>
        <v>0</v>
      </c>
      <c r="L834" s="43"/>
      <c r="M834" s="54">
        <f ca="1">SUM(F834:K834)</f>
        <v>0</v>
      </c>
    </row>
    <row r="835" spans="1:13" hidden="1" outlineLevel="2" x14ac:dyDescent="0.2">
      <c r="A835" t="str">
        <f ca="1">Language!A$849</f>
        <v>Выплата дивидендов</v>
      </c>
      <c r="B835" s="36" t="str">
        <f ca="1">Language!A$828</f>
        <v>Да</v>
      </c>
      <c r="C835" s="5" t="str">
        <f t="shared" ca="1" si="189"/>
        <v>руб.</v>
      </c>
      <c r="D835" s="5"/>
      <c r="F835" s="53">
        <f t="shared" ref="F835:J835" ca="1" si="202">F321</f>
        <v>0</v>
      </c>
      <c r="G835" s="53">
        <f t="shared" ca="1" si="202"/>
        <v>0</v>
      </c>
      <c r="H835" s="53">
        <f t="shared" ca="1" si="202"/>
        <v>0</v>
      </c>
      <c r="I835" s="53">
        <f t="shared" ca="1" si="202"/>
        <v>0</v>
      </c>
      <c r="J835" s="53">
        <f t="shared" ca="1" si="202"/>
        <v>0</v>
      </c>
      <c r="K835" s="53">
        <f t="shared" ref="K835" ca="1" si="203">K321</f>
        <v>0</v>
      </c>
      <c r="L835" s="43"/>
      <c r="M835" s="54">
        <f ca="1">SUM(F835:K835)</f>
        <v>0</v>
      </c>
    </row>
    <row r="836" spans="1:13" hidden="1" outlineLevel="2" x14ac:dyDescent="0.2">
      <c r="A836" t="str">
        <f ca="1">Language!A$850</f>
        <v>Ранее осуществленные инвестиции</v>
      </c>
      <c r="B836" s="36" t="str">
        <f ca="1">Language!A$829</f>
        <v>Нет</v>
      </c>
      <c r="C836" s="5" t="str">
        <f t="shared" ca="1" si="189"/>
        <v>руб.</v>
      </c>
      <c r="D836" s="5"/>
      <c r="F836" s="43"/>
      <c r="G836" s="43"/>
      <c r="H836" s="43"/>
      <c r="I836" s="43"/>
      <c r="J836" s="43"/>
      <c r="K836" s="43"/>
      <c r="L836" s="43"/>
      <c r="M836" s="54"/>
    </row>
    <row r="837" spans="1:13" hidden="1" outlineLevel="2" x14ac:dyDescent="0.2">
      <c r="A837" t="str">
        <f ca="1">Language!A$851</f>
        <v>Остаточная стоимость проекта</v>
      </c>
      <c r="B837" s="36" t="str">
        <f ca="1">Language!A$829</f>
        <v>Нет</v>
      </c>
      <c r="C837" s="5" t="str">
        <f t="shared" ca="1" si="189"/>
        <v>руб.</v>
      </c>
      <c r="D837" s="5"/>
      <c r="F837" s="43"/>
      <c r="G837" s="43"/>
      <c r="H837" s="43"/>
      <c r="I837" s="43"/>
      <c r="J837" s="43"/>
      <c r="K837" s="43"/>
      <c r="L837" s="43"/>
      <c r="M837" s="54"/>
    </row>
    <row r="838" spans="1:13" hidden="1" outlineLevel="2" x14ac:dyDescent="0.2">
      <c r="A838" s="63"/>
      <c r="B838" s="63"/>
      <c r="C838" s="67"/>
      <c r="D838" s="67"/>
      <c r="E838" s="63"/>
      <c r="F838" s="121"/>
      <c r="G838" s="121"/>
      <c r="H838" s="121"/>
      <c r="I838" s="121"/>
      <c r="J838" s="121"/>
      <c r="K838" s="121"/>
      <c r="L838" s="121"/>
      <c r="M838" s="122"/>
    </row>
    <row r="839" spans="1:13" hidden="1" outlineLevel="2" x14ac:dyDescent="0.2">
      <c r="A839" s="24" t="str">
        <f ca="1">Language!A$852</f>
        <v>Чистый денежный поток</v>
      </c>
      <c r="B839" s="19"/>
      <c r="C839" s="5" t="str">
        <f ca="1">CUR_Report</f>
        <v>руб.</v>
      </c>
      <c r="D839" s="26"/>
      <c r="E839" s="19"/>
      <c r="F839" s="65">
        <f t="shared" ref="F839:J839" ca="1" si="204">F829+F836+F831+F830+F837+F827+F828+F834+F835</f>
        <v>15122083.333333332</v>
      </c>
      <c r="G839" s="65">
        <f t="shared" ca="1" si="204"/>
        <v>66849460</v>
      </c>
      <c r="H839" s="65">
        <f t="shared" ca="1" si="204"/>
        <v>98359860</v>
      </c>
      <c r="I839" s="65">
        <f t="shared" ca="1" si="204"/>
        <v>91019280</v>
      </c>
      <c r="J839" s="65">
        <f t="shared" ca="1" si="204"/>
        <v>91638500</v>
      </c>
      <c r="K839" s="65">
        <f t="shared" ref="K839" ca="1" si="205">K829+K836+K831+K830+K837+K827+K828+K834+K835</f>
        <v>91638500</v>
      </c>
      <c r="L839" s="65"/>
      <c r="M839" s="54">
        <f ca="1">SUM(F839:K839)</f>
        <v>454627683.33333331</v>
      </c>
    </row>
    <row r="840" spans="1:13" outlineLevel="1" x14ac:dyDescent="0.2">
      <c r="A840" t="str">
        <f ca="1">Language!A$853</f>
        <v>Дисконтированный чистый денежный поток</v>
      </c>
      <c r="C840" s="5" t="str">
        <f ca="1">CUR_Report</f>
        <v>руб.</v>
      </c>
      <c r="D840" s="5"/>
      <c r="F840" s="43">
        <f t="shared" ref="F840:J840" ca="1" si="206">F839/F824</f>
        <v>15122083.333333332</v>
      </c>
      <c r="G840" s="43">
        <f t="shared" ca="1" si="206"/>
        <v>65984071.008184254</v>
      </c>
      <c r="H840" s="43">
        <f t="shared" ca="1" si="206"/>
        <v>95829739.655424446</v>
      </c>
      <c r="I840" s="43">
        <f t="shared" ca="1" si="206"/>
        <v>87530015.482737377</v>
      </c>
      <c r="J840" s="43">
        <f t="shared" ca="1" si="206"/>
        <v>86984682.878084674</v>
      </c>
      <c r="K840" s="43">
        <f t="shared" ref="K840" ca="1" si="207">K839/K824</f>
        <v>85858636.579142556</v>
      </c>
      <c r="L840" s="43"/>
      <c r="M840" s="54">
        <f ca="1">SUM(F840:K840)</f>
        <v>437309228.93690664</v>
      </c>
    </row>
    <row r="841" spans="1:13" outlineLevel="1" x14ac:dyDescent="0.2">
      <c r="A841" t="str">
        <f ca="1">Language!A$854</f>
        <v>Дисконтированный поток нарастающим итогом</v>
      </c>
      <c r="C841" s="5" t="str">
        <f ca="1">CUR_Report</f>
        <v>руб.</v>
      </c>
      <c r="D841" s="5"/>
      <c r="F841" s="43">
        <f t="shared" ref="F841:K841" ca="1" si="208">E841+F840</f>
        <v>15122083.333333332</v>
      </c>
      <c r="G841" s="43">
        <f t="shared" ca="1" si="208"/>
        <v>81106154.341517583</v>
      </c>
      <c r="H841" s="43">
        <f t="shared" ca="1" si="208"/>
        <v>176935893.99694204</v>
      </c>
      <c r="I841" s="43">
        <f t="shared" ca="1" si="208"/>
        <v>264465909.47967941</v>
      </c>
      <c r="J841" s="43">
        <f t="shared" ca="1" si="208"/>
        <v>351450592.35776407</v>
      </c>
      <c r="K841" s="43">
        <f t="shared" ca="1" si="208"/>
        <v>437309228.93690664</v>
      </c>
      <c r="L841" s="43"/>
      <c r="M841" s="54"/>
    </row>
    <row r="842" spans="1:13" outlineLevel="1" x14ac:dyDescent="0.2">
      <c r="F842" s="43"/>
      <c r="G842" s="43"/>
      <c r="H842" s="43"/>
      <c r="I842" s="43"/>
      <c r="J842" s="43"/>
      <c r="K842" s="43"/>
      <c r="L842" s="43"/>
      <c r="M842" s="54"/>
    </row>
    <row r="843" spans="1:13" outlineLevel="1" collapsed="1" x14ac:dyDescent="0.2">
      <c r="A843" s="23" t="str">
        <f ca="1">Language!A$855</f>
        <v>Простой срок окупаемости</v>
      </c>
      <c r="B843" s="164" t="str">
        <f ca="1">IF(ISERROR(E845),Language!A$829,IF(E845&gt;=PRJ_Len,Language!A$829,IF(OR(E845=0),E845*PRJ_Step/360,(E845-OFFSET(F844,0,E845-1)/(-OFFSET(F844,0,E845-1)+OFFSET(F844,0,E845)))*PRJ_Step/360)))</f>
        <v>Нет</v>
      </c>
      <c r="C843" s="17" t="str">
        <f ca="1">IF(B843=0,Language!A$33,IF(OR(B843&lt;1,AND(B843&gt;1,B843&lt;5)),Language!A$830,IF(B843=1,Language!A$37,Language!A$33)))</f>
        <v>лет</v>
      </c>
      <c r="M843" s="11"/>
    </row>
    <row r="844" spans="1:13" hidden="1" outlineLevel="2" x14ac:dyDescent="0.2">
      <c r="A844" t="str">
        <f ca="1">Language!A$856</f>
        <v xml:space="preserve">    недисконтированный поток нарастающим итогом</v>
      </c>
      <c r="D844" s="16" t="s">
        <v>384</v>
      </c>
      <c r="F844" s="53">
        <f t="shared" ref="F844:K844" ca="1" si="209">E844+F839</f>
        <v>15122083.333333332</v>
      </c>
      <c r="G844" s="53">
        <f t="shared" ca="1" si="209"/>
        <v>81971543.333333328</v>
      </c>
      <c r="H844" s="53">
        <f t="shared" ca="1" si="209"/>
        <v>180331403.33333331</v>
      </c>
      <c r="I844" s="53">
        <f t="shared" ca="1" si="209"/>
        <v>271350683.33333331</v>
      </c>
      <c r="J844" s="53">
        <f t="shared" ca="1" si="209"/>
        <v>362989183.33333331</v>
      </c>
      <c r="K844" s="53">
        <f t="shared" ca="1" si="209"/>
        <v>454627683.33333331</v>
      </c>
      <c r="M844" s="11"/>
    </row>
    <row r="845" spans="1:13" hidden="1" outlineLevel="2" x14ac:dyDescent="0.2">
      <c r="A845" t="str">
        <f ca="1">Language!A$857</f>
        <v xml:space="preserve">    знак остатка денежных средств</v>
      </c>
      <c r="D845" s="16" t="s">
        <v>384</v>
      </c>
      <c r="E845" s="101" t="e">
        <f ca="1">PRJ_Len+1-(MATCH(-1,F846:L846,0))</f>
        <v>#N/A</v>
      </c>
      <c r="F845" s="16">
        <f t="shared" ref="F845:J845" ca="1" si="210">SIGN(F844)</f>
        <v>1</v>
      </c>
      <c r="G845" s="16">
        <f t="shared" ca="1" si="210"/>
        <v>1</v>
      </c>
      <c r="H845" s="16">
        <f t="shared" ca="1" si="210"/>
        <v>1</v>
      </c>
      <c r="I845" s="16">
        <f t="shared" ca="1" si="210"/>
        <v>1</v>
      </c>
      <c r="J845" s="16">
        <f t="shared" ca="1" si="210"/>
        <v>1</v>
      </c>
      <c r="K845" s="16">
        <f t="shared" ref="K845" ca="1" si="211">SIGN(K844)</f>
        <v>1</v>
      </c>
      <c r="M845" s="11"/>
    </row>
    <row r="846" spans="1:13" hidden="1" outlineLevel="2" x14ac:dyDescent="0.2">
      <c r="A846" t="str">
        <f ca="1">Language!A$858</f>
        <v xml:space="preserve">    знак остатка денежных средств (с конца)</v>
      </c>
      <c r="D846" s="16" t="s">
        <v>384</v>
      </c>
      <c r="F846" s="101">
        <f t="shared" ref="F846:J846" ca="1" si="212">OFFSET(F845,0,PRJ_Len-F$33-F$33+1)</f>
        <v>1</v>
      </c>
      <c r="G846" s="101">
        <f t="shared" ca="1" si="212"/>
        <v>1</v>
      </c>
      <c r="H846" s="101">
        <f t="shared" ca="1" si="212"/>
        <v>1</v>
      </c>
      <c r="I846" s="101">
        <f t="shared" ca="1" si="212"/>
        <v>1</v>
      </c>
      <c r="J846" s="101">
        <f t="shared" ca="1" si="212"/>
        <v>1</v>
      </c>
      <c r="K846" s="101">
        <f t="shared" ref="K846" ca="1" si="213">OFFSET(K845,0,PRJ_Len-K$33-K$33+1)</f>
        <v>1</v>
      </c>
      <c r="M846" s="11"/>
    </row>
    <row r="847" spans="1:13" outlineLevel="1" x14ac:dyDescent="0.2">
      <c r="M847" s="11"/>
    </row>
    <row r="848" spans="1:13" outlineLevel="1" x14ac:dyDescent="0.2">
      <c r="A848" s="35" t="str">
        <f ca="1">Language!A$859</f>
        <v>Чистая приведенная стоимость (NPV)</v>
      </c>
      <c r="B848" s="151">
        <f ca="1">M840</f>
        <v>437309228.93690664</v>
      </c>
      <c r="C848" s="5" t="str">
        <f ca="1">CUR_Report</f>
        <v>руб.</v>
      </c>
      <c r="M848" s="11"/>
    </row>
    <row r="849" spans="1:13" outlineLevel="1" collapsed="1" x14ac:dyDescent="0.2">
      <c r="A849" s="35" t="str">
        <f ca="1">Language!A$860</f>
        <v>Дисконтированный срок окупаемости (PBP)</v>
      </c>
      <c r="B849" s="150" t="str">
        <f ca="1">IF(ISERROR(E850),Language!A$829,IF(E850&gt;=PRJ_Len,Language!A$829,IF(OR(E850=0),E850*PRJ_Step/360,(E850-OFFSET(F841,0,E850-1)/(-OFFSET(F841,0,E850-1)+OFFSET(F841,0,E850)))*PRJ_Step/360)))</f>
        <v>Нет</v>
      </c>
      <c r="C849" s="17" t="str">
        <f ca="1">IF(B849=0,Language!A$33,IF(OR(B849&lt;1,AND(B849&gt;1,B849&lt;5)),Language!A$830,IF(B849=1,Language!A$37,Language!A$33)))</f>
        <v>лет</v>
      </c>
      <c r="M849" s="11"/>
    </row>
    <row r="850" spans="1:13" hidden="1" outlineLevel="2" x14ac:dyDescent="0.2">
      <c r="A850" t="str">
        <f ca="1">Language!A$861</f>
        <v xml:space="preserve">    знак остатка дисконтированных денежных средств</v>
      </c>
      <c r="D850" s="16" t="s">
        <v>384</v>
      </c>
      <c r="E850" s="101" t="e">
        <f ca="1">PRJ_Len+1-(MATCH(-1,F851:L851,0))</f>
        <v>#N/A</v>
      </c>
      <c r="F850" s="16">
        <f t="shared" ref="F850:J850" ca="1" si="214">SIGN(F841)</f>
        <v>1</v>
      </c>
      <c r="G850" s="16">
        <f t="shared" ca="1" si="214"/>
        <v>1</v>
      </c>
      <c r="H850" s="16">
        <f t="shared" ca="1" si="214"/>
        <v>1</v>
      </c>
      <c r="I850" s="16">
        <f t="shared" ca="1" si="214"/>
        <v>1</v>
      </c>
      <c r="J850" s="16">
        <f t="shared" ca="1" si="214"/>
        <v>1</v>
      </c>
      <c r="K850" s="16">
        <f t="shared" ref="K850" ca="1" si="215">SIGN(K841)</f>
        <v>1</v>
      </c>
      <c r="M850" s="11"/>
    </row>
    <row r="851" spans="1:13" hidden="1" outlineLevel="2" x14ac:dyDescent="0.2">
      <c r="A851" t="str">
        <f ca="1">Language!A$862</f>
        <v xml:space="preserve">    знак остатка дисконтированных денежных средств (с конца)</v>
      </c>
      <c r="D851" s="16" t="s">
        <v>384</v>
      </c>
      <c r="F851" s="101">
        <f t="shared" ref="F851:J851" ca="1" si="216">OFFSET(F850,0,PRJ_Len-F$33-F$33+1)</f>
        <v>1</v>
      </c>
      <c r="G851" s="101">
        <f t="shared" ca="1" si="216"/>
        <v>1</v>
      </c>
      <c r="H851" s="101">
        <f t="shared" ca="1" si="216"/>
        <v>1</v>
      </c>
      <c r="I851" s="101">
        <f t="shared" ca="1" si="216"/>
        <v>1</v>
      </c>
      <c r="J851" s="101">
        <f t="shared" ca="1" si="216"/>
        <v>1</v>
      </c>
      <c r="K851" s="101">
        <f t="shared" ref="K851" ca="1" si="217">OFFSET(K850,0,PRJ_Len-K$33-K$33+1)</f>
        <v>1</v>
      </c>
      <c r="M851" s="11"/>
    </row>
    <row r="852" spans="1:13" outlineLevel="1" collapsed="1" x14ac:dyDescent="0.2">
      <c r="A852" s="130" t="str">
        <f ca="1">Language!A$863</f>
        <v>Внутренняя норма рентабельности (IRR)</v>
      </c>
      <c r="B852" s="152" t="str">
        <f ca="1">IF(ISERROR(E852),Language!A$829,IF(AND(E852&gt;0,E852&lt;100),E852,Language!A$829))</f>
        <v>Нет</v>
      </c>
      <c r="C852" s="216" t="str">
        <f ca="1">IF(CalcMethod=1,Language!A$831,Language!A$832)</f>
        <v>(реальная - без учета инфляции)</v>
      </c>
      <c r="E852" s="16" t="e">
        <f ca="1">(POWER(1+IRR(F853:K853,0.2*PRJ_Step/360),360/PRJ_Step)-1)</f>
        <v>#NUM!</v>
      </c>
      <c r="M852" s="11"/>
    </row>
    <row r="853" spans="1:13" s="48" customFormat="1" hidden="1" outlineLevel="2" x14ac:dyDescent="0.2">
      <c r="A853" s="24" t="str">
        <f ca="1">Language!A$852</f>
        <v>Чистый денежный поток</v>
      </c>
      <c r="B853" s="223"/>
      <c r="C853" s="216"/>
      <c r="E853" s="101"/>
      <c r="F853" s="65">
        <f t="shared" ref="F853:J853" ca="1" si="218">F839</f>
        <v>15122083.333333332</v>
      </c>
      <c r="G853" s="65">
        <f t="shared" ca="1" si="218"/>
        <v>66849460</v>
      </c>
      <c r="H853" s="65">
        <f t="shared" ca="1" si="218"/>
        <v>98359860</v>
      </c>
      <c r="I853" s="65">
        <f t="shared" ca="1" si="218"/>
        <v>91019280</v>
      </c>
      <c r="J853" s="65">
        <f t="shared" ca="1" si="218"/>
        <v>91638500</v>
      </c>
      <c r="K853" s="65">
        <f t="shared" ref="K853" ca="1" si="219">K839</f>
        <v>91638500</v>
      </c>
      <c r="M853" s="41"/>
    </row>
    <row r="854" spans="1:13" outlineLevel="1" collapsed="1" x14ac:dyDescent="0.2">
      <c r="A854" s="23" t="str">
        <f ca="1">Language!A$864</f>
        <v>Норма доходности дисконтированных затрат (PI)</v>
      </c>
      <c r="B854" s="309" t="str">
        <f ca="1">IF(M858&lt;0,M856/-M858,Language!A$829)</f>
        <v>Нет</v>
      </c>
      <c r="C854" s="5" t="str">
        <f ca="1">Language!A$197</f>
        <v>разы</v>
      </c>
      <c r="M854" s="11"/>
    </row>
    <row r="855" spans="1:13" hidden="1" outlineLevel="2" x14ac:dyDescent="0.2">
      <c r="A855" t="str">
        <f ca="1">Language!A$865</f>
        <v xml:space="preserve">    притоки</v>
      </c>
      <c r="C855" s="5" t="str">
        <f ca="1">CUR_Report</f>
        <v>руб.</v>
      </c>
      <c r="F855" s="43">
        <f t="shared" ref="F855:J855" ca="1" si="220">MAX(0,F839)</f>
        <v>15122083.333333332</v>
      </c>
      <c r="G855" s="43">
        <f t="shared" ca="1" si="220"/>
        <v>66849460</v>
      </c>
      <c r="H855" s="43">
        <f t="shared" ca="1" si="220"/>
        <v>98359860</v>
      </c>
      <c r="I855" s="43">
        <f t="shared" ca="1" si="220"/>
        <v>91019280</v>
      </c>
      <c r="J855" s="43">
        <f t="shared" ca="1" si="220"/>
        <v>91638500</v>
      </c>
      <c r="K855" s="43">
        <f t="shared" ref="K855" ca="1" si="221">MAX(0,K839)</f>
        <v>91638500</v>
      </c>
      <c r="M855" s="54">
        <f ca="1">SUM(F855:K855)</f>
        <v>454627683.33333331</v>
      </c>
    </row>
    <row r="856" spans="1:13" hidden="1" outlineLevel="2" x14ac:dyDescent="0.2">
      <c r="A856" t="str">
        <f ca="1">Language!A$866</f>
        <v xml:space="preserve">    дисконтированные притоки</v>
      </c>
      <c r="C856" s="5" t="str">
        <f ca="1">CUR_Report</f>
        <v>руб.</v>
      </c>
      <c r="F856" s="43">
        <f t="shared" ref="F856:J856" ca="1" si="222">F855/F824</f>
        <v>15122083.333333332</v>
      </c>
      <c r="G856" s="43">
        <f t="shared" ca="1" si="222"/>
        <v>65984071.008184254</v>
      </c>
      <c r="H856" s="43">
        <f t="shared" ca="1" si="222"/>
        <v>95829739.655424446</v>
      </c>
      <c r="I856" s="43">
        <f t="shared" ca="1" si="222"/>
        <v>87530015.482737377</v>
      </c>
      <c r="J856" s="43">
        <f t="shared" ca="1" si="222"/>
        <v>86984682.878084674</v>
      </c>
      <c r="K856" s="43">
        <f t="shared" ref="K856" ca="1" si="223">K855/K824</f>
        <v>85858636.579142556</v>
      </c>
      <c r="M856" s="54">
        <f ca="1">SUM(F856:K856)</f>
        <v>437309228.93690664</v>
      </c>
    </row>
    <row r="857" spans="1:13" hidden="1" outlineLevel="2" x14ac:dyDescent="0.2">
      <c r="A857" t="str">
        <f ca="1">Language!A$867</f>
        <v xml:space="preserve">    оттоки</v>
      </c>
      <c r="C857" s="5" t="str">
        <f ca="1">CUR_Report</f>
        <v>руб.</v>
      </c>
      <c r="F857" s="43">
        <f t="shared" ref="F857:J857" ca="1" si="224">MIN(0,F839)</f>
        <v>0</v>
      </c>
      <c r="G857" s="43">
        <f t="shared" ca="1" si="224"/>
        <v>0</v>
      </c>
      <c r="H857" s="43">
        <f t="shared" ca="1" si="224"/>
        <v>0</v>
      </c>
      <c r="I857" s="43">
        <f t="shared" ca="1" si="224"/>
        <v>0</v>
      </c>
      <c r="J857" s="43">
        <f t="shared" ca="1" si="224"/>
        <v>0</v>
      </c>
      <c r="K857" s="43">
        <f t="shared" ref="K857" ca="1" si="225">MIN(0,K839)</f>
        <v>0</v>
      </c>
      <c r="M857" s="54">
        <f ca="1">SUM(F857:K857)</f>
        <v>0</v>
      </c>
    </row>
    <row r="858" spans="1:13" hidden="1" outlineLevel="2" x14ac:dyDescent="0.2">
      <c r="A858" t="str">
        <f ca="1">Language!A$868</f>
        <v xml:space="preserve">    дисконтированные оттоки</v>
      </c>
      <c r="C858" s="5" t="str">
        <f ca="1">CUR_Report</f>
        <v>руб.</v>
      </c>
      <c r="F858" s="43">
        <f t="shared" ref="F858:J858" ca="1" si="226">F857/F824</f>
        <v>0</v>
      </c>
      <c r="G858" s="43">
        <f t="shared" ca="1" si="226"/>
        <v>0</v>
      </c>
      <c r="H858" s="43">
        <f t="shared" ca="1" si="226"/>
        <v>0</v>
      </c>
      <c r="I858" s="43">
        <f t="shared" ca="1" si="226"/>
        <v>0</v>
      </c>
      <c r="J858" s="43">
        <f t="shared" ca="1" si="226"/>
        <v>0</v>
      </c>
      <c r="K858" s="43">
        <f t="shared" ref="K858" ca="1" si="227">K857/K824</f>
        <v>0</v>
      </c>
      <c r="M858" s="54">
        <f ca="1">SUM(F858:K858)</f>
        <v>0</v>
      </c>
    </row>
    <row r="859" spans="1:13" outlineLevel="1" x14ac:dyDescent="0.2">
      <c r="F859" s="43"/>
      <c r="G859" s="43"/>
      <c r="H859" s="43"/>
      <c r="I859" s="43"/>
      <c r="J859" s="43"/>
      <c r="K859" s="43"/>
      <c r="M859" s="11"/>
    </row>
    <row r="860" spans="1:13" outlineLevel="1" x14ac:dyDescent="0.2">
      <c r="A860" s="23" t="str">
        <f ca="1">Language!A$869</f>
        <v>Модифицированная IRR (MIRR)</v>
      </c>
      <c r="B860" s="310" t="str">
        <f ca="1">IF(ISERROR(E860),Language!A$829,E860)</f>
        <v>Нет</v>
      </c>
      <c r="C860" s="5"/>
      <c r="E860" s="153" t="e">
        <f ca="1">(POWER(1+MIRR(F839:L839,POWER(1+B862,PRJ_Step/360)-1,POWER(1+B861,PRJ_Step/360)-1),360/PRJ_Step)-1)</f>
        <v>#DIV/0!</v>
      </c>
      <c r="F860" s="43"/>
      <c r="G860" s="43"/>
      <c r="H860" s="43"/>
      <c r="I860" s="43"/>
      <c r="J860" s="43"/>
      <c r="K860" s="43"/>
      <c r="M860" s="11"/>
    </row>
    <row r="861" spans="1:13" outlineLevel="1" x14ac:dyDescent="0.2">
      <c r="A861" t="str">
        <f ca="1">Language!A$870</f>
        <v>Ставка реинвестирования доходов</v>
      </c>
      <c r="B861" s="273">
        <f>B822</f>
        <v>0.25</v>
      </c>
      <c r="M861" s="11"/>
    </row>
    <row r="862" spans="1:13" outlineLevel="1" x14ac:dyDescent="0.2">
      <c r="A862" t="str">
        <f ca="1">Language!A$871</f>
        <v>Ставка дисконтирования инвестиционных затрат</v>
      </c>
      <c r="B862" s="273">
        <f>B822</f>
        <v>0.25</v>
      </c>
      <c r="M862" s="11"/>
    </row>
    <row r="863" spans="1:13" outlineLevel="1" x14ac:dyDescent="0.2">
      <c r="A863" s="63"/>
      <c r="B863" s="63"/>
      <c r="C863" s="63"/>
      <c r="D863" s="63"/>
      <c r="E863" s="63"/>
      <c r="F863" s="63"/>
      <c r="G863" s="63"/>
      <c r="H863" s="63"/>
      <c r="I863" s="63"/>
      <c r="J863" s="63"/>
      <c r="K863" s="63"/>
      <c r="L863" s="63"/>
      <c r="M863" s="64"/>
    </row>
    <row r="864" spans="1:13" outlineLevel="1" collapsed="1" x14ac:dyDescent="0.2">
      <c r="A864" s="22" t="str">
        <f ca="1">Language!A977</f>
        <v>График: Окупаемость проектов (для банка)</v>
      </c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22"/>
    </row>
    <row r="865" spans="1:13" hidden="1" outlineLevel="2" x14ac:dyDescent="0.2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22"/>
    </row>
    <row r="866" spans="1:13" hidden="1" outlineLevel="2" x14ac:dyDescent="0.2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22"/>
    </row>
    <row r="867" spans="1:13" hidden="1" outlineLevel="2" x14ac:dyDescent="0.2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22"/>
    </row>
    <row r="868" spans="1:13" hidden="1" outlineLevel="2" x14ac:dyDescent="0.2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22"/>
    </row>
    <row r="869" spans="1:13" hidden="1" outlineLevel="2" x14ac:dyDescent="0.2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22"/>
    </row>
    <row r="870" spans="1:13" hidden="1" outlineLevel="2" x14ac:dyDescent="0.2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22"/>
    </row>
    <row r="871" spans="1:13" hidden="1" outlineLevel="2" x14ac:dyDescent="0.2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22"/>
    </row>
    <row r="872" spans="1:13" hidden="1" outlineLevel="2" x14ac:dyDescent="0.2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22"/>
    </row>
    <row r="873" spans="1:13" hidden="1" outlineLevel="2" x14ac:dyDescent="0.2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22"/>
    </row>
    <row r="874" spans="1:13" hidden="1" outlineLevel="2" x14ac:dyDescent="0.2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22"/>
    </row>
    <row r="875" spans="1:13" hidden="1" outlineLevel="2" x14ac:dyDescent="0.2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22"/>
    </row>
    <row r="876" spans="1:13" hidden="1" outlineLevel="2" x14ac:dyDescent="0.2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22"/>
    </row>
    <row r="877" spans="1:13" hidden="1" outlineLevel="2" x14ac:dyDescent="0.2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22"/>
    </row>
    <row r="878" spans="1:13" hidden="1" outlineLevel="2" x14ac:dyDescent="0.2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22"/>
    </row>
    <row r="879" spans="1:13" hidden="1" outlineLevel="2" x14ac:dyDescent="0.2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22"/>
    </row>
    <row r="880" spans="1:13" hidden="1" outlineLevel="2" x14ac:dyDescent="0.2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22"/>
    </row>
    <row r="881" spans="1:13" hidden="1" outlineLevel="2" x14ac:dyDescent="0.2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22"/>
    </row>
    <row r="882" spans="1:13" hidden="1" outlineLevel="2" x14ac:dyDescent="0.2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22"/>
    </row>
    <row r="883" spans="1:13" hidden="1" outlineLevel="2" x14ac:dyDescent="0.2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22"/>
    </row>
    <row r="884" spans="1:13" hidden="1" outlineLevel="2" x14ac:dyDescent="0.2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22"/>
    </row>
    <row r="885" spans="1:13" hidden="1" outlineLevel="2" x14ac:dyDescent="0.2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22"/>
    </row>
    <row r="886" spans="1:13" hidden="1" outlineLevel="2" x14ac:dyDescent="0.2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22"/>
    </row>
    <row r="887" spans="1:13" hidden="1" outlineLevel="2" x14ac:dyDescent="0.2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22"/>
    </row>
    <row r="888" spans="1:13" outlineLevel="1" x14ac:dyDescent="0.2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22"/>
    </row>
    <row r="889" spans="1:13" outlineLevel="1" x14ac:dyDescent="0.2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22"/>
    </row>
    <row r="890" spans="1:13" s="4" customFormat="1" ht="15.9" customHeight="1" thickBot="1" x14ac:dyDescent="0.25">
      <c r="A890" s="166" t="str">
        <f ca="1">Language!A877</f>
        <v xml:space="preserve">         ОЦЕНКА БИЗНЕСА</v>
      </c>
      <c r="B890" s="166"/>
      <c r="C890" s="166"/>
      <c r="D890" s="166"/>
      <c r="E890" s="166"/>
      <c r="F890" s="178" t="str">
        <f>IF(Проект!ShowRealDates,F36,F34)</f>
        <v>4/ 2020</v>
      </c>
      <c r="G890" s="178" t="str">
        <f>IF(Проект!ShowRealDates,G36,G34)</f>
        <v>5/ 2020</v>
      </c>
      <c r="H890" s="178" t="str">
        <f>IF(Проект!ShowRealDates,H36,H34)</f>
        <v>6/ 2020</v>
      </c>
      <c r="I890" s="178" t="str">
        <f>IF(Проект!ShowRealDates,I36,I34)</f>
        <v>7/ 2020</v>
      </c>
      <c r="J890" s="178" t="str">
        <f>IF(Проект!ShowRealDates,J36,J34)</f>
        <v>8/ 2020</v>
      </c>
      <c r="K890" s="178" t="str">
        <f>IF(Проект!ShowRealDates,K36,K34)</f>
        <v>9/ 2020</v>
      </c>
      <c r="L890" s="166"/>
      <c r="M890" s="167" t="str">
        <f ca="1">Language!A$371</f>
        <v>ИТОГО</v>
      </c>
    </row>
    <row r="891" spans="1:13" ht="10.8" outlineLevel="1" thickTop="1" x14ac:dyDescent="0.2">
      <c r="M891" s="11"/>
    </row>
    <row r="892" spans="1:13" outlineLevel="1" collapsed="1" x14ac:dyDescent="0.2">
      <c r="A892" s="23" t="str">
        <f ca="1">Language!A104</f>
        <v>Предполагаемый темп годового роста цен</v>
      </c>
      <c r="C892" s="5" t="s">
        <v>177</v>
      </c>
      <c r="D892" s="16" t="s">
        <v>176</v>
      </c>
      <c r="F892" s="211">
        <f t="shared" ref="F892:J892" si="228">F669</f>
        <v>7.0000000000000007E-2</v>
      </c>
      <c r="G892" s="211">
        <f t="shared" si="228"/>
        <v>7.0000000000000007E-2</v>
      </c>
      <c r="H892" s="211">
        <f t="shared" si="228"/>
        <v>7.0000000000000007E-2</v>
      </c>
      <c r="I892" s="211">
        <f t="shared" si="228"/>
        <v>7.0000000000000007E-2</v>
      </c>
      <c r="J892" s="211">
        <f t="shared" si="228"/>
        <v>7.0000000000000007E-2</v>
      </c>
      <c r="K892" s="211">
        <f t="shared" ref="K892" si="229">K669</f>
        <v>7.0000000000000007E-2</v>
      </c>
      <c r="M892" s="11"/>
    </row>
    <row r="893" spans="1:13" hidden="1" outlineLevel="2" x14ac:dyDescent="0.2">
      <c r="A893" t="str">
        <f ca="1">Language!A106</f>
        <v>То же, в пересчете на период, равный шагу проекта</v>
      </c>
      <c r="C893" s="5" t="s">
        <v>177</v>
      </c>
      <c r="D893" s="16" t="s">
        <v>176</v>
      </c>
      <c r="F893" s="30">
        <f t="shared" ref="F893:J893" si="230">POWER(1+F892,PRJ_Step/360)-1</f>
        <v>5.6541453874052738E-3</v>
      </c>
      <c r="G893" s="30">
        <f t="shared" si="230"/>
        <v>5.6541453874052738E-3</v>
      </c>
      <c r="H893" s="30">
        <f t="shared" si="230"/>
        <v>5.6541453874052738E-3</v>
      </c>
      <c r="I893" s="30">
        <f t="shared" si="230"/>
        <v>5.6541453874052738E-3</v>
      </c>
      <c r="J893" s="30">
        <f t="shared" si="230"/>
        <v>5.6541453874052738E-3</v>
      </c>
      <c r="K893" s="30">
        <f t="shared" ref="K893" si="231">POWER(1+K892,PRJ_Step/360)-1</f>
        <v>5.6541453874052738E-3</v>
      </c>
      <c r="M893" s="11"/>
    </row>
    <row r="894" spans="1:13" outlineLevel="1" x14ac:dyDescent="0.2">
      <c r="M894" s="11"/>
    </row>
    <row r="895" spans="1:13" outlineLevel="1" collapsed="1" x14ac:dyDescent="0.2">
      <c r="A895" t="str">
        <f ca="1">Language!A$836</f>
        <v>Годовая ставка дисконтирования:</v>
      </c>
      <c r="B895" s="273">
        <f>B674</f>
        <v>0.25</v>
      </c>
      <c r="C895" s="5" t="s">
        <v>177</v>
      </c>
      <c r="D895" s="16" t="s">
        <v>176</v>
      </c>
      <c r="F895" s="251">
        <f>B895</f>
        <v>0.25</v>
      </c>
      <c r="G895" s="251">
        <f t="shared" ref="G895:K895" si="232">F895</f>
        <v>0.25</v>
      </c>
      <c r="H895" s="251">
        <f t="shared" si="232"/>
        <v>0.25</v>
      </c>
      <c r="I895" s="251">
        <f t="shared" si="232"/>
        <v>0.25</v>
      </c>
      <c r="J895" s="251">
        <f t="shared" si="232"/>
        <v>0.25</v>
      </c>
      <c r="K895" s="251">
        <f t="shared" si="232"/>
        <v>0.25</v>
      </c>
      <c r="M895" s="11"/>
    </row>
    <row r="896" spans="1:13" hidden="1" outlineLevel="2" x14ac:dyDescent="0.2">
      <c r="A896" t="str">
        <f ca="1">Language!A$837</f>
        <v xml:space="preserve">    ставка дисконтирования на расчетный период</v>
      </c>
      <c r="D896" s="16" t="s">
        <v>176</v>
      </c>
      <c r="F896" s="251">
        <f t="shared" ref="F896:J896" si="233">POWER(1+F895,PRJ_Step/360)-1-IF(CalcMethod=1,F893,0)</f>
        <v>1.3115119734100844E-2</v>
      </c>
      <c r="G896" s="251">
        <f t="shared" si="233"/>
        <v>1.3115119734100844E-2</v>
      </c>
      <c r="H896" s="251">
        <f t="shared" si="233"/>
        <v>1.3115119734100844E-2</v>
      </c>
      <c r="I896" s="251">
        <f t="shared" si="233"/>
        <v>1.3115119734100844E-2</v>
      </c>
      <c r="J896" s="251">
        <f t="shared" si="233"/>
        <v>1.3115119734100844E-2</v>
      </c>
      <c r="K896" s="251">
        <f t="shared" ref="K896" si="234">POWER(1+K895,PRJ_Step/360)-1-IF(CalcMethod=1,K893,0)</f>
        <v>1.3115119734100844E-2</v>
      </c>
      <c r="M896" s="11"/>
    </row>
    <row r="897" spans="1:13" hidden="1" outlineLevel="2" x14ac:dyDescent="0.2">
      <c r="A897" t="str">
        <f ca="1">Language!A$878</f>
        <v xml:space="preserve">    коэффициент дисконта на середину периода</v>
      </c>
      <c r="D897" s="16" t="s">
        <v>176</v>
      </c>
      <c r="F897" s="252">
        <f>(1+F896)^0.5</f>
        <v>1.0065361989188968</v>
      </c>
      <c r="G897" s="252">
        <f t="shared" ref="G897:K897" si="235">F897*(1+G896)</f>
        <v>1.0197370416844249</v>
      </c>
      <c r="H897" s="252">
        <f t="shared" si="235"/>
        <v>1.033111015083414</v>
      </c>
      <c r="I897" s="252">
        <f t="shared" si="235"/>
        <v>1.0466603897448514</v>
      </c>
      <c r="J897" s="252">
        <f t="shared" si="235"/>
        <v>1.0603874660772958</v>
      </c>
      <c r="K897" s="252">
        <f t="shared" si="235"/>
        <v>1.0742945746594394</v>
      </c>
      <c r="M897" s="11"/>
    </row>
    <row r="898" spans="1:13" hidden="1" outlineLevel="2" x14ac:dyDescent="0.2">
      <c r="A898" t="str">
        <f ca="1">Language!A$839</f>
        <v xml:space="preserve">    коэффициент дисконта для потока на конец периода</v>
      </c>
      <c r="D898" s="16" t="s">
        <v>176</v>
      </c>
      <c r="F898" s="252">
        <f>1+F896</f>
        <v>1.0131151197341008</v>
      </c>
      <c r="G898" s="252">
        <f t="shared" ref="G898:K898" si="236">F898*(1+G896)</f>
        <v>1.0264022458338415</v>
      </c>
      <c r="H898" s="252">
        <f t="shared" si="236"/>
        <v>1.0398636341833023</v>
      </c>
      <c r="I898" s="252">
        <f t="shared" si="236"/>
        <v>1.0535015702527535</v>
      </c>
      <c r="J898" s="252">
        <f t="shared" si="236"/>
        <v>1.0673183694866817</v>
      </c>
      <c r="K898" s="252">
        <f t="shared" si="236"/>
        <v>1.0813163776969048</v>
      </c>
      <c r="M898" s="11"/>
    </row>
    <row r="899" spans="1:13" outlineLevel="1" collapsed="1" x14ac:dyDescent="0.2">
      <c r="A899" t="str">
        <f ca="1">Language!A$879</f>
        <v>Долгосрочные темпы роста в постпрогнозный период</v>
      </c>
      <c r="B899" s="273">
        <f ca="1">OFFSET(F892,0,PRJ_Len-1)</f>
        <v>7.0000000000000007E-2</v>
      </c>
      <c r="C899" s="5" t="s">
        <v>177</v>
      </c>
      <c r="M899" s="11"/>
    </row>
    <row r="900" spans="1:13" hidden="1" outlineLevel="2" x14ac:dyDescent="0.2">
      <c r="A900" t="str">
        <f ca="1">Language!A$880</f>
        <v xml:space="preserve">    в пересчете на период, равный шагу проекта</v>
      </c>
      <c r="B900" s="137">
        <f ca="1">MAX(0,POWER(1+B899,PRJ_Step/360)-1-IF(CalcMethod=1,OFFSET(F893,0,PRJ_Len-1)),0)</f>
        <v>0</v>
      </c>
      <c r="M900" s="11"/>
    </row>
    <row r="901" spans="1:13" outlineLevel="1" x14ac:dyDescent="0.2">
      <c r="M901" s="11"/>
    </row>
    <row r="902" spans="1:13" outlineLevel="1" x14ac:dyDescent="0.2">
      <c r="A902" s="35" t="str">
        <f ca="1">Language!A$881</f>
        <v>Денежный поток для собственного капитала</v>
      </c>
      <c r="C902" s="5" t="str">
        <f t="shared" ref="C902:C907" ca="1" si="237">CUR_Report</f>
        <v>руб.</v>
      </c>
      <c r="F902" s="58">
        <f t="shared" ref="F902:J902" ca="1" si="238">F903+F904-F905+F906+F907</f>
        <v>5220000</v>
      </c>
      <c r="G902" s="58">
        <f t="shared" ca="1" si="238"/>
        <v>34474100</v>
      </c>
      <c r="H902" s="58">
        <f t="shared" ca="1" si="238"/>
        <v>52626900</v>
      </c>
      <c r="I902" s="58">
        <f t="shared" ca="1" si="238"/>
        <v>45068900</v>
      </c>
      <c r="J902" s="58">
        <f t="shared" ca="1" si="238"/>
        <v>45669500</v>
      </c>
      <c r="K902" s="58">
        <f t="shared" ref="K902" ca="1" si="239">K903+K904-K905+K906+K907</f>
        <v>45669500</v>
      </c>
      <c r="L902" s="35"/>
      <c r="M902" s="57">
        <f t="shared" ref="M902:M907" ca="1" si="240">SUM(F902:K902)</f>
        <v>228728900</v>
      </c>
    </row>
    <row r="903" spans="1:13" outlineLevel="1" x14ac:dyDescent="0.2">
      <c r="A903" t="str">
        <f ca="1">Language!A$882</f>
        <v>Чистая прибыль</v>
      </c>
      <c r="C903" s="5" t="str">
        <f t="shared" ca="1" si="237"/>
        <v>руб.</v>
      </c>
      <c r="F903" s="43">
        <f t="shared" ref="F903:J903" ca="1" si="241">F169-F155</f>
        <v>13127500</v>
      </c>
      <c r="G903" s="43">
        <f t="shared" ca="1" si="241"/>
        <v>58087900</v>
      </c>
      <c r="H903" s="43">
        <f t="shared" ca="1" si="241"/>
        <v>91768300</v>
      </c>
      <c r="I903" s="43">
        <f t="shared" ca="1" si="241"/>
        <v>91668500</v>
      </c>
      <c r="J903" s="43">
        <f t="shared" ca="1" si="241"/>
        <v>91668500</v>
      </c>
      <c r="K903" s="43">
        <f t="shared" ref="K903" ca="1" si="242">K169-K155</f>
        <v>91667333.333333328</v>
      </c>
      <c r="M903" s="54">
        <f t="shared" ca="1" si="240"/>
        <v>437988033.33333331</v>
      </c>
    </row>
    <row r="904" spans="1:13" outlineLevel="1" x14ac:dyDescent="0.2">
      <c r="A904" t="str">
        <f ca="1">Language!A$883</f>
        <v>Амортизация</v>
      </c>
      <c r="C904" s="5" t="str">
        <f t="shared" ca="1" si="237"/>
        <v>руб.</v>
      </c>
      <c r="F904" s="43">
        <f t="shared" ref="F904:J904" ca="1" si="243">F139</f>
        <v>0</v>
      </c>
      <c r="G904" s="43">
        <f t="shared" ca="1" si="243"/>
        <v>0</v>
      </c>
      <c r="H904" s="43">
        <f t="shared" ca="1" si="243"/>
        <v>0</v>
      </c>
      <c r="I904" s="43">
        <f t="shared" ca="1" si="243"/>
        <v>20000</v>
      </c>
      <c r="J904" s="43">
        <f t="shared" ca="1" si="243"/>
        <v>20000</v>
      </c>
      <c r="K904" s="43">
        <f t="shared" ref="K904" ca="1" si="244">K139</f>
        <v>21166.666666666668</v>
      </c>
      <c r="M904" s="54">
        <f t="shared" ca="1" si="240"/>
        <v>61166.666666666672</v>
      </c>
    </row>
    <row r="905" spans="1:13" outlineLevel="1" x14ac:dyDescent="0.2">
      <c r="A905" t="str">
        <f ca="1">Language!A$884</f>
        <v>Изменение чистого оборотного капитала</v>
      </c>
      <c r="C905" s="5" t="str">
        <f t="shared" ca="1" si="237"/>
        <v>руб.</v>
      </c>
      <c r="F905" s="106">
        <f t="shared" ref="F905:J905" ca="1" si="245">-((OFFSET(F439,0,-1)+OFFSET(F441,0,-1)+OFFSET(F443,0,-1)+OFFSET(F445,0,-1)+OFFSET(F447,0,-1)+OFFSET(F453,0,-1))-(OFFSET(F480,0,-1)+OFFSET(F484,0,-1)+OFFSET(F486,0,-1)+OFFSET(F488,0,-1)+OFFSET(F492,0,-1)))-((F439+F441+F443+F445+F447+F453)-(F480+F484+F486+F488+F492))</f>
        <v>7367500</v>
      </c>
      <c r="G905" s="106">
        <f t="shared" ca="1" si="245"/>
        <v>23573800</v>
      </c>
      <c r="H905" s="106">
        <f t="shared" ca="1" si="245"/>
        <v>39091400</v>
      </c>
      <c r="I905" s="106">
        <f t="shared" ca="1" si="245"/>
        <v>45869600</v>
      </c>
      <c r="J905" s="106">
        <f t="shared" ca="1" si="245"/>
        <v>45969000</v>
      </c>
      <c r="K905" s="106">
        <f t="shared" ref="K905" ca="1" si="246">-((OFFSET(K439,0,-1)+OFFSET(K441,0,-1)+OFFSET(K443,0,-1)+OFFSET(K445,0,-1)+OFFSET(K447,0,-1)+OFFSET(K453,0,-1))-(OFFSET(K480,0,-1)+OFFSET(K484,0,-1)+OFFSET(K486,0,-1)+OFFSET(K488,0,-1)+OFFSET(K492,0,-1)))-((K439+K441+K443+K445+K447+K453)-(K480+K484+K486+K488+K492))</f>
        <v>45969000</v>
      </c>
      <c r="M905" s="54">
        <f t="shared" ca="1" si="240"/>
        <v>207840300</v>
      </c>
    </row>
    <row r="906" spans="1:13" outlineLevel="1" x14ac:dyDescent="0.2">
      <c r="A906" t="str">
        <f ca="1">Language!A$885</f>
        <v>Инвестиции</v>
      </c>
      <c r="C906" s="5" t="str">
        <f t="shared" ca="1" si="237"/>
        <v>руб.</v>
      </c>
      <c r="F906" s="43">
        <f t="shared" ref="F906:J906" ca="1" si="247">F289+F291+F293+F295+F297+F299+F303</f>
        <v>-540000</v>
      </c>
      <c r="G906" s="43">
        <f t="shared" ca="1" si="247"/>
        <v>-40000</v>
      </c>
      <c r="H906" s="43">
        <f t="shared" ca="1" si="247"/>
        <v>-50000</v>
      </c>
      <c r="I906" s="43">
        <f t="shared" ca="1" si="247"/>
        <v>-750000</v>
      </c>
      <c r="J906" s="43">
        <f t="shared" ca="1" si="247"/>
        <v>-50000</v>
      </c>
      <c r="K906" s="43">
        <f t="shared" ref="K906" ca="1" si="248">K289+K291+K293+K295+K297+K299+K303</f>
        <v>-50000</v>
      </c>
      <c r="M906" s="54">
        <f t="shared" ca="1" si="240"/>
        <v>-1480000</v>
      </c>
    </row>
    <row r="907" spans="1:13" outlineLevel="1" x14ac:dyDescent="0.2">
      <c r="A907" t="str">
        <f ca="1">Language!A$886</f>
        <v>Изменение долгосрочной задолженности</v>
      </c>
      <c r="C907" s="5" t="str">
        <f t="shared" ca="1" si="237"/>
        <v>руб.</v>
      </c>
      <c r="F907" s="43">
        <f t="shared" ref="F907:J907" ca="1" si="249">F315+F317</f>
        <v>0</v>
      </c>
      <c r="G907" s="43">
        <f t="shared" ca="1" si="249"/>
        <v>0</v>
      </c>
      <c r="H907" s="43">
        <f t="shared" ca="1" si="249"/>
        <v>0</v>
      </c>
      <c r="I907" s="43">
        <f t="shared" ca="1" si="249"/>
        <v>0</v>
      </c>
      <c r="J907" s="43">
        <f t="shared" ca="1" si="249"/>
        <v>0</v>
      </c>
      <c r="K907" s="43">
        <f t="shared" ref="K907" ca="1" si="250">K315+K317</f>
        <v>0</v>
      </c>
      <c r="M907" s="54">
        <f t="shared" ca="1" si="240"/>
        <v>0</v>
      </c>
    </row>
    <row r="908" spans="1:13" outlineLevel="1" x14ac:dyDescent="0.2">
      <c r="M908" s="11"/>
    </row>
    <row r="909" spans="1:13" outlineLevel="1" x14ac:dyDescent="0.2">
      <c r="A909" t="str">
        <f ca="1">Language!A$887</f>
        <v>Дисконтированный денежный поток</v>
      </c>
      <c r="C909" s="5" t="str">
        <f ca="1">CUR_Report</f>
        <v>руб.</v>
      </c>
      <c r="F909" s="43">
        <f t="shared" ref="F909:J909" ca="1" si="251">F902/F897</f>
        <v>5186102.601780952</v>
      </c>
      <c r="G909" s="43">
        <f t="shared" ca="1" si="251"/>
        <v>33806852.738285251</v>
      </c>
      <c r="H909" s="43">
        <f t="shared" ca="1" si="251"/>
        <v>50940217.683915481</v>
      </c>
      <c r="I909" s="43">
        <f t="shared" ca="1" si="251"/>
        <v>43059716.83039102</v>
      </c>
      <c r="J909" s="43">
        <f t="shared" ca="1" si="251"/>
        <v>43068690.88989304</v>
      </c>
      <c r="K909" s="43">
        <f t="shared" ref="K909" ca="1" si="252">K902/K897</f>
        <v>42511152.040842824</v>
      </c>
      <c r="L909" s="43"/>
      <c r="M909" s="54">
        <f ca="1">SUM(F909:K909)</f>
        <v>218572732.78510857</v>
      </c>
    </row>
    <row r="910" spans="1:13" outlineLevel="1" x14ac:dyDescent="0.2">
      <c r="M910" s="11"/>
    </row>
    <row r="911" spans="1:13" outlineLevel="1" collapsed="1" x14ac:dyDescent="0.2">
      <c r="A911" s="35" t="str">
        <f ca="1">Language!A$888</f>
        <v>Продленная стоимость проекта</v>
      </c>
      <c r="B911" s="55">
        <f ca="1">OFFSET(F912,0,PRJ_Len-1)*(1+B900)/(OFFSET(F896,0,PRJ_Len-1)-B900)</f>
        <v>6989439303.0196705</v>
      </c>
      <c r="C911" s="5" t="str">
        <f ca="1">CUR_Report</f>
        <v>руб.</v>
      </c>
      <c r="F911" s="35"/>
      <c r="G911" s="35"/>
      <c r="H911" s="35"/>
      <c r="I911" s="35"/>
      <c r="J911" s="35"/>
      <c r="K911" s="35"/>
      <c r="L911" s="35"/>
      <c r="M911" s="51"/>
    </row>
    <row r="912" spans="1:13" hidden="1" outlineLevel="2" x14ac:dyDescent="0.2">
      <c r="A912" s="23" t="str">
        <f ca="1">Language!A$889</f>
        <v>Посленалоговая операционная прибыль (NOPLAT)</v>
      </c>
      <c r="C912" s="5" t="str">
        <f ca="1">CUR_Report</f>
        <v>руб.</v>
      </c>
      <c r="F912" s="53">
        <f t="shared" ref="F912:J912" ca="1" si="253">F153*(1-F580)</f>
        <v>13127500</v>
      </c>
      <c r="G912" s="53">
        <f t="shared" ca="1" si="253"/>
        <v>58087900</v>
      </c>
      <c r="H912" s="53">
        <f t="shared" ca="1" si="253"/>
        <v>91768300</v>
      </c>
      <c r="I912" s="53">
        <f t="shared" ca="1" si="253"/>
        <v>91668500</v>
      </c>
      <c r="J912" s="53">
        <f t="shared" ca="1" si="253"/>
        <v>91668500</v>
      </c>
      <c r="K912" s="53">
        <f t="shared" ref="K912" ca="1" si="254">K153*(1-K580)</f>
        <v>91667333.333333328</v>
      </c>
      <c r="L912" s="35"/>
      <c r="M912" s="51"/>
    </row>
    <row r="913" spans="1:13" hidden="1" outlineLevel="2" x14ac:dyDescent="0.2">
      <c r="A913" s="23" t="str">
        <f ca="1">Language!A$890</f>
        <v>Дисконтированная продленная стоимость</v>
      </c>
      <c r="B913" s="144">
        <f ca="1">B911/OFFSET(F898,0,PRJ_Len-1)</f>
        <v>6463824507.9635935</v>
      </c>
      <c r="C913" s="5" t="str">
        <f ca="1">CUR_Report</f>
        <v>руб.</v>
      </c>
      <c r="M913" s="11"/>
    </row>
    <row r="914" spans="1:13" outlineLevel="1" x14ac:dyDescent="0.2">
      <c r="M914" s="11"/>
    </row>
    <row r="915" spans="1:13" outlineLevel="1" x14ac:dyDescent="0.2">
      <c r="A915" s="35" t="str">
        <f ca="1">Language!A$891</f>
        <v>Итого стоимость бизнеса</v>
      </c>
      <c r="B915" s="151">
        <f ca="1">M909+B913</f>
        <v>6682397240.748702</v>
      </c>
      <c r="C915" s="5" t="str">
        <f ca="1">CUR_Report</f>
        <v>руб.</v>
      </c>
      <c r="M915" s="11"/>
    </row>
    <row r="916" spans="1:13" outlineLevel="1" x14ac:dyDescent="0.2">
      <c r="A916" s="63"/>
      <c r="B916" s="63"/>
      <c r="C916" s="63"/>
      <c r="D916" s="63"/>
      <c r="E916" s="63"/>
      <c r="F916" s="63"/>
      <c r="G916" s="63"/>
      <c r="H916" s="63"/>
      <c r="I916" s="63"/>
      <c r="J916" s="63"/>
      <c r="K916" s="63"/>
      <c r="L916" s="63"/>
      <c r="M916" s="204"/>
    </row>
    <row r="917" spans="1:13" outlineLevel="1" x14ac:dyDescent="0.2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206"/>
    </row>
    <row r="918" spans="1:13" s="4" customFormat="1" ht="15.9" customHeight="1" thickBot="1" x14ac:dyDescent="0.25">
      <c r="A918" s="166" t="str">
        <f ca="1">Language!A$978</f>
        <v xml:space="preserve">         ОСНОВНЫЕ ПОКАЗАТЕЛИ ПРОЕКТОВ</v>
      </c>
      <c r="B918" s="166"/>
      <c r="C918" s="166"/>
      <c r="D918" s="166"/>
      <c r="E918" s="166"/>
      <c r="F918" s="178" t="str">
        <f>IF(Проект!ShowRealDates,F36,F34)</f>
        <v>4/ 2020</v>
      </c>
      <c r="G918" s="178" t="str">
        <f>IF(Проект!ShowRealDates,G36,G34)</f>
        <v>5/ 2020</v>
      </c>
      <c r="H918" s="178" t="str">
        <f>IF(Проект!ShowRealDates,H36,H34)</f>
        <v>6/ 2020</v>
      </c>
      <c r="I918" s="178" t="str">
        <f>IF(Проект!ShowRealDates,I36,I34)</f>
        <v>7/ 2020</v>
      </c>
      <c r="J918" s="178" t="str">
        <f>IF(Проект!ShowRealDates,J36,J34)</f>
        <v>8/ 2020</v>
      </c>
      <c r="K918" s="178" t="str">
        <f>IF(Проект!ShowRealDates,K36,K34)</f>
        <v>9/ 2020</v>
      </c>
      <c r="L918" s="166"/>
      <c r="M918" s="167" t="str">
        <f ca="1">Language!A$371</f>
        <v>ИТОГО</v>
      </c>
    </row>
    <row r="919" spans="1:13" ht="10.8" outlineLevel="1" thickTop="1" x14ac:dyDescent="0.2">
      <c r="M919" s="11"/>
    </row>
    <row r="920" spans="1:13" outlineLevel="1" x14ac:dyDescent="0.2">
      <c r="A920" t="str">
        <f ca="1">Language!A$927</f>
        <v>Выручка от реализации (без НДС)</v>
      </c>
      <c r="C920" s="5" t="str">
        <f t="shared" ref="C920:C939" ca="1" si="255">CUR_Report</f>
        <v>руб.</v>
      </c>
      <c r="F920" s="43">
        <f t="shared" ref="F920:J920" ca="1" si="256">F124</f>
        <v>36000000</v>
      </c>
      <c r="G920" s="43">
        <f t="shared" ca="1" si="256"/>
        <v>84000000</v>
      </c>
      <c r="H920" s="43">
        <f t="shared" ca="1" si="256"/>
        <v>120000000</v>
      </c>
      <c r="I920" s="43">
        <f t="shared" ca="1" si="256"/>
        <v>120000000</v>
      </c>
      <c r="J920" s="43">
        <f t="shared" ca="1" si="256"/>
        <v>120000000</v>
      </c>
      <c r="K920" s="43">
        <f t="shared" ref="K920" ca="1" si="257">K124</f>
        <v>120000000</v>
      </c>
      <c r="M920" s="54">
        <f t="shared" ref="M920:M926" ca="1" si="258">SUM(F920:K920)</f>
        <v>600000000</v>
      </c>
    </row>
    <row r="921" spans="1:13" outlineLevel="1" x14ac:dyDescent="0.2">
      <c r="A921" t="str">
        <f ca="1">Language!A$928</f>
        <v>Затраты на производство (без НДС)</v>
      </c>
      <c r="C921" s="5" t="str">
        <f t="shared" ca="1" si="255"/>
        <v>руб.</v>
      </c>
      <c r="F921" s="43">
        <f t="shared" ref="F921:J921" ca="1" si="259">F126+F143+F145+F147+F149</f>
        <v>20712500</v>
      </c>
      <c r="G921" s="43">
        <f t="shared" ca="1" si="259"/>
        <v>20872100</v>
      </c>
      <c r="H921" s="43">
        <f t="shared" ca="1" si="259"/>
        <v>21031700</v>
      </c>
      <c r="I921" s="43">
        <f t="shared" ca="1" si="259"/>
        <v>21131500</v>
      </c>
      <c r="J921" s="43">
        <f t="shared" ca="1" si="259"/>
        <v>21131500</v>
      </c>
      <c r="K921" s="43">
        <f t="shared" ref="K921" ca="1" si="260">K126+K143+K145+K147+K149</f>
        <v>21132666.666666668</v>
      </c>
      <c r="M921" s="54">
        <f t="shared" ca="1" si="258"/>
        <v>126011966.66666667</v>
      </c>
    </row>
    <row r="922" spans="1:13" outlineLevel="1" x14ac:dyDescent="0.2">
      <c r="A922" t="str">
        <f ca="1">Language!A$723</f>
        <v>Прибыль до налога, процентов и амортизации (EBITDA)</v>
      </c>
      <c r="C922" s="5" t="str">
        <f t="shared" ca="1" si="255"/>
        <v>руб.</v>
      </c>
      <c r="F922" s="43">
        <f t="shared" ref="F922:J922" ca="1" si="261">F173</f>
        <v>15287500</v>
      </c>
      <c r="G922" s="43">
        <f t="shared" ca="1" si="261"/>
        <v>63127900</v>
      </c>
      <c r="H922" s="43">
        <f t="shared" ca="1" si="261"/>
        <v>98968300</v>
      </c>
      <c r="I922" s="43">
        <f t="shared" ca="1" si="261"/>
        <v>98888500</v>
      </c>
      <c r="J922" s="43">
        <f t="shared" ca="1" si="261"/>
        <v>98888500</v>
      </c>
      <c r="K922" s="43">
        <f t="shared" ref="K922" ca="1" si="262">K173</f>
        <v>98888500</v>
      </c>
      <c r="M922" s="54">
        <f t="shared" ca="1" si="258"/>
        <v>474049200</v>
      </c>
    </row>
    <row r="923" spans="1:13" outlineLevel="1" x14ac:dyDescent="0.2">
      <c r="A923" t="str">
        <f ca="1">Language!A$725</f>
        <v>Прибыль до процентов и налога (EBIT)</v>
      </c>
      <c r="C923" s="5" t="str">
        <f t="shared" ca="1" si="255"/>
        <v>руб.</v>
      </c>
      <c r="F923" s="43">
        <f t="shared" ref="F923:J923" ca="1" si="263">F175</f>
        <v>15287500</v>
      </c>
      <c r="G923" s="43">
        <f t="shared" ca="1" si="263"/>
        <v>63127900</v>
      </c>
      <c r="H923" s="43">
        <f t="shared" ca="1" si="263"/>
        <v>98968300</v>
      </c>
      <c r="I923" s="43">
        <f t="shared" ca="1" si="263"/>
        <v>98868500</v>
      </c>
      <c r="J923" s="43">
        <f t="shared" ca="1" si="263"/>
        <v>98868500</v>
      </c>
      <c r="K923" s="43">
        <f t="shared" ref="K923" ca="1" si="264">K175</f>
        <v>98867333.333333328</v>
      </c>
      <c r="M923" s="54">
        <f t="shared" ca="1" si="258"/>
        <v>473988033.33333331</v>
      </c>
    </row>
    <row r="924" spans="1:13" outlineLevel="1" x14ac:dyDescent="0.2">
      <c r="A924" t="str">
        <f ca="1">Language!A$727</f>
        <v>Прибыль до налогообложения</v>
      </c>
      <c r="C924" s="5" t="str">
        <f t="shared" ca="1" si="255"/>
        <v>руб.</v>
      </c>
      <c r="F924" s="43">
        <f t="shared" ref="F924:J924" ca="1" si="265">F165</f>
        <v>15287500</v>
      </c>
      <c r="G924" s="43">
        <f t="shared" ca="1" si="265"/>
        <v>63127900</v>
      </c>
      <c r="H924" s="43">
        <f t="shared" ca="1" si="265"/>
        <v>98968300</v>
      </c>
      <c r="I924" s="43">
        <f t="shared" ca="1" si="265"/>
        <v>98868500</v>
      </c>
      <c r="J924" s="43">
        <f t="shared" ca="1" si="265"/>
        <v>98868500</v>
      </c>
      <c r="K924" s="43">
        <f t="shared" ref="K924" ca="1" si="266">K165</f>
        <v>98867333.333333328</v>
      </c>
      <c r="M924" s="54">
        <f t="shared" ca="1" si="258"/>
        <v>473988033.33333331</v>
      </c>
    </row>
    <row r="925" spans="1:13" outlineLevel="1" x14ac:dyDescent="0.2">
      <c r="A925" t="str">
        <f ca="1">Language!A$729</f>
        <v>Чистая прибыль (убыток)</v>
      </c>
      <c r="C925" s="5" t="str">
        <f t="shared" ca="1" si="255"/>
        <v>руб.</v>
      </c>
      <c r="F925" s="43">
        <f t="shared" ref="F925:J925" ca="1" si="267">F169</f>
        <v>13127500</v>
      </c>
      <c r="G925" s="43">
        <f t="shared" ca="1" si="267"/>
        <v>58087900</v>
      </c>
      <c r="H925" s="43">
        <f t="shared" ca="1" si="267"/>
        <v>91768300</v>
      </c>
      <c r="I925" s="43">
        <f t="shared" ca="1" si="267"/>
        <v>91668500</v>
      </c>
      <c r="J925" s="43">
        <f t="shared" ca="1" si="267"/>
        <v>91668500</v>
      </c>
      <c r="K925" s="43">
        <f t="shared" ref="K925" ca="1" si="268">K169</f>
        <v>91667333.333333328</v>
      </c>
      <c r="M925" s="54">
        <f t="shared" ca="1" si="258"/>
        <v>437988033.33333331</v>
      </c>
    </row>
    <row r="926" spans="1:13" outlineLevel="1" x14ac:dyDescent="0.2">
      <c r="A926" t="str">
        <f ca="1">Language!A$738</f>
        <v>Нераспределенная прибыль (за период)</v>
      </c>
      <c r="C926" s="5" t="str">
        <f t="shared" ca="1" si="255"/>
        <v>руб.</v>
      </c>
      <c r="F926" s="43">
        <f t="shared" ref="F926:J926" ca="1" si="269">F182</f>
        <v>13127500</v>
      </c>
      <c r="G926" s="43">
        <f t="shared" ca="1" si="269"/>
        <v>58087900</v>
      </c>
      <c r="H926" s="43">
        <f t="shared" ca="1" si="269"/>
        <v>91768300</v>
      </c>
      <c r="I926" s="43">
        <f t="shared" ca="1" si="269"/>
        <v>91668500</v>
      </c>
      <c r="J926" s="43">
        <f t="shared" ca="1" si="269"/>
        <v>91668500</v>
      </c>
      <c r="K926" s="43">
        <f t="shared" ref="K926" ca="1" si="270">K182</f>
        <v>91667333.333333328</v>
      </c>
      <c r="M926" s="54">
        <f t="shared" ca="1" si="258"/>
        <v>437988033.33333331</v>
      </c>
    </row>
    <row r="927" spans="1:13" outlineLevel="1" x14ac:dyDescent="0.2">
      <c r="A927" s="63"/>
      <c r="B927" s="63"/>
      <c r="C927" s="63"/>
      <c r="D927" s="63"/>
      <c r="E927" s="63"/>
      <c r="F927" s="63"/>
      <c r="G927" s="63"/>
      <c r="H927" s="63"/>
      <c r="I927" s="63"/>
      <c r="J927" s="63"/>
      <c r="K927" s="63"/>
      <c r="L927" s="63"/>
      <c r="M927" s="64"/>
    </row>
    <row r="928" spans="1:13" outlineLevel="1" x14ac:dyDescent="0.2">
      <c r="A928" s="19" t="str">
        <f ca="1">Language!A$929</f>
        <v>Инвестции во внеоборотные активы</v>
      </c>
      <c r="B928" s="19"/>
      <c r="C928" s="26" t="str">
        <f t="shared" ca="1" si="255"/>
        <v>руб.</v>
      </c>
      <c r="D928" s="19"/>
      <c r="E928" s="19"/>
      <c r="F928" s="65">
        <f t="shared" ref="F928:J928" ca="1" si="271">F289+F291+F293+F295+F297+F299</f>
        <v>-540000</v>
      </c>
      <c r="G928" s="65">
        <f t="shared" ca="1" si="271"/>
        <v>-40000</v>
      </c>
      <c r="H928" s="65">
        <f t="shared" ca="1" si="271"/>
        <v>-50000</v>
      </c>
      <c r="I928" s="65">
        <f t="shared" ca="1" si="271"/>
        <v>-750000</v>
      </c>
      <c r="J928" s="65">
        <f t="shared" ca="1" si="271"/>
        <v>-50000</v>
      </c>
      <c r="K928" s="65">
        <f t="shared" ref="K928" ca="1" si="272">K289+K291+K293+K295+K297+K299</f>
        <v>-50000</v>
      </c>
      <c r="L928" s="19"/>
      <c r="M928" s="66">
        <f ca="1">SUM(F928:K928)</f>
        <v>-1480000</v>
      </c>
    </row>
    <row r="929" spans="1:13" outlineLevel="1" x14ac:dyDescent="0.2">
      <c r="A929" s="19" t="str">
        <f ca="1">Language!A$930</f>
        <v>Инвестиции в оборотный капитал</v>
      </c>
      <c r="B929" s="19"/>
      <c r="C929" s="26" t="str">
        <f t="shared" ca="1" si="255"/>
        <v>руб.</v>
      </c>
      <c r="D929" s="19"/>
      <c r="E929" s="19"/>
      <c r="F929" s="65">
        <f t="shared" ref="F929:J929" ca="1" si="273">F301</f>
        <v>2534583.333333333</v>
      </c>
      <c r="G929" s="65">
        <f t="shared" ca="1" si="273"/>
        <v>8801560</v>
      </c>
      <c r="H929" s="65">
        <f t="shared" ca="1" si="273"/>
        <v>6641560</v>
      </c>
      <c r="I929" s="65">
        <f t="shared" ca="1" si="273"/>
        <v>80780</v>
      </c>
      <c r="J929" s="65">
        <f t="shared" ca="1" si="273"/>
        <v>0</v>
      </c>
      <c r="K929" s="65">
        <f t="shared" ref="K929" ca="1" si="274">K301</f>
        <v>0</v>
      </c>
      <c r="L929" s="19"/>
      <c r="M929" s="66">
        <f ca="1">SUM(F929:K929)</f>
        <v>18058483.333333332</v>
      </c>
    </row>
    <row r="930" spans="1:13" outlineLevel="1" x14ac:dyDescent="0.2">
      <c r="A930" s="63"/>
      <c r="B930" s="63"/>
      <c r="C930" s="63"/>
      <c r="D930" s="63"/>
      <c r="E930" s="63"/>
      <c r="F930" s="63"/>
      <c r="G930" s="63"/>
      <c r="H930" s="63"/>
      <c r="I930" s="63"/>
      <c r="J930" s="63"/>
      <c r="K930" s="63"/>
      <c r="L930" s="63"/>
      <c r="M930" s="64"/>
    </row>
    <row r="931" spans="1:13" outlineLevel="1" x14ac:dyDescent="0.2">
      <c r="A931" s="19" t="str">
        <f ca="1">Language!A$931</f>
        <v>Собственные средства и целевое финансирование</v>
      </c>
      <c r="B931" s="19"/>
      <c r="C931" s="26" t="str">
        <f t="shared" ca="1" si="255"/>
        <v>руб.</v>
      </c>
      <c r="D931" s="19"/>
      <c r="E931" s="19"/>
      <c r="F931" s="65">
        <f t="shared" ref="F931:J931" ca="1" si="275">F309+F311+F313</f>
        <v>0</v>
      </c>
      <c r="G931" s="65">
        <f t="shared" ca="1" si="275"/>
        <v>0</v>
      </c>
      <c r="H931" s="65">
        <f t="shared" ca="1" si="275"/>
        <v>0</v>
      </c>
      <c r="I931" s="65">
        <f t="shared" ca="1" si="275"/>
        <v>0</v>
      </c>
      <c r="J931" s="65">
        <f t="shared" ca="1" si="275"/>
        <v>0</v>
      </c>
      <c r="K931" s="65">
        <f t="shared" ref="K931" ca="1" si="276">K309+K311+K313</f>
        <v>0</v>
      </c>
      <c r="L931" s="19"/>
      <c r="M931" s="66">
        <f ca="1">SUM(F931:K931)</f>
        <v>0</v>
      </c>
    </row>
    <row r="932" spans="1:13" outlineLevel="1" x14ac:dyDescent="0.2">
      <c r="M932" s="11"/>
    </row>
    <row r="933" spans="1:13" outlineLevel="1" x14ac:dyDescent="0.2">
      <c r="A933" t="str">
        <f ca="1">Language!A$932</f>
        <v>Привлечение кредитов</v>
      </c>
      <c r="C933" s="5" t="str">
        <f t="shared" ca="1" si="255"/>
        <v>руб.</v>
      </c>
      <c r="F933" s="43">
        <f t="shared" ref="F933:J933" ca="1" si="277">F315</f>
        <v>0</v>
      </c>
      <c r="G933" s="43">
        <f t="shared" ca="1" si="277"/>
        <v>0</v>
      </c>
      <c r="H933" s="43">
        <f t="shared" ca="1" si="277"/>
        <v>0</v>
      </c>
      <c r="I933" s="43">
        <f t="shared" ca="1" si="277"/>
        <v>0</v>
      </c>
      <c r="J933" s="43">
        <f t="shared" ca="1" si="277"/>
        <v>0</v>
      </c>
      <c r="K933" s="43">
        <f t="shared" ref="K933" ca="1" si="278">K315</f>
        <v>0</v>
      </c>
      <c r="M933" s="54">
        <f ca="1">SUM(F933:K933)</f>
        <v>0</v>
      </c>
    </row>
    <row r="934" spans="1:13" outlineLevel="1" x14ac:dyDescent="0.2">
      <c r="A934" t="str">
        <f ca="1">Language!A$933</f>
        <v>Погашение кредитов</v>
      </c>
      <c r="C934" s="5" t="str">
        <f t="shared" ca="1" si="255"/>
        <v>руб.</v>
      </c>
      <c r="F934" s="43">
        <f t="shared" ref="F934:J934" ca="1" si="279">F317</f>
        <v>0</v>
      </c>
      <c r="G934" s="43">
        <f t="shared" ca="1" si="279"/>
        <v>0</v>
      </c>
      <c r="H934" s="43">
        <f t="shared" ca="1" si="279"/>
        <v>0</v>
      </c>
      <c r="I934" s="43">
        <f t="shared" ca="1" si="279"/>
        <v>0</v>
      </c>
      <c r="J934" s="43">
        <f t="shared" ca="1" si="279"/>
        <v>0</v>
      </c>
      <c r="K934" s="43">
        <f t="shared" ref="K934" ca="1" si="280">K317</f>
        <v>0</v>
      </c>
      <c r="M934" s="54">
        <f ca="1">SUM(F934:K934)</f>
        <v>0</v>
      </c>
    </row>
    <row r="935" spans="1:13" outlineLevel="1" x14ac:dyDescent="0.2">
      <c r="A935" t="str">
        <f ca="1">Language!A$934</f>
        <v>Выплата процентов по кредитам</v>
      </c>
      <c r="C935" s="5" t="str">
        <f t="shared" ca="1" si="255"/>
        <v>руб.</v>
      </c>
      <c r="F935" s="43">
        <f t="shared" ref="F935:J935" ca="1" si="281">F279</f>
        <v>0</v>
      </c>
      <c r="G935" s="43">
        <f t="shared" ca="1" si="281"/>
        <v>0</v>
      </c>
      <c r="H935" s="43">
        <f t="shared" ca="1" si="281"/>
        <v>0</v>
      </c>
      <c r="I935" s="43">
        <f t="shared" ca="1" si="281"/>
        <v>0</v>
      </c>
      <c r="J935" s="43">
        <f t="shared" ca="1" si="281"/>
        <v>0</v>
      </c>
      <c r="K935" s="43">
        <f t="shared" ref="K935" ca="1" si="282">K279</f>
        <v>0</v>
      </c>
      <c r="M935" s="54">
        <f ca="1">SUM(F935:K935)</f>
        <v>0</v>
      </c>
    </row>
    <row r="936" spans="1:13" outlineLevel="1" x14ac:dyDescent="0.2">
      <c r="A936" s="63"/>
      <c r="B936" s="63"/>
      <c r="C936" s="63"/>
      <c r="D936" s="63"/>
      <c r="E936" s="63"/>
      <c r="F936" s="63"/>
      <c r="G936" s="63"/>
      <c r="H936" s="63"/>
      <c r="I936" s="63"/>
      <c r="J936" s="63"/>
      <c r="K936" s="63"/>
      <c r="L936" s="63"/>
      <c r="M936" s="64"/>
    </row>
    <row r="937" spans="1:13" outlineLevel="1" x14ac:dyDescent="0.2">
      <c r="A937" s="23" t="str">
        <f ca="1">Language!A$760</f>
        <v>Суммарный денежный поток за период</v>
      </c>
      <c r="B937" s="19"/>
      <c r="C937" s="5" t="str">
        <f t="shared" ca="1" si="255"/>
        <v>руб.</v>
      </c>
      <c r="D937" s="19"/>
      <c r="E937" s="19"/>
      <c r="F937" s="65">
        <f t="shared" ref="F937:J937" ca="1" si="283">F327</f>
        <v>15122083.333333332</v>
      </c>
      <c r="G937" s="65">
        <f t="shared" ca="1" si="283"/>
        <v>66849460</v>
      </c>
      <c r="H937" s="65">
        <f t="shared" ca="1" si="283"/>
        <v>98359860</v>
      </c>
      <c r="I937" s="65">
        <f t="shared" ca="1" si="283"/>
        <v>91019280</v>
      </c>
      <c r="J937" s="65">
        <f t="shared" ca="1" si="283"/>
        <v>91638500</v>
      </c>
      <c r="K937" s="65">
        <f t="shared" ref="K937" ca="1" si="284">K327</f>
        <v>91638500</v>
      </c>
      <c r="L937" s="19"/>
      <c r="M937" s="66">
        <f ca="1">SUM(F937:K937)</f>
        <v>454627683.33333331</v>
      </c>
    </row>
    <row r="938" spans="1:13" outlineLevel="1" x14ac:dyDescent="0.2">
      <c r="A938" s="23" t="str">
        <f ca="1">Language!A$761</f>
        <v>Денежные средства на начало периода</v>
      </c>
      <c r="B938" s="19"/>
      <c r="C938" s="5" t="str">
        <f t="shared" ca="1" si="255"/>
        <v>руб.</v>
      </c>
      <c r="D938" s="19"/>
      <c r="E938" s="19"/>
      <c r="F938" s="65">
        <f t="shared" ref="F938:J938" ca="1" si="285">F329</f>
        <v>0</v>
      </c>
      <c r="G938" s="65">
        <f t="shared" ca="1" si="285"/>
        <v>15122083.333333332</v>
      </c>
      <c r="H938" s="65">
        <f t="shared" ca="1" si="285"/>
        <v>81971543.333333328</v>
      </c>
      <c r="I938" s="65">
        <f t="shared" ca="1" si="285"/>
        <v>180331403.33333331</v>
      </c>
      <c r="J938" s="65">
        <f t="shared" ca="1" si="285"/>
        <v>271350683.33333331</v>
      </c>
      <c r="K938" s="65">
        <f t="shared" ref="K938" ca="1" si="286">K329</f>
        <v>362989183.33333331</v>
      </c>
      <c r="L938" s="19"/>
      <c r="M938" s="22"/>
    </row>
    <row r="939" spans="1:13" outlineLevel="1" x14ac:dyDescent="0.2">
      <c r="A939" s="23" t="str">
        <f ca="1">Language!A$762</f>
        <v>Денежные средства на конец периода</v>
      </c>
      <c r="B939" s="19"/>
      <c r="C939" s="5" t="str">
        <f t="shared" ca="1" si="255"/>
        <v>руб.</v>
      </c>
      <c r="D939" s="19"/>
      <c r="E939" s="19"/>
      <c r="F939" s="65">
        <f t="shared" ref="F939:J939" ca="1" si="287">F331</f>
        <v>15122083.333333332</v>
      </c>
      <c r="G939" s="65">
        <f t="shared" ca="1" si="287"/>
        <v>81971543.333333328</v>
      </c>
      <c r="H939" s="65">
        <f t="shared" ca="1" si="287"/>
        <v>180331403.33333331</v>
      </c>
      <c r="I939" s="65">
        <f t="shared" ca="1" si="287"/>
        <v>271350683.33333331</v>
      </c>
      <c r="J939" s="65">
        <f t="shared" ca="1" si="287"/>
        <v>362989183.33333331</v>
      </c>
      <c r="K939" s="65">
        <f t="shared" ref="K939" ca="1" si="288">K331</f>
        <v>454627683.33333331</v>
      </c>
      <c r="L939" s="19"/>
      <c r="M939" s="22"/>
    </row>
    <row r="940" spans="1:13" outlineLevel="1" x14ac:dyDescent="0.2">
      <c r="A940" s="63"/>
      <c r="B940" s="63"/>
      <c r="C940" s="63"/>
      <c r="D940" s="63"/>
      <c r="E940" s="63"/>
      <c r="F940" s="63"/>
      <c r="G940" s="63"/>
      <c r="H940" s="63"/>
      <c r="I940" s="63"/>
      <c r="J940" s="63"/>
      <c r="K940" s="63"/>
      <c r="L940" s="63"/>
      <c r="M940" s="64"/>
    </row>
    <row r="941" spans="1:13" outlineLevel="1" x14ac:dyDescent="0.2">
      <c r="A941" s="62" t="str">
        <f ca="1">Language!A$935</f>
        <v>Эффективность полных инвестиционных затрат</v>
      </c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22"/>
    </row>
    <row r="942" spans="1:13" outlineLevel="1" x14ac:dyDescent="0.2">
      <c r="A942" s="24" t="str">
        <f ca="1">Language!A$859</f>
        <v>Чистая приведенная стоимость (NPV)</v>
      </c>
      <c r="B942" s="138">
        <f ca="1">B700</f>
        <v>417103761.39956957</v>
      </c>
      <c r="C942" s="5" t="str">
        <f ca="1">CUR_Report</f>
        <v>руб.</v>
      </c>
      <c r="D942" s="19"/>
      <c r="E942" s="19"/>
      <c r="F942" s="19"/>
      <c r="G942" s="19"/>
      <c r="H942" s="19"/>
      <c r="I942" s="19"/>
      <c r="J942" s="19"/>
      <c r="K942" s="19"/>
      <c r="L942" s="19"/>
      <c r="M942" s="22"/>
    </row>
    <row r="943" spans="1:13" outlineLevel="1" x14ac:dyDescent="0.2">
      <c r="A943" s="24" t="str">
        <f ca="1">Language!A$860</f>
        <v>Дисконтированный срок окупаемости (PBP)</v>
      </c>
      <c r="B943" s="157" t="str">
        <f ca="1">B701</f>
        <v>Нет</v>
      </c>
      <c r="C943" s="157" t="str">
        <f ca="1">C701</f>
        <v>лет</v>
      </c>
      <c r="D943" s="19"/>
      <c r="E943" s="19"/>
      <c r="F943" s="19"/>
      <c r="G943" s="19"/>
      <c r="H943" s="19"/>
      <c r="I943" s="19"/>
      <c r="J943" s="19"/>
      <c r="K943" s="19"/>
      <c r="L943" s="19"/>
      <c r="M943" s="22"/>
    </row>
    <row r="944" spans="1:13" outlineLevel="1" x14ac:dyDescent="0.2">
      <c r="A944" s="23" t="str">
        <f ca="1">Language!A$863</f>
        <v>Внутренняя норма рентабельности (IRR)</v>
      </c>
      <c r="B944" s="156" t="str">
        <f ca="1">B704</f>
        <v>Нет</v>
      </c>
      <c r="C944" s="212" t="str">
        <f ca="1">C704</f>
        <v>(реальная - без учета инфляции)</v>
      </c>
      <c r="M944" s="11"/>
    </row>
    <row r="945" spans="1:13" outlineLevel="1" x14ac:dyDescent="0.2">
      <c r="A945" s="23" t="str">
        <f ca="1">Language!A$864</f>
        <v>Норма доходности дисконтированных затрат (PI)</v>
      </c>
      <c r="B945" s="154" t="str">
        <f ca="1">B706</f>
        <v>Нет</v>
      </c>
      <c r="C945" s="154" t="str">
        <f ca="1">C706</f>
        <v>разы</v>
      </c>
      <c r="M945" s="11"/>
    </row>
    <row r="946" spans="1:13" outlineLevel="1" x14ac:dyDescent="0.2">
      <c r="M946" s="11"/>
    </row>
    <row r="947" spans="1:13" outlineLevel="1" x14ac:dyDescent="0.2">
      <c r="A947" s="35" t="str">
        <f ca="1">Language!A$936</f>
        <v>Эффективность для собственного капитала</v>
      </c>
      <c r="M947" s="11"/>
    </row>
    <row r="948" spans="1:13" outlineLevel="1" x14ac:dyDescent="0.2">
      <c r="A948" s="24" t="str">
        <f ca="1">Language!A$859</f>
        <v>Чистая приведенная стоимость (NPV)</v>
      </c>
      <c r="B948" s="131">
        <f ca="1">B775</f>
        <v>417103761.39956957</v>
      </c>
      <c r="C948" s="5" t="str">
        <f ca="1">CUR_Report</f>
        <v>руб.</v>
      </c>
      <c r="M948" s="11"/>
    </row>
    <row r="949" spans="1:13" outlineLevel="1" x14ac:dyDescent="0.2">
      <c r="A949" s="24" t="str">
        <f ca="1">Language!A$860</f>
        <v>Дисконтированный срок окупаемости (PBP)</v>
      </c>
      <c r="B949" s="136" t="str">
        <f ca="1">B776</f>
        <v>Нет</v>
      </c>
      <c r="C949" s="136" t="str">
        <f ca="1">C776</f>
        <v>лет</v>
      </c>
      <c r="M949" s="11"/>
    </row>
    <row r="950" spans="1:13" outlineLevel="1" x14ac:dyDescent="0.2">
      <c r="A950" s="23" t="str">
        <f ca="1">Language!A$863</f>
        <v>Внутренняя норма рентабельности (IRR)</v>
      </c>
      <c r="B950" s="156" t="str">
        <f ca="1">B779</f>
        <v>Нет</v>
      </c>
      <c r="C950" s="212" t="str">
        <f ca="1">C779</f>
        <v>(реальная - без учета инфляции)</v>
      </c>
      <c r="M950" s="11"/>
    </row>
    <row r="951" spans="1:13" outlineLevel="1" x14ac:dyDescent="0.2">
      <c r="A951" s="23" t="str">
        <f ca="1">Language!A$864</f>
        <v>Норма доходности дисконтированных затрат (PI)</v>
      </c>
      <c r="B951" s="154" t="str">
        <f ca="1">B781</f>
        <v>Нет</v>
      </c>
      <c r="C951" s="154" t="str">
        <f ca="1">C781</f>
        <v>разы</v>
      </c>
      <c r="M951" s="11"/>
    </row>
    <row r="952" spans="1:13" outlineLevel="1" x14ac:dyDescent="0.2">
      <c r="M952" s="11"/>
    </row>
    <row r="953" spans="1:13" outlineLevel="1" x14ac:dyDescent="0.2">
      <c r="A953" s="35" t="str">
        <f ca="1">Language!A$937</f>
        <v>Эффективность для банка</v>
      </c>
      <c r="M953" s="11"/>
    </row>
    <row r="954" spans="1:13" outlineLevel="1" x14ac:dyDescent="0.2">
      <c r="A954" s="24" t="str">
        <f ca="1">Language!A$860</f>
        <v>Дисконтированный срок окупаемости (PBP)</v>
      </c>
      <c r="B954" s="136" t="str">
        <f ca="1">B849</f>
        <v>Нет</v>
      </c>
      <c r="C954" s="136" t="str">
        <f ca="1">C849</f>
        <v>лет</v>
      </c>
      <c r="M954" s="11"/>
    </row>
    <row r="955" spans="1:13" outlineLevel="1" x14ac:dyDescent="0.2">
      <c r="A955" s="23" t="str">
        <f ca="1">Language!A$863</f>
        <v>Внутренняя норма рентабельности (IRR)</v>
      </c>
      <c r="B955" s="156" t="str">
        <f ca="1">B852</f>
        <v>Нет</v>
      </c>
      <c r="C955" s="212" t="str">
        <f ca="1">C852</f>
        <v>(реальная - без учета инфляции)</v>
      </c>
      <c r="M955" s="11"/>
    </row>
    <row r="956" spans="1:13" outlineLevel="1" x14ac:dyDescent="0.2">
      <c r="A956" s="63"/>
      <c r="B956" s="63"/>
      <c r="C956" s="63"/>
      <c r="D956" s="63"/>
      <c r="E956" s="63"/>
      <c r="F956" s="63"/>
      <c r="G956" s="63"/>
      <c r="H956" s="63"/>
      <c r="I956" s="63"/>
      <c r="J956" s="63"/>
      <c r="K956" s="63"/>
      <c r="L956" s="63"/>
      <c r="M956" s="64"/>
    </row>
    <row r="957" spans="1:13" outlineLevel="1" x14ac:dyDescent="0.2">
      <c r="M957" s="11"/>
    </row>
  </sheetData>
  <mergeCells count="2">
    <mergeCell ref="B11:C11"/>
    <mergeCell ref="B16:C16"/>
  </mergeCells>
  <phoneticPr fontId="11" type="noConversion"/>
  <conditionalFormatting sqref="B42">
    <cfRule type="expression" dxfId="19" priority="101" stopIfTrue="1">
      <formula>$B$41=2</formula>
    </cfRule>
  </conditionalFormatting>
  <conditionalFormatting sqref="F511:G511">
    <cfRule type="cellIs" dxfId="18" priority="102" stopIfTrue="1" operator="notEqual">
      <formula>0</formula>
    </cfRule>
  </conditionalFormatting>
  <conditionalFormatting sqref="A14:C14">
    <cfRule type="expression" dxfId="17" priority="100" stopIfTrue="1">
      <formula>$D$14=0</formula>
    </cfRule>
  </conditionalFormatting>
  <conditionalFormatting sqref="H511">
    <cfRule type="cellIs" dxfId="16" priority="96" stopIfTrue="1" operator="notEqual">
      <formula>0</formula>
    </cfRule>
  </conditionalFormatting>
  <conditionalFormatting sqref="I511">
    <cfRule type="cellIs" dxfId="15" priority="94" stopIfTrue="1" operator="notEqual">
      <formula>0</formula>
    </cfRule>
  </conditionalFormatting>
  <conditionalFormatting sqref="J511">
    <cfRule type="cellIs" dxfId="14" priority="92" stopIfTrue="1" operator="notEqual">
      <formula>0</formula>
    </cfRule>
  </conditionalFormatting>
  <conditionalFormatting sqref="K511">
    <cfRule type="cellIs" dxfId="13" priority="1" stopIfTrue="1" operator="notEqual">
      <formula>0</formula>
    </cfRule>
  </conditionalFormatting>
  <dataValidations count="4">
    <dataValidation type="list" allowBlank="1" showInputMessage="1" showErrorMessage="1" errorTitle="Внимание!" error="Значение ячейки может содержать:_x000a_1 - Да, учитывать_x000a_2 - Нет, не учитывать" prompt="1 - Да, уⴀܞ_x0000__x0000_ȁ_x0000__x0017__x0001__x0000__x0000_ÿ_x0000_￨_xffff__x0000__x0000_, не учитывать" sqref="B747:B748 B672:B673" xr:uid="{00000000-0002-0000-0200-000000000000}">
      <formula1>"1,2"</formula1>
    </dataValidation>
    <dataValidation type="list" allowBlank="1" showInputMessage="1" showErrorMessage="1" error="Внимание! Ячейка может содержать значения:_x000a_1 - Да, учитывать проект_x000a_0 - Нет, не учитывать проект_x000a_-1 - Вычитать проект" prompt="1 - Да, учитывать_x000a_0 - Нет, не учитывать_x000a_-1 - Вычитать" sqref="B12" xr:uid="{00000000-0002-0000-0200-000001000000}">
      <formula1>"0,1,-1"</formula1>
    </dataValidation>
    <dataValidation type="list" allowBlank="1" showInputMessage="1" showErrorMessage="1" error="Внимание! Ячейка может содержать значения:_x000a_1 - Да, пересчитать налог_x000a_2 - Нет, не пересчитывать налог" prompt="1 - Да, пересчитать_x000a_2 - Нет, не пересчитывать" sqref="B41" xr:uid="{00000000-0002-0000-0200-000002000000}">
      <formula1>"1,2"</formula1>
    </dataValidation>
    <dataValidation type="list" allowBlank="1" showInputMessage="1" showErrorMessage="1" error="Внимание! Ячейка может содержать значения:_x000a_1 - Да, не обнулять данные_x000a_0 - Нет, обнулить" prompt="1 - Да_x000a_0 - Нет" sqref="B14" xr:uid="{00000000-0002-0000-0200-000003000000}">
      <formula1>"0,1"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PORT_BTN_3">
              <controlPr defaultSize="0" print="0" autoFill="0" autoPict="0" macro="[0]!UpdateExtProjects">
                <anchor moveWithCells="1" sizeWithCells="1">
                  <from>
                    <xdr:col>0</xdr:col>
                    <xdr:colOff>22860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PORT_BTN_1">
              <controlPr defaultSize="0" print="0" autoFill="0" autoPict="0" macro="[0]!Run_AddProject">
                <anchor moveWithCells="1" sizeWithCells="1">
                  <from>
                    <xdr:col>0</xdr:col>
                    <xdr:colOff>7620</xdr:colOff>
                    <xdr:row>8</xdr:row>
                    <xdr:rowOff>0</xdr:rowOff>
                  </from>
                  <to>
                    <xdr:col>0</xdr:col>
                    <xdr:colOff>1409700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PORT_BTN_2">
              <controlPr defaultSize="0" print="0" autoFill="0" autoPict="0" macro="[0]!Run_DelProject">
                <anchor moveWithCells="1" sizeWithCells="1">
                  <from>
                    <xdr:col>0</xdr:col>
                    <xdr:colOff>1546860</xdr:colOff>
                    <xdr:row>8</xdr:row>
                    <xdr:rowOff>0</xdr:rowOff>
                  </from>
                  <to>
                    <xdr:col>0</xdr:col>
                    <xdr:colOff>2895600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3</xdr:row>
                    <xdr:rowOff>7620</xdr:rowOff>
                  </from>
                  <to>
                    <xdr:col>0</xdr:col>
                    <xdr:colOff>220980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38</xdr:row>
                    <xdr:rowOff>7620</xdr:rowOff>
                  </from>
                  <to>
                    <xdr:col>0</xdr:col>
                    <xdr:colOff>220980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121</xdr:row>
                    <xdr:rowOff>7620</xdr:rowOff>
                  </from>
                  <to>
                    <xdr:col>0</xdr:col>
                    <xdr:colOff>220980</xdr:colOff>
                    <xdr:row>121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264</xdr:row>
                    <xdr:rowOff>7620</xdr:rowOff>
                  </from>
                  <to>
                    <xdr:col>0</xdr:col>
                    <xdr:colOff>220980</xdr:colOff>
                    <xdr:row>264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65</xdr:row>
                    <xdr:rowOff>7620</xdr:rowOff>
                  </from>
                  <to>
                    <xdr:col>0</xdr:col>
                    <xdr:colOff>220980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2" name="Button 26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434</xdr:row>
                    <xdr:rowOff>7620</xdr:rowOff>
                  </from>
                  <to>
                    <xdr:col>0</xdr:col>
                    <xdr:colOff>220980</xdr:colOff>
                    <xdr:row>434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3" name="Button 29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563</xdr:row>
                    <xdr:rowOff>7620</xdr:rowOff>
                  </from>
                  <to>
                    <xdr:col>0</xdr:col>
                    <xdr:colOff>220980</xdr:colOff>
                    <xdr:row>563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4" name="Button 31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666</xdr:row>
                    <xdr:rowOff>0</xdr:rowOff>
                  </from>
                  <to>
                    <xdr:col>0</xdr:col>
                    <xdr:colOff>220980</xdr:colOff>
                    <xdr:row>666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5" name="Button 37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741</xdr:row>
                    <xdr:rowOff>0</xdr:rowOff>
                  </from>
                  <to>
                    <xdr:col>0</xdr:col>
                    <xdr:colOff>220980</xdr:colOff>
                    <xdr:row>741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6" name="Button 38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816</xdr:row>
                    <xdr:rowOff>7620</xdr:rowOff>
                  </from>
                  <to>
                    <xdr:col>0</xdr:col>
                    <xdr:colOff>220980</xdr:colOff>
                    <xdr:row>816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7" name="Button 39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889</xdr:row>
                    <xdr:rowOff>0</xdr:rowOff>
                  </from>
                  <to>
                    <xdr:col>0</xdr:col>
                    <xdr:colOff>220980</xdr:colOff>
                    <xdr:row>889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18" name="Button 42">
              <controlPr defaultSize="0" print="0" autoFill="0" autoPict="0" macro="[0]!Run_Navigator">
                <anchor moveWithCells="1" sizeWithCells="1">
                  <from>
                    <xdr:col>0</xdr:col>
                    <xdr:colOff>22860</xdr:colOff>
                    <xdr:row>917</xdr:row>
                    <xdr:rowOff>7620</xdr:rowOff>
                  </from>
                  <to>
                    <xdr:col>0</xdr:col>
                    <xdr:colOff>220980</xdr:colOff>
                    <xdr:row>917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29"/>
  <sheetViews>
    <sheetView topLeftCell="A949" workbookViewId="0"/>
  </sheetViews>
  <sheetFormatPr defaultRowHeight="10.199999999999999" x14ac:dyDescent="0.2"/>
  <cols>
    <col min="1" max="1" width="51.85546875" customWidth="1"/>
    <col min="2" max="2" width="13.7109375" customWidth="1"/>
    <col min="3" max="3" width="12.85546875" customWidth="1"/>
    <col min="4" max="5" width="0" hidden="1" customWidth="1"/>
    <col min="6" max="17" width="11.85546875" customWidth="1"/>
    <col min="18" max="18" width="1" customWidth="1"/>
    <col min="19" max="19" width="12.85546875" customWidth="1"/>
  </cols>
  <sheetData>
    <row r="1" spans="1:19" ht="15.9" customHeight="1" thickBot="1" x14ac:dyDescent="0.25">
      <c r="A1" s="166" t="str">
        <f ca="1">Проект!$A$4</f>
        <v xml:space="preserve">         ПАРАМЕТРЫ ПРОЕКТА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7"/>
    </row>
    <row r="2" spans="1:19" ht="12" customHeight="1" thickTop="1" x14ac:dyDescent="0.2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1"/>
    </row>
    <row r="3" spans="1:19" ht="11.25" customHeight="1" x14ac:dyDescent="0.2">
      <c r="A3" s="48" t="str">
        <f ca="1">Проект!$A$6</f>
        <v>Название проекта: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1"/>
    </row>
    <row r="4" spans="1:19" ht="11.25" customHeight="1" x14ac:dyDescent="0.2">
      <c r="A4" s="326" t="str">
        <f>Проект!$A$7</f>
        <v>Наименование проекта</v>
      </c>
      <c r="B4" s="327"/>
      <c r="C4" s="327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1"/>
    </row>
    <row r="5" spans="1:19" ht="11.25" customHeight="1" x14ac:dyDescent="0.2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1"/>
    </row>
    <row r="6" spans="1:19" ht="11.25" customHeight="1" x14ac:dyDescent="0.2">
      <c r="A6" s="48" t="str">
        <f ca="1">Проект!$A$9</f>
        <v>Дата начала проекта</v>
      </c>
      <c r="B6" s="328">
        <f>Проект!$B$9</f>
        <v>43922</v>
      </c>
      <c r="C6" s="329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1"/>
    </row>
    <row r="7" spans="1:19" ht="11.25" customHeight="1" x14ac:dyDescent="0.2">
      <c r="A7" s="48" t="str">
        <f ca="1">Проект!$A$10</f>
        <v>Срок жизни проекта</v>
      </c>
      <c r="B7" s="100" t="str">
        <f ca="1">Проект!$B$10</f>
        <v>6 мес.</v>
      </c>
      <c r="C7" s="329"/>
      <c r="D7" s="48">
        <f>Проект!$D$10</f>
        <v>6</v>
      </c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1"/>
    </row>
    <row r="8" spans="1:19" ht="11.25" customHeight="1" x14ac:dyDescent="0.2">
      <c r="A8" s="48" t="str">
        <f ca="1">Проект!$A$11</f>
        <v>Шаг планирования</v>
      </c>
      <c r="B8" s="100" t="str">
        <f ca="1">Проект!$B$11</f>
        <v>месяц</v>
      </c>
      <c r="C8" s="329"/>
      <c r="D8" s="48">
        <f>Проект!$D$11</f>
        <v>1</v>
      </c>
      <c r="E8" s="101" t="str">
        <f ca="1">Проект!$E$11</f>
        <v>мес.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1"/>
    </row>
    <row r="9" spans="1:19" ht="11.25" customHeight="1" x14ac:dyDescent="0.2">
      <c r="A9" s="48" t="str">
        <f ca="1">Проект!$A$12</f>
        <v>Длительность шага планирования</v>
      </c>
      <c r="B9" s="100" t="str">
        <f ca="1">Проект!$B$12</f>
        <v>30 дн.</v>
      </c>
      <c r="C9" s="329"/>
      <c r="D9" s="101">
        <f>Проект!$D$12</f>
        <v>30</v>
      </c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1"/>
    </row>
    <row r="10" spans="1:19" ht="11.25" customHeight="1" x14ac:dyDescent="0.2">
      <c r="A10" s="48" t="str">
        <f ca="1">Проект!$A$13</f>
        <v>Основная валюта расчета</v>
      </c>
      <c r="B10" s="100" t="str">
        <f ca="1">Проект!$B$13</f>
        <v>руб.</v>
      </c>
      <c r="C10" s="329"/>
      <c r="D10" s="48">
        <f>Проект!$D$13</f>
        <v>0</v>
      </c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1"/>
    </row>
    <row r="11" spans="1:19" ht="11.25" customHeight="1" x14ac:dyDescent="0.2">
      <c r="A11" s="48" t="str">
        <f ca="1">Проект!$A$14</f>
        <v>Иностранная валюта</v>
      </c>
      <c r="B11" s="100" t="str">
        <f ca="1">Проект!$B$14</f>
        <v>$</v>
      </c>
      <c r="C11" s="329"/>
      <c r="D11" s="48">
        <f>Проект!$D$14</f>
        <v>1</v>
      </c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1"/>
    </row>
    <row r="12" spans="1:19" ht="11.25" customHeight="1" x14ac:dyDescent="0.2">
      <c r="A12" s="48" t="str">
        <f ca="1">Проект!$A$15</f>
        <v>Валюта для отображения результатов</v>
      </c>
      <c r="B12" s="100" t="str">
        <f ca="1">Проект!$B$15</f>
        <v>руб.</v>
      </c>
      <c r="C12" s="329"/>
      <c r="D12" s="48">
        <f>Проект!$D$15</f>
        <v>1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1"/>
    </row>
    <row r="13" spans="1:19" ht="11.25" customHeight="1" x14ac:dyDescent="0.2">
      <c r="A13" s="48"/>
      <c r="B13" s="330"/>
      <c r="C13" s="329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1"/>
    </row>
    <row r="14" spans="1:19" ht="11.25" customHeight="1" x14ac:dyDescent="0.2">
      <c r="A14" s="48"/>
      <c r="B14" s="48"/>
      <c r="C14" s="329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1"/>
    </row>
    <row r="15" spans="1:19" ht="11.25" customHeight="1" x14ac:dyDescent="0.2">
      <c r="A15" s="173"/>
      <c r="B15" s="173"/>
      <c r="C15" s="331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1"/>
    </row>
    <row r="16" spans="1:19" ht="11.25" customHeight="1" x14ac:dyDescent="0.2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1"/>
    </row>
    <row r="17" spans="1:19" ht="11.25" customHeight="1" x14ac:dyDescent="0.2">
      <c r="A17" s="48" t="str">
        <f ca="1">Проект!$A$20</f>
        <v>Язык интерфейса и таблиц</v>
      </c>
      <c r="B17" s="73" t="str">
        <f ca="1">Проект!$B$20</f>
        <v>Русский</v>
      </c>
      <c r="C17" s="329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1"/>
    </row>
    <row r="18" spans="1:19" ht="11.25" customHeight="1" x14ac:dyDescent="0.2">
      <c r="A18" s="48" t="str">
        <f ca="1">Проект!$A$21</f>
        <v>Защита</v>
      </c>
      <c r="B18" s="73" t="str">
        <f ca="1">Проект!$B$21</f>
        <v>Выключена</v>
      </c>
      <c r="C18" s="329"/>
      <c r="D18" s="48" t="b">
        <f>Проект!$D$21</f>
        <v>0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1"/>
    </row>
    <row r="19" spans="1:19" ht="11.25" customHeight="1" x14ac:dyDescent="0.2">
      <c r="A19" s="48" t="str">
        <f ca="1">Проект!$A$22</f>
        <v>Показывать реальные даты в названиях периодов?</v>
      </c>
      <c r="B19" s="73" t="str">
        <f ca="1">Проект!$B$22</f>
        <v>Да</v>
      </c>
      <c r="C19" s="329"/>
      <c r="D19" s="48" t="b">
        <f>Проект!$D$22</f>
        <v>1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1"/>
    </row>
    <row r="20" spans="1:19" ht="11.25" customHeight="1" x14ac:dyDescent="0.2">
      <c r="A20" s="48"/>
      <c r="B20" s="48"/>
      <c r="C20" s="329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1"/>
    </row>
    <row r="21" spans="1:19" ht="11.25" customHeight="1" x14ac:dyDescent="0.2">
      <c r="A21" s="48"/>
      <c r="B21" s="48"/>
      <c r="C21" s="329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1"/>
    </row>
    <row r="22" spans="1:19" ht="11.25" customHeight="1" x14ac:dyDescent="0.2">
      <c r="A22" s="173"/>
      <c r="B22" s="173"/>
      <c r="C22" s="331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1"/>
    </row>
    <row r="23" spans="1:19" hidden="1" x14ac:dyDescent="0.2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1"/>
    </row>
    <row r="24" spans="1:19" hidden="1" x14ac:dyDescent="0.2">
      <c r="A24" s="48" t="str">
        <f ca="1">Проект!$A$27</f>
        <v>Год начала проекта</v>
      </c>
      <c r="B24" s="48"/>
      <c r="C24" s="48"/>
      <c r="D24" s="101" t="str">
        <f>Проект!$D$27</f>
        <v>int_start</v>
      </c>
      <c r="E24" s="48"/>
      <c r="F24" s="73">
        <f>Проект!$F$27</f>
        <v>2020</v>
      </c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48"/>
      <c r="S24" s="41"/>
    </row>
    <row r="25" spans="1:19" hidden="1" x14ac:dyDescent="0.2">
      <c r="A25" s="48" t="str">
        <f ca="1">Проект!$A$28</f>
        <v>Месяц начала проекта</v>
      </c>
      <c r="B25" s="48"/>
      <c r="C25" s="48"/>
      <c r="D25" s="101" t="str">
        <f>Проект!$D$28</f>
        <v>int_start</v>
      </c>
      <c r="E25" s="48"/>
      <c r="F25" s="73">
        <f>Проект!$F$28</f>
        <v>4</v>
      </c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48"/>
      <c r="S25" s="41"/>
    </row>
    <row r="26" spans="1:19" hidden="1" x14ac:dyDescent="0.2">
      <c r="A26" s="48" t="str">
        <f ca="1">Проект!$A$29</f>
        <v>Номера периодов</v>
      </c>
      <c r="B26" s="48"/>
      <c r="C26" s="48"/>
      <c r="D26" s="101" t="str">
        <f>Проект!$D$29</f>
        <v>int_start</v>
      </c>
      <c r="E26" s="48"/>
      <c r="F26" s="73">
        <f>Проект!$F$29</f>
        <v>1</v>
      </c>
      <c r="G26" s="73">
        <f>Проект!$G$29</f>
        <v>2</v>
      </c>
      <c r="H26" s="73">
        <f>Проект!$H$29</f>
        <v>3</v>
      </c>
      <c r="I26" s="73">
        <f>Проект!$I$29</f>
        <v>4</v>
      </c>
      <c r="J26" s="73">
        <f>Проект!$J$29</f>
        <v>5</v>
      </c>
      <c r="K26" s="73" t="e">
        <f>Проект!#REF!</f>
        <v>#REF!</v>
      </c>
      <c r="L26" s="73" t="e">
        <f>Проект!#REF!</f>
        <v>#REF!</v>
      </c>
      <c r="M26" s="73" t="e">
        <f>Проект!#REF!</f>
        <v>#REF!</v>
      </c>
      <c r="N26" s="73" t="e">
        <f>Проект!#REF!</f>
        <v>#REF!</v>
      </c>
      <c r="O26" s="73" t="e">
        <f>Проект!#REF!</f>
        <v>#REF!</v>
      </c>
      <c r="P26" s="73" t="e">
        <f>Проект!#REF!</f>
        <v>#REF!</v>
      </c>
      <c r="Q26" s="73">
        <f>Проект!$K$29</f>
        <v>6</v>
      </c>
      <c r="R26" s="48"/>
      <c r="S26" s="41"/>
    </row>
    <row r="27" spans="1:19" hidden="1" x14ac:dyDescent="0.2">
      <c r="A27" s="48" t="str">
        <f ca="1">Проект!$A$30</f>
        <v>Наименования периодов без учета дат</v>
      </c>
      <c r="B27" s="48"/>
      <c r="C27" s="48"/>
      <c r="D27" s="101" t="str">
        <f>Проект!$D$30</f>
        <v>int_start</v>
      </c>
      <c r="E27" s="48"/>
      <c r="F27" s="50" t="str">
        <f ca="1">Проект!$F$30</f>
        <v>1 мес.</v>
      </c>
      <c r="G27" s="50" t="str">
        <f ca="1">Проект!$G$30</f>
        <v>2 мес.</v>
      </c>
      <c r="H27" s="50" t="str">
        <f ca="1">Проект!$H$30</f>
        <v>3 мес.</v>
      </c>
      <c r="I27" s="50" t="str">
        <f ca="1">Проект!$I$30</f>
        <v>4 мес.</v>
      </c>
      <c r="J27" s="50" t="str">
        <f ca="1">Проект!$J$30</f>
        <v>5 мес.</v>
      </c>
      <c r="K27" s="50" t="e">
        <f>Проект!#REF!</f>
        <v>#REF!</v>
      </c>
      <c r="L27" s="50" t="e">
        <f>Проект!#REF!</f>
        <v>#REF!</v>
      </c>
      <c r="M27" s="50" t="e">
        <f>Проект!#REF!</f>
        <v>#REF!</v>
      </c>
      <c r="N27" s="50" t="e">
        <f>Проект!#REF!</f>
        <v>#REF!</v>
      </c>
      <c r="O27" s="50" t="e">
        <f>Проект!#REF!</f>
        <v>#REF!</v>
      </c>
      <c r="P27" s="50" t="e">
        <f>Проект!#REF!</f>
        <v>#REF!</v>
      </c>
      <c r="Q27" s="50" t="str">
        <f ca="1">Проект!$K$30</f>
        <v>6 мес.</v>
      </c>
      <c r="R27" s="48"/>
      <c r="S27" s="41"/>
    </row>
    <row r="28" spans="1:19" hidden="1" x14ac:dyDescent="0.2">
      <c r="A28" s="48" t="str">
        <f ca="1">Проект!$A$31</f>
        <v>Дата начала периода</v>
      </c>
      <c r="B28" s="48"/>
      <c r="C28" s="48"/>
      <c r="D28" s="101" t="str">
        <f>Проект!$D$31</f>
        <v>int_start</v>
      </c>
      <c r="E28" s="48"/>
      <c r="F28" s="332">
        <f>Проект!$F$31</f>
        <v>43922</v>
      </c>
      <c r="G28" s="332">
        <f>Проект!$G$31</f>
        <v>43952</v>
      </c>
      <c r="H28" s="332">
        <f>Проект!$H$31</f>
        <v>43983</v>
      </c>
      <c r="I28" s="332">
        <f>Проект!$I$31</f>
        <v>44013</v>
      </c>
      <c r="J28" s="332">
        <f>Проект!$J$31</f>
        <v>44044</v>
      </c>
      <c r="K28" s="332" t="e">
        <f>Проект!#REF!</f>
        <v>#REF!</v>
      </c>
      <c r="L28" s="332" t="e">
        <f>Проект!#REF!</f>
        <v>#REF!</v>
      </c>
      <c r="M28" s="332" t="e">
        <f>Проект!#REF!</f>
        <v>#REF!</v>
      </c>
      <c r="N28" s="332" t="e">
        <f>Проект!#REF!</f>
        <v>#REF!</v>
      </c>
      <c r="O28" s="332" t="e">
        <f>Проект!#REF!</f>
        <v>#REF!</v>
      </c>
      <c r="P28" s="332" t="e">
        <f>Проект!#REF!</f>
        <v>#REF!</v>
      </c>
      <c r="Q28" s="332">
        <f>Проект!$K$31</f>
        <v>44075</v>
      </c>
      <c r="R28" s="48"/>
      <c r="S28" s="41"/>
    </row>
    <row r="29" spans="1:19" hidden="1" x14ac:dyDescent="0.2">
      <c r="A29" s="48" t="str">
        <f ca="1">Проект!$A$32</f>
        <v>Наименования периодов с учетом дат</v>
      </c>
      <c r="B29" s="48"/>
      <c r="C29" s="48"/>
      <c r="D29" s="101" t="str">
        <f>Проект!$D$32</f>
        <v>int_start</v>
      </c>
      <c r="E29" s="48"/>
      <c r="F29" s="50" t="str">
        <f>Проект!$F$32</f>
        <v>4/ 2020</v>
      </c>
      <c r="G29" s="50" t="str">
        <f>Проект!$G$32</f>
        <v>5/ 2020</v>
      </c>
      <c r="H29" s="50" t="str">
        <f>Проект!$H$32</f>
        <v>6/ 2020</v>
      </c>
      <c r="I29" s="50" t="str">
        <f>Проект!$I$32</f>
        <v>7/ 2020</v>
      </c>
      <c r="J29" s="50" t="str">
        <f>Проект!$J$32</f>
        <v>8/ 2020</v>
      </c>
      <c r="K29" s="50" t="e">
        <f>Проект!#REF!</f>
        <v>#REF!</v>
      </c>
      <c r="L29" s="50" t="e">
        <f>Проект!#REF!</f>
        <v>#REF!</v>
      </c>
      <c r="M29" s="50" t="e">
        <f>Проект!#REF!</f>
        <v>#REF!</v>
      </c>
      <c r="N29" s="50" t="e">
        <f>Проект!#REF!</f>
        <v>#REF!</v>
      </c>
      <c r="O29" s="50" t="e">
        <f>Проект!#REF!</f>
        <v>#REF!</v>
      </c>
      <c r="P29" s="50" t="e">
        <f>Проект!#REF!</f>
        <v>#REF!</v>
      </c>
      <c r="Q29" s="50" t="str">
        <f>Проект!$K$32</f>
        <v>9/ 2020</v>
      </c>
      <c r="R29" s="48"/>
      <c r="S29" s="41"/>
    </row>
    <row r="32" spans="1:19" ht="15.9" customHeight="1" thickBot="1" x14ac:dyDescent="0.25">
      <c r="A32" s="166" t="str">
        <f ca="1">Проект!$A$281</f>
        <v xml:space="preserve">         ИНВЕСТИЦИИ ПРОЕКТА</v>
      </c>
      <c r="B32" s="166"/>
      <c r="C32" s="166"/>
      <c r="D32" s="166"/>
      <c r="E32" s="166"/>
      <c r="F32" s="178" t="str">
        <f>Проект!$F$281</f>
        <v>4/ 2020</v>
      </c>
      <c r="G32" s="178" t="str">
        <f>Проект!$G$281</f>
        <v>5/ 2020</v>
      </c>
      <c r="H32" s="178" t="str">
        <f>Проект!$H$281</f>
        <v>6/ 2020</v>
      </c>
      <c r="I32" s="178" t="str">
        <f>Проект!$I$281</f>
        <v>7/ 2020</v>
      </c>
      <c r="J32" s="178" t="str">
        <f>Проект!$J$281</f>
        <v>8/ 2020</v>
      </c>
      <c r="K32" s="178" t="e">
        <f>Проект!#REF!</f>
        <v>#REF!</v>
      </c>
      <c r="L32" s="178" t="e">
        <f>Проект!#REF!</f>
        <v>#REF!</v>
      </c>
      <c r="M32" s="178" t="e">
        <f>Проект!#REF!</f>
        <v>#REF!</v>
      </c>
      <c r="N32" s="178" t="e">
        <f>Проект!#REF!</f>
        <v>#REF!</v>
      </c>
      <c r="O32" s="178" t="e">
        <f>Проект!#REF!</f>
        <v>#REF!</v>
      </c>
      <c r="P32" s="178" t="e">
        <f>Проект!#REF!</f>
        <v>#REF!</v>
      </c>
      <c r="Q32" s="178" t="str">
        <f>Проект!$K$281</f>
        <v>9/ 2020</v>
      </c>
      <c r="R32" s="166"/>
      <c r="S32" s="195" t="str">
        <f ca="1">Проект!$M$281</f>
        <v>ИТОГО</v>
      </c>
    </row>
    <row r="33" spans="1:19" ht="12" customHeight="1" thickTop="1" x14ac:dyDescent="0.2">
      <c r="A33" s="130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1"/>
    </row>
    <row r="34" spans="1:19" ht="11.25" customHeight="1" x14ac:dyDescent="0.2">
      <c r="A34" s="130" t="str">
        <f ca="1">Проект!$A$283</f>
        <v>Земельные участки</v>
      </c>
      <c r="B34" s="48"/>
      <c r="C34" s="48"/>
      <c r="D34" s="48">
        <f>Проект!$D$283</f>
        <v>1</v>
      </c>
      <c r="E34" s="48">
        <f>Проект!$E$283</f>
        <v>13</v>
      </c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1"/>
    </row>
    <row r="35" spans="1:19" ht="11.25" customHeight="1" x14ac:dyDescent="0.2">
      <c r="A35" s="333" t="str">
        <f>Проект!$A$284</f>
        <v>Наименование</v>
      </c>
      <c r="B35" s="197" t="str">
        <f ca="1">Проект!$B$284</f>
        <v>Валюта</v>
      </c>
      <c r="C35" s="52"/>
      <c r="D35" s="52"/>
      <c r="E35" s="5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52"/>
      <c r="S35" s="92"/>
    </row>
    <row r="36" spans="1:19" ht="11.25" customHeight="1" x14ac:dyDescent="0.2">
      <c r="A36" s="48" t="str">
        <f ca="1">Проект!$A$285</f>
        <v xml:space="preserve">    величина платежей</v>
      </c>
      <c r="B36" s="334">
        <f>Проект!$B$285</f>
        <v>1</v>
      </c>
      <c r="C36" s="88" t="str">
        <f ca="1">Проект!$C$285</f>
        <v>руб.</v>
      </c>
      <c r="D36" s="101" t="str">
        <f>Проект!$D$285</f>
        <v>1_00</v>
      </c>
      <c r="E36" s="52"/>
      <c r="F36" s="335">
        <f>Проект!$F$285</f>
        <v>0</v>
      </c>
      <c r="G36" s="335">
        <f>Проект!$G$285</f>
        <v>0</v>
      </c>
      <c r="H36" s="335">
        <f>Проект!$H$285</f>
        <v>0</v>
      </c>
      <c r="I36" s="335">
        <f>Проект!$I$285</f>
        <v>0</v>
      </c>
      <c r="J36" s="335">
        <f>Проект!$J$285</f>
        <v>0</v>
      </c>
      <c r="K36" s="335" t="e">
        <f>Проект!#REF!</f>
        <v>#REF!</v>
      </c>
      <c r="L36" s="335" t="e">
        <f>Проект!#REF!</f>
        <v>#REF!</v>
      </c>
      <c r="M36" s="335" t="e">
        <f>Проект!#REF!</f>
        <v>#REF!</v>
      </c>
      <c r="N36" s="335" t="e">
        <f>Проект!#REF!</f>
        <v>#REF!</v>
      </c>
      <c r="O36" s="335" t="e">
        <f>Проект!#REF!</f>
        <v>#REF!</v>
      </c>
      <c r="P36" s="335" t="e">
        <f>Проект!#REF!</f>
        <v>#REF!</v>
      </c>
      <c r="Q36" s="335">
        <f>Проект!$K$285</f>
        <v>0</v>
      </c>
      <c r="R36" s="52"/>
      <c r="S36" s="94">
        <f>Проект!$M$285</f>
        <v>0</v>
      </c>
    </row>
    <row r="37" spans="1:19" hidden="1" x14ac:dyDescent="0.2">
      <c r="A37" s="48" t="str">
        <f ca="1">Проект!$A$286</f>
        <v xml:space="preserve">    ранее осуществленные инвестиции (без НДС)</v>
      </c>
      <c r="B37" s="336">
        <f>Проект!$B$286</f>
        <v>0</v>
      </c>
      <c r="C37" s="88" t="str">
        <f ca="1">Проект!$C$286</f>
        <v>руб.</v>
      </c>
      <c r="D37" s="52" t="str">
        <f>Проект!$D$286</f>
        <v>1_20;set_0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41"/>
    </row>
    <row r="38" spans="1:19" hidden="1" x14ac:dyDescent="0.2">
      <c r="A38" s="48" t="str">
        <f ca="1">Проект!$A$287</f>
        <v xml:space="preserve">    поставить на баланс с</v>
      </c>
      <c r="B38" s="337">
        <f ca="1">Проект!$B$287</f>
        <v>1</v>
      </c>
      <c r="C38" s="88" t="str">
        <f ca="1">Проект!$C$287</f>
        <v>периода</v>
      </c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41"/>
    </row>
    <row r="39" spans="1:19" hidden="1" x14ac:dyDescent="0.2">
      <c r="A39" s="48" t="str">
        <f ca="1">Проект!$A$288</f>
        <v xml:space="preserve">    сумма платежей без НДС</v>
      </c>
      <c r="B39" s="52"/>
      <c r="C39" s="88" t="str">
        <f ca="1">Проект!$C$288</f>
        <v>руб.</v>
      </c>
      <c r="D39" s="52" t="str">
        <f>Проект!$D$288</f>
        <v>1_01</v>
      </c>
      <c r="E39" s="52"/>
      <c r="F39" s="84">
        <f>Проект!$F$288</f>
        <v>0</v>
      </c>
      <c r="G39" s="84">
        <f>Проект!$G$288</f>
        <v>0</v>
      </c>
      <c r="H39" s="84">
        <f>Проект!$H$288</f>
        <v>0</v>
      </c>
      <c r="I39" s="84">
        <f>Проект!$I$288</f>
        <v>0</v>
      </c>
      <c r="J39" s="84">
        <f>Проект!$J$288</f>
        <v>0</v>
      </c>
      <c r="K39" s="84" t="e">
        <f>Проект!#REF!</f>
        <v>#REF!</v>
      </c>
      <c r="L39" s="84" t="e">
        <f>Проект!#REF!</f>
        <v>#REF!</v>
      </c>
      <c r="M39" s="84" t="e">
        <f>Проект!#REF!</f>
        <v>#REF!</v>
      </c>
      <c r="N39" s="84" t="e">
        <f>Проект!#REF!</f>
        <v>#REF!</v>
      </c>
      <c r="O39" s="84" t="e">
        <f>Проект!#REF!</f>
        <v>#REF!</v>
      </c>
      <c r="P39" s="84" t="e">
        <f>Проект!#REF!</f>
        <v>#REF!</v>
      </c>
      <c r="Q39" s="84">
        <f>Проект!$K$288</f>
        <v>0</v>
      </c>
      <c r="R39" s="52"/>
      <c r="S39" s="94">
        <f>Проект!$M$288</f>
        <v>0</v>
      </c>
    </row>
    <row r="40" spans="1:19" hidden="1" x14ac:dyDescent="0.2">
      <c r="A40" s="48" t="str">
        <f ca="1">Проект!$A$289</f>
        <v xml:space="preserve">    общая стоимость актива (без НДС)</v>
      </c>
      <c r="B40" s="312">
        <f>Проект!$B$289</f>
        <v>0</v>
      </c>
      <c r="C40" s="88" t="str">
        <f ca="1">Проект!$C$289</f>
        <v>руб.</v>
      </c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41"/>
    </row>
    <row r="41" spans="1:19" hidden="1" x14ac:dyDescent="0.2">
      <c r="A41" s="48" t="str">
        <f ca="1">Проект!$A$290</f>
        <v xml:space="preserve">    полная сумма вложений в актив (без НДС)</v>
      </c>
      <c r="B41" s="52"/>
      <c r="C41" s="88" t="str">
        <f ca="1">Проект!$C$290</f>
        <v>руб.</v>
      </c>
      <c r="D41" s="52" t="str">
        <f>Проект!$D$290</f>
        <v>1_05; int_end</v>
      </c>
      <c r="E41" s="52"/>
      <c r="F41" s="84">
        <f>Проект!$F$290</f>
        <v>0</v>
      </c>
      <c r="G41" s="84">
        <f>Проект!$G$290</f>
        <v>0</v>
      </c>
      <c r="H41" s="84">
        <f>Проект!$H$290</f>
        <v>0</v>
      </c>
      <c r="I41" s="84">
        <f>Проект!$I$290</f>
        <v>0</v>
      </c>
      <c r="J41" s="84">
        <f>Проект!$J$290</f>
        <v>0</v>
      </c>
      <c r="K41" s="84" t="e">
        <f>Проект!#REF!</f>
        <v>#REF!</v>
      </c>
      <c r="L41" s="84" t="e">
        <f>Проект!#REF!</f>
        <v>#REF!</v>
      </c>
      <c r="M41" s="84" t="e">
        <f>Проект!#REF!</f>
        <v>#REF!</v>
      </c>
      <c r="N41" s="84" t="e">
        <f>Проект!#REF!</f>
        <v>#REF!</v>
      </c>
      <c r="O41" s="84" t="e">
        <f>Проект!#REF!</f>
        <v>#REF!</v>
      </c>
      <c r="P41" s="84" t="e">
        <f>Проект!#REF!</f>
        <v>#REF!</v>
      </c>
      <c r="Q41" s="84">
        <f>Проект!$K$290</f>
        <v>0</v>
      </c>
      <c r="R41" s="52"/>
      <c r="S41" s="94"/>
    </row>
    <row r="42" spans="1:19" hidden="1" x14ac:dyDescent="0.2">
      <c r="A42" s="48" t="str">
        <f ca="1">Проект!$A$291</f>
        <v xml:space="preserve">    полная балансовая стоимость</v>
      </c>
      <c r="B42" s="52"/>
      <c r="C42" s="88" t="str">
        <f ca="1">Проект!$C$291</f>
        <v>руб.</v>
      </c>
      <c r="D42" s="52" t="str">
        <f>Проект!$D$291</f>
        <v>1_06; int_end</v>
      </c>
      <c r="E42" s="52"/>
      <c r="F42" s="84">
        <f ca="1">Проект!$F$291</f>
        <v>0</v>
      </c>
      <c r="G42" s="84">
        <f ca="1">Проект!$G$291</f>
        <v>0</v>
      </c>
      <c r="H42" s="84">
        <f ca="1">Проект!$H$291</f>
        <v>0</v>
      </c>
      <c r="I42" s="84">
        <f ca="1">Проект!$I$291</f>
        <v>0</v>
      </c>
      <c r="J42" s="84">
        <f ca="1">Проект!$J$291</f>
        <v>0</v>
      </c>
      <c r="K42" s="84" t="e">
        <f>Проект!#REF!</f>
        <v>#REF!</v>
      </c>
      <c r="L42" s="84" t="e">
        <f>Проект!#REF!</f>
        <v>#REF!</v>
      </c>
      <c r="M42" s="84" t="e">
        <f>Проект!#REF!</f>
        <v>#REF!</v>
      </c>
      <c r="N42" s="84" t="e">
        <f>Проект!#REF!</f>
        <v>#REF!</v>
      </c>
      <c r="O42" s="84" t="e">
        <f>Проект!#REF!</f>
        <v>#REF!</v>
      </c>
      <c r="P42" s="84" t="e">
        <f>Проект!#REF!</f>
        <v>#REF!</v>
      </c>
      <c r="Q42" s="84">
        <f ca="1">Проект!$K$291</f>
        <v>0</v>
      </c>
      <c r="R42" s="52"/>
      <c r="S42" s="41"/>
    </row>
    <row r="43" spans="1:19" hidden="1" x14ac:dyDescent="0.2">
      <c r="A43" s="48" t="str">
        <f ca="1">Проект!$A$292</f>
        <v xml:space="preserve">    незавершенные инвестиции</v>
      </c>
      <c r="B43" s="52"/>
      <c r="C43" s="88" t="str">
        <f ca="1">Проект!$C$292</f>
        <v>руб.</v>
      </c>
      <c r="D43" s="52" t="str">
        <f>Проект!$D$292</f>
        <v>1_07; int_end</v>
      </c>
      <c r="E43" s="52"/>
      <c r="F43" s="84">
        <f ca="1">Проект!$F$292</f>
        <v>0</v>
      </c>
      <c r="G43" s="84">
        <f ca="1">Проект!$G$292</f>
        <v>0</v>
      </c>
      <c r="H43" s="84">
        <f ca="1">Проект!$H$292</f>
        <v>0</v>
      </c>
      <c r="I43" s="84">
        <f ca="1">Проект!$I$292</f>
        <v>0</v>
      </c>
      <c r="J43" s="84">
        <f ca="1">Проект!$J$292</f>
        <v>0</v>
      </c>
      <c r="K43" s="84" t="e">
        <f>Проект!#REF!</f>
        <v>#REF!</v>
      </c>
      <c r="L43" s="84" t="e">
        <f>Проект!#REF!</f>
        <v>#REF!</v>
      </c>
      <c r="M43" s="84" t="e">
        <f>Проект!#REF!</f>
        <v>#REF!</v>
      </c>
      <c r="N43" s="84" t="e">
        <f>Проект!#REF!</f>
        <v>#REF!</v>
      </c>
      <c r="O43" s="84" t="e">
        <f>Проект!#REF!</f>
        <v>#REF!</v>
      </c>
      <c r="P43" s="84" t="e">
        <f>Проект!#REF!</f>
        <v>#REF!</v>
      </c>
      <c r="Q43" s="84">
        <f ca="1">Проект!$K$292</f>
        <v>0</v>
      </c>
      <c r="R43" s="52"/>
      <c r="S43" s="41"/>
    </row>
    <row r="44" spans="1:19" hidden="1" x14ac:dyDescent="0.2">
      <c r="A44" s="48" t="str">
        <f ca="1">Проект!$A$293</f>
        <v xml:space="preserve">    кредиторская задолженность</v>
      </c>
      <c r="B44" s="52"/>
      <c r="C44" s="88" t="str">
        <f ca="1">Проект!$C$293</f>
        <v>руб.</v>
      </c>
      <c r="D44" s="52" t="str">
        <f>Проект!$D$293</f>
        <v>1_08; int_end</v>
      </c>
      <c r="E44" s="52"/>
      <c r="F44" s="84">
        <f ca="1">Проект!$F$293</f>
        <v>0</v>
      </c>
      <c r="G44" s="84">
        <f ca="1">Проект!$G$293</f>
        <v>0</v>
      </c>
      <c r="H44" s="84">
        <f ca="1">Проект!$H$293</f>
        <v>0</v>
      </c>
      <c r="I44" s="84">
        <f ca="1">Проект!$I$293</f>
        <v>0</v>
      </c>
      <c r="J44" s="84">
        <f ca="1">Проект!$J$293</f>
        <v>0</v>
      </c>
      <c r="K44" s="84" t="e">
        <f>Проект!#REF!</f>
        <v>#REF!</v>
      </c>
      <c r="L44" s="84" t="e">
        <f>Проект!#REF!</f>
        <v>#REF!</v>
      </c>
      <c r="M44" s="84" t="e">
        <f>Проект!#REF!</f>
        <v>#REF!</v>
      </c>
      <c r="N44" s="84" t="e">
        <f>Проект!#REF!</f>
        <v>#REF!</v>
      </c>
      <c r="O44" s="84" t="e">
        <f>Проект!#REF!</f>
        <v>#REF!</v>
      </c>
      <c r="P44" s="84" t="e">
        <f>Проект!#REF!</f>
        <v>#REF!</v>
      </c>
      <c r="Q44" s="84">
        <f ca="1">Проект!$K$293</f>
        <v>0</v>
      </c>
      <c r="R44" s="52"/>
      <c r="S44" s="41"/>
    </row>
    <row r="45" spans="1:19" hidden="1" x14ac:dyDescent="0.2">
      <c r="A45" s="48" t="str">
        <f ca="1">Проект!$A$294</f>
        <v xml:space="preserve">    остаточная стоимость</v>
      </c>
      <c r="B45" s="52"/>
      <c r="C45" s="88" t="str">
        <f ca="1">Проект!$C$294</f>
        <v>руб.</v>
      </c>
      <c r="D45" s="338" t="str">
        <f>Проект!$D$294</f>
        <v>1_10; int_end</v>
      </c>
      <c r="E45" s="52"/>
      <c r="F45" s="106">
        <f ca="1">Проект!$F$294</f>
        <v>0</v>
      </c>
      <c r="G45" s="106">
        <f ca="1">Проект!$G$294</f>
        <v>0</v>
      </c>
      <c r="H45" s="106">
        <f ca="1">Проект!$H$294</f>
        <v>0</v>
      </c>
      <c r="I45" s="106">
        <f ca="1">Проект!$I$294</f>
        <v>0</v>
      </c>
      <c r="J45" s="106">
        <f ca="1">Проект!$J$294</f>
        <v>0</v>
      </c>
      <c r="K45" s="106" t="e">
        <f>Проект!#REF!</f>
        <v>#REF!</v>
      </c>
      <c r="L45" s="106" t="e">
        <f>Проект!#REF!</f>
        <v>#REF!</v>
      </c>
      <c r="M45" s="106" t="e">
        <f>Проект!#REF!</f>
        <v>#REF!</v>
      </c>
      <c r="N45" s="106" t="e">
        <f>Проект!#REF!</f>
        <v>#REF!</v>
      </c>
      <c r="O45" s="106" t="e">
        <f>Проект!#REF!</f>
        <v>#REF!</v>
      </c>
      <c r="P45" s="106" t="e">
        <f>Проект!#REF!</f>
        <v>#REF!</v>
      </c>
      <c r="Q45" s="106">
        <f ca="1">Проект!$K$294</f>
        <v>0</v>
      </c>
      <c r="R45" s="52"/>
      <c r="S45" s="41"/>
    </row>
    <row r="46" spans="1:19" hidden="1" x14ac:dyDescent="0.2">
      <c r="A46" s="76" t="str">
        <f ca="1">Проект!$A$295</f>
        <v xml:space="preserve">    реализация актива (без НДС)</v>
      </c>
      <c r="B46" s="339"/>
      <c r="C46" s="340" t="str">
        <f ca="1">Проект!$C$295</f>
        <v>руб.</v>
      </c>
      <c r="D46" s="52" t="str">
        <f>Проект!$D$295</f>
        <v>1_13</v>
      </c>
      <c r="E46" s="339"/>
      <c r="F46" s="341">
        <f>Проект!$F$295</f>
        <v>0</v>
      </c>
      <c r="G46" s="341">
        <f>Проект!$G$295</f>
        <v>0</v>
      </c>
      <c r="H46" s="341">
        <f>Проект!$H$295</f>
        <v>0</v>
      </c>
      <c r="I46" s="341">
        <f>Проект!$I$295</f>
        <v>0</v>
      </c>
      <c r="J46" s="341">
        <f>Проект!$J$295</f>
        <v>0</v>
      </c>
      <c r="K46" s="341" t="e">
        <f>Проект!#REF!</f>
        <v>#REF!</v>
      </c>
      <c r="L46" s="341" t="e">
        <f>Проект!#REF!</f>
        <v>#REF!</v>
      </c>
      <c r="M46" s="341" t="e">
        <f>Проект!#REF!</f>
        <v>#REF!</v>
      </c>
      <c r="N46" s="341" t="e">
        <f>Проект!#REF!</f>
        <v>#REF!</v>
      </c>
      <c r="O46" s="341" t="e">
        <f>Проект!#REF!</f>
        <v>#REF!</v>
      </c>
      <c r="P46" s="341" t="e">
        <f>Проект!#REF!</f>
        <v>#REF!</v>
      </c>
      <c r="Q46" s="341">
        <f>Проект!$K$295</f>
        <v>0</v>
      </c>
      <c r="R46" s="52"/>
      <c r="S46" s="94">
        <f>Проект!$M$295</f>
        <v>0</v>
      </c>
    </row>
    <row r="47" spans="1:19" hidden="1" x14ac:dyDescent="0.2">
      <c r="A47" s="45" t="str">
        <f ca="1">Проект!$A$296</f>
        <v xml:space="preserve">    прибыль/убыток от реализации актива</v>
      </c>
      <c r="B47" s="128"/>
      <c r="C47" s="342" t="str">
        <f ca="1">Проект!$C$296</f>
        <v>руб.</v>
      </c>
      <c r="D47" s="52" t="str">
        <f>Проект!$D$296</f>
        <v>1_14</v>
      </c>
      <c r="E47" s="128"/>
      <c r="F47" s="83">
        <f>Проект!$F$296</f>
        <v>0</v>
      </c>
      <c r="G47" s="83">
        <f>Проект!$G$296</f>
        <v>0</v>
      </c>
      <c r="H47" s="83">
        <f>Проект!$H$296</f>
        <v>0</v>
      </c>
      <c r="I47" s="83">
        <f>Проект!$I$296</f>
        <v>0</v>
      </c>
      <c r="J47" s="83">
        <f>Проект!$J$296</f>
        <v>0</v>
      </c>
      <c r="K47" s="83" t="e">
        <f>Проект!#REF!</f>
        <v>#REF!</v>
      </c>
      <c r="L47" s="83" t="e">
        <f>Проект!#REF!</f>
        <v>#REF!</v>
      </c>
      <c r="M47" s="83" t="e">
        <f>Проект!#REF!</f>
        <v>#REF!</v>
      </c>
      <c r="N47" s="83" t="e">
        <f>Проект!#REF!</f>
        <v>#REF!</v>
      </c>
      <c r="O47" s="83" t="e">
        <f>Проект!#REF!</f>
        <v>#REF!</v>
      </c>
      <c r="P47" s="83" t="e">
        <f>Проект!#REF!</f>
        <v>#REF!</v>
      </c>
      <c r="Q47" s="83">
        <f>Проект!$K$296</f>
        <v>0</v>
      </c>
      <c r="R47" s="52"/>
      <c r="S47" s="94">
        <f>Проект!$M$296</f>
        <v>0</v>
      </c>
    </row>
    <row r="48" spans="1:19" ht="11.25" customHeight="1" x14ac:dyDescent="0.2">
      <c r="A48" s="130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1"/>
    </row>
    <row r="49" spans="1:19" ht="11.25" customHeight="1" x14ac:dyDescent="0.2">
      <c r="A49" s="130" t="str">
        <f ca="1">Проект!$A$298</f>
        <v>Здания и сооружения</v>
      </c>
      <c r="B49" s="48"/>
      <c r="C49" s="48"/>
      <c r="D49" s="48">
        <f>Проект!$D$298</f>
        <v>2</v>
      </c>
      <c r="E49" s="48">
        <f>Проект!$E$298</f>
        <v>21</v>
      </c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1"/>
    </row>
    <row r="50" spans="1:19" ht="11.25" customHeight="1" x14ac:dyDescent="0.2">
      <c r="A50" s="333" t="str">
        <f>Проект!$A$299</f>
        <v>Наименование</v>
      </c>
      <c r="B50" s="197" t="str">
        <f ca="1">Проект!$B$299</f>
        <v>Валюта</v>
      </c>
      <c r="C50" s="52"/>
      <c r="D50" s="52"/>
      <c r="E50" s="5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52"/>
      <c r="S50" s="92"/>
    </row>
    <row r="51" spans="1:19" ht="11.25" customHeight="1" x14ac:dyDescent="0.2">
      <c r="A51" s="48" t="str">
        <f ca="1">Проект!$A$300</f>
        <v xml:space="preserve">    величина платежей (с НДС)</v>
      </c>
      <c r="B51" s="334">
        <f>Проект!$B$300</f>
        <v>1</v>
      </c>
      <c r="C51" s="88" t="str">
        <f ca="1">Проект!$C$300</f>
        <v>руб.</v>
      </c>
      <c r="D51" s="101" t="str">
        <f>Проект!$D$300</f>
        <v>1_00</v>
      </c>
      <c r="E51" s="52"/>
      <c r="F51" s="335">
        <f>Проект!$F$300</f>
        <v>0</v>
      </c>
      <c r="G51" s="335">
        <f>Проект!$G$300</f>
        <v>0</v>
      </c>
      <c r="H51" s="335">
        <f>Проект!$H$300</f>
        <v>0</v>
      </c>
      <c r="I51" s="335">
        <f>Проект!$I$300</f>
        <v>0</v>
      </c>
      <c r="J51" s="335">
        <f>Проект!$J$300</f>
        <v>0</v>
      </c>
      <c r="K51" s="335" t="e">
        <f>Проект!#REF!</f>
        <v>#REF!</v>
      </c>
      <c r="L51" s="335" t="e">
        <f>Проект!#REF!</f>
        <v>#REF!</v>
      </c>
      <c r="M51" s="335" t="e">
        <f>Проект!#REF!</f>
        <v>#REF!</v>
      </c>
      <c r="N51" s="335" t="e">
        <f>Проект!#REF!</f>
        <v>#REF!</v>
      </c>
      <c r="O51" s="335" t="e">
        <f>Проект!#REF!</f>
        <v>#REF!</v>
      </c>
      <c r="P51" s="335" t="e">
        <f>Проект!#REF!</f>
        <v>#REF!</v>
      </c>
      <c r="Q51" s="335">
        <f>Проект!$K$300</f>
        <v>0</v>
      </c>
      <c r="R51" s="52"/>
      <c r="S51" s="94">
        <f>Проект!$M$300</f>
        <v>0</v>
      </c>
    </row>
    <row r="52" spans="1:19" hidden="1" x14ac:dyDescent="0.2">
      <c r="A52" s="48" t="str">
        <f ca="1">Проект!$A$301</f>
        <v xml:space="preserve">    ранее осуществленные инвестиции (без НДС)</v>
      </c>
      <c r="B52" s="336">
        <f>Проект!$B$301</f>
        <v>0</v>
      </c>
      <c r="C52" s="88" t="str">
        <f ca="1">Проект!$C$301</f>
        <v>руб.</v>
      </c>
      <c r="D52" s="52" t="str">
        <f>Проект!$D$301</f>
        <v>1_20;set_0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41"/>
    </row>
    <row r="53" spans="1:19" hidden="1" x14ac:dyDescent="0.2">
      <c r="A53" s="48" t="str">
        <f ca="1">Проект!$A$302</f>
        <v xml:space="preserve">    поставить на баланс с</v>
      </c>
      <c r="B53" s="337">
        <f ca="1">Проект!$B$302</f>
        <v>1</v>
      </c>
      <c r="C53" s="88" t="str">
        <f ca="1">Проект!$C$302</f>
        <v>периода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41"/>
    </row>
    <row r="54" spans="1:19" hidden="1" x14ac:dyDescent="0.2">
      <c r="A54" s="48" t="str">
        <f ca="1">Проект!$A$303</f>
        <v xml:space="preserve">    амортизация (линейная),       для срока использования:</v>
      </c>
      <c r="B54" s="337">
        <f>Проект!$B$303</f>
        <v>20</v>
      </c>
      <c r="C54" s="88" t="str">
        <f ca="1">Проект!$C$303</f>
        <v>лет</v>
      </c>
      <c r="D54" s="343" t="str">
        <f>Проект!$D$303</f>
        <v>1_02</v>
      </c>
      <c r="E54" s="52"/>
      <c r="F54" s="84">
        <f ca="1">Проект!$F$303</f>
        <v>0</v>
      </c>
      <c r="G54" s="84">
        <f ca="1">Проект!$G$303</f>
        <v>0</v>
      </c>
      <c r="H54" s="84">
        <f ca="1">Проект!$H$303</f>
        <v>0</v>
      </c>
      <c r="I54" s="84">
        <f ca="1">Проект!$I$303</f>
        <v>0</v>
      </c>
      <c r="J54" s="84">
        <f ca="1">Проект!$J$303</f>
        <v>0</v>
      </c>
      <c r="K54" s="84" t="e">
        <f>Проект!#REF!</f>
        <v>#REF!</v>
      </c>
      <c r="L54" s="84" t="e">
        <f>Проект!#REF!</f>
        <v>#REF!</v>
      </c>
      <c r="M54" s="84" t="e">
        <f>Проект!#REF!</f>
        <v>#REF!</v>
      </c>
      <c r="N54" s="84" t="e">
        <f>Проект!#REF!</f>
        <v>#REF!</v>
      </c>
      <c r="O54" s="84" t="e">
        <f>Проект!#REF!</f>
        <v>#REF!</v>
      </c>
      <c r="P54" s="84" t="e">
        <f>Проект!#REF!</f>
        <v>#REF!</v>
      </c>
      <c r="Q54" s="84">
        <f ca="1">Проект!$K$303</f>
        <v>0</v>
      </c>
      <c r="R54" s="52"/>
      <c r="S54" s="94">
        <f ca="1">Проект!$M$303</f>
        <v>0</v>
      </c>
    </row>
    <row r="55" spans="1:19" hidden="1" x14ac:dyDescent="0.2">
      <c r="A55" s="48" t="str">
        <f ca="1">Проект!$A$304</f>
        <v xml:space="preserve">    амортизация (ускоренная),    для срока использования:</v>
      </c>
      <c r="B55" s="337">
        <f>Проект!$B$304</f>
        <v>0</v>
      </c>
      <c r="C55" s="88" t="str">
        <f ca="1">Проект!$C$304</f>
        <v>лет</v>
      </c>
      <c r="D55" s="52" t="str">
        <f>Проект!$D$304</f>
        <v>1_03</v>
      </c>
      <c r="E55" s="52"/>
      <c r="F55" s="84">
        <f ca="1">Проект!$F$304</f>
        <v>0</v>
      </c>
      <c r="G55" s="84">
        <f ca="1">Проект!$G$304</f>
        <v>0</v>
      </c>
      <c r="H55" s="84">
        <f ca="1">Проект!$H$304</f>
        <v>0</v>
      </c>
      <c r="I55" s="84">
        <f ca="1">Проект!$I$304</f>
        <v>0</v>
      </c>
      <c r="J55" s="84">
        <f ca="1">Проект!$J$304</f>
        <v>0</v>
      </c>
      <c r="K55" s="84" t="e">
        <f>Проект!#REF!</f>
        <v>#REF!</v>
      </c>
      <c r="L55" s="84" t="e">
        <f>Проект!#REF!</f>
        <v>#REF!</v>
      </c>
      <c r="M55" s="84" t="e">
        <f>Проект!#REF!</f>
        <v>#REF!</v>
      </c>
      <c r="N55" s="84" t="e">
        <f>Проект!#REF!</f>
        <v>#REF!</v>
      </c>
      <c r="O55" s="84" t="e">
        <f>Проект!#REF!</f>
        <v>#REF!</v>
      </c>
      <c r="P55" s="84" t="e">
        <f>Проект!#REF!</f>
        <v>#REF!</v>
      </c>
      <c r="Q55" s="84">
        <f ca="1">Проект!$K$304</f>
        <v>0</v>
      </c>
      <c r="R55" s="52"/>
      <c r="S55" s="94">
        <f ca="1">Проект!$M$304</f>
        <v>0</v>
      </c>
    </row>
    <row r="56" spans="1:19" hidden="1" x14ac:dyDescent="0.2">
      <c r="A56" s="48" t="str">
        <f ca="1">Проект!$A$305</f>
        <v xml:space="preserve">    выплаченный НДС</v>
      </c>
      <c r="B56" s="344">
        <f>Проект!$B$305</f>
        <v>0</v>
      </c>
      <c r="C56" s="88" t="str">
        <f ca="1">Проект!$C$305</f>
        <v>руб.</v>
      </c>
      <c r="D56" s="52" t="str">
        <f>Проект!$D$305</f>
        <v>1_04</v>
      </c>
      <c r="E56" s="52"/>
      <c r="F56" s="83">
        <f>Проект!$F$305</f>
        <v>0</v>
      </c>
      <c r="G56" s="83">
        <f>Проект!$G$305</f>
        <v>0</v>
      </c>
      <c r="H56" s="83">
        <f>Проект!$H$305</f>
        <v>0</v>
      </c>
      <c r="I56" s="83">
        <f>Проект!$I$305</f>
        <v>0</v>
      </c>
      <c r="J56" s="83">
        <f>Проект!$J$305</f>
        <v>0</v>
      </c>
      <c r="K56" s="83" t="e">
        <f>Проект!#REF!</f>
        <v>#REF!</v>
      </c>
      <c r="L56" s="83" t="e">
        <f>Проект!#REF!</f>
        <v>#REF!</v>
      </c>
      <c r="M56" s="83" t="e">
        <f>Проект!#REF!</f>
        <v>#REF!</v>
      </c>
      <c r="N56" s="83" t="e">
        <f>Проект!#REF!</f>
        <v>#REF!</v>
      </c>
      <c r="O56" s="83" t="e">
        <f>Проект!#REF!</f>
        <v>#REF!</v>
      </c>
      <c r="P56" s="83" t="e">
        <f>Проект!#REF!</f>
        <v>#REF!</v>
      </c>
      <c r="Q56" s="83">
        <f>Проект!$K$305</f>
        <v>0</v>
      </c>
      <c r="R56" s="52"/>
      <c r="S56" s="94">
        <f>Проект!$M$305</f>
        <v>0</v>
      </c>
    </row>
    <row r="57" spans="1:19" hidden="1" x14ac:dyDescent="0.2">
      <c r="A57" s="48" t="str">
        <f ca="1">Проект!$A$306</f>
        <v xml:space="preserve">    вариант зачета НДС</v>
      </c>
      <c r="B57" s="334">
        <f>Проект!$B$306</f>
        <v>2</v>
      </c>
      <c r="C57" s="198" t="str">
        <f ca="1">Проект!$C$306</f>
        <v>после постановки актива на баланс</v>
      </c>
      <c r="D57" s="52"/>
      <c r="E57" s="52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52"/>
      <c r="S57" s="94"/>
    </row>
    <row r="58" spans="1:19" hidden="1" x14ac:dyDescent="0.2">
      <c r="A58" s="48" t="str">
        <f ca="1">Проект!$A$307</f>
        <v xml:space="preserve">    сумма платежей без НДС</v>
      </c>
      <c r="B58" s="52"/>
      <c r="C58" s="88" t="str">
        <f ca="1">Проект!$C$307</f>
        <v>руб.</v>
      </c>
      <c r="D58" s="52" t="str">
        <f>Проект!$D$307</f>
        <v>1_01</v>
      </c>
      <c r="E58" s="52"/>
      <c r="F58" s="84">
        <f>Проект!$F$307</f>
        <v>0</v>
      </c>
      <c r="G58" s="84">
        <f>Проект!$G$307</f>
        <v>0</v>
      </c>
      <c r="H58" s="84">
        <f>Проект!$H$307</f>
        <v>0</v>
      </c>
      <c r="I58" s="84">
        <f>Проект!$I$307</f>
        <v>0</v>
      </c>
      <c r="J58" s="84">
        <f>Проект!$J$307</f>
        <v>0</v>
      </c>
      <c r="K58" s="84" t="e">
        <f>Проект!#REF!</f>
        <v>#REF!</v>
      </c>
      <c r="L58" s="84" t="e">
        <f>Проект!#REF!</f>
        <v>#REF!</v>
      </c>
      <c r="M58" s="84" t="e">
        <f>Проект!#REF!</f>
        <v>#REF!</v>
      </c>
      <c r="N58" s="84" t="e">
        <f>Проект!#REF!</f>
        <v>#REF!</v>
      </c>
      <c r="O58" s="84" t="e">
        <f>Проект!#REF!</f>
        <v>#REF!</v>
      </c>
      <c r="P58" s="84" t="e">
        <f>Проект!#REF!</f>
        <v>#REF!</v>
      </c>
      <c r="Q58" s="84">
        <f>Проект!$K$307</f>
        <v>0</v>
      </c>
      <c r="R58" s="52"/>
      <c r="S58" s="94">
        <f>Проект!$M$307</f>
        <v>0</v>
      </c>
    </row>
    <row r="59" spans="1:19" hidden="1" x14ac:dyDescent="0.2">
      <c r="A59" s="48" t="str">
        <f ca="1">Проект!$A$308</f>
        <v xml:space="preserve">    общая стоимость актива (без НДС)</v>
      </c>
      <c r="B59" s="312">
        <f>Проект!$B$308</f>
        <v>0</v>
      </c>
      <c r="C59" s="88" t="str">
        <f ca="1">Проект!$C$308</f>
        <v>руб.</v>
      </c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41"/>
    </row>
    <row r="60" spans="1:19" hidden="1" x14ac:dyDescent="0.2">
      <c r="A60" s="48" t="str">
        <f ca="1">Проект!$A$309</f>
        <v xml:space="preserve">    полная сумма вложений в актив (без НДС)</v>
      </c>
      <c r="B60" s="52"/>
      <c r="C60" s="88" t="str">
        <f ca="1">Проект!$C$309</f>
        <v>руб.</v>
      </c>
      <c r="D60" s="52" t="str">
        <f>Проект!$D$309</f>
        <v>1_05; int_end</v>
      </c>
      <c r="E60" s="52"/>
      <c r="F60" s="84">
        <f>Проект!$F$309</f>
        <v>0</v>
      </c>
      <c r="G60" s="84">
        <f>Проект!$G$309</f>
        <v>0</v>
      </c>
      <c r="H60" s="84">
        <f>Проект!$H$309</f>
        <v>0</v>
      </c>
      <c r="I60" s="84">
        <f>Проект!$I$309</f>
        <v>0</v>
      </c>
      <c r="J60" s="84">
        <f>Проект!$J$309</f>
        <v>0</v>
      </c>
      <c r="K60" s="84" t="e">
        <f>Проект!#REF!</f>
        <v>#REF!</v>
      </c>
      <c r="L60" s="84" t="e">
        <f>Проект!#REF!</f>
        <v>#REF!</v>
      </c>
      <c r="M60" s="84" t="e">
        <f>Проект!#REF!</f>
        <v>#REF!</v>
      </c>
      <c r="N60" s="84" t="e">
        <f>Проект!#REF!</f>
        <v>#REF!</v>
      </c>
      <c r="O60" s="84" t="e">
        <f>Проект!#REF!</f>
        <v>#REF!</v>
      </c>
      <c r="P60" s="84" t="e">
        <f>Проект!#REF!</f>
        <v>#REF!</v>
      </c>
      <c r="Q60" s="84">
        <f>Проект!$K$309</f>
        <v>0</v>
      </c>
      <c r="R60" s="52"/>
      <c r="S60" s="94"/>
    </row>
    <row r="61" spans="1:19" hidden="1" x14ac:dyDescent="0.2">
      <c r="A61" s="48" t="str">
        <f ca="1">Проект!$A$310</f>
        <v xml:space="preserve">    полная балансовая стоимость</v>
      </c>
      <c r="B61" s="52"/>
      <c r="C61" s="88" t="str">
        <f ca="1">Проект!$C$310</f>
        <v>руб.</v>
      </c>
      <c r="D61" s="52" t="str">
        <f>Проект!$D$310</f>
        <v>1_06; int_end</v>
      </c>
      <c r="E61" s="52"/>
      <c r="F61" s="84">
        <f ca="1">Проект!$F$310</f>
        <v>0</v>
      </c>
      <c r="G61" s="84">
        <f ca="1">Проект!$G$310</f>
        <v>0</v>
      </c>
      <c r="H61" s="84">
        <f ca="1">Проект!$H$310</f>
        <v>0</v>
      </c>
      <c r="I61" s="84">
        <f ca="1">Проект!$I$310</f>
        <v>0</v>
      </c>
      <c r="J61" s="84">
        <f ca="1">Проект!$J$310</f>
        <v>0</v>
      </c>
      <c r="K61" s="84" t="e">
        <f>Проект!#REF!</f>
        <v>#REF!</v>
      </c>
      <c r="L61" s="84" t="e">
        <f>Проект!#REF!</f>
        <v>#REF!</v>
      </c>
      <c r="M61" s="84" t="e">
        <f>Проект!#REF!</f>
        <v>#REF!</v>
      </c>
      <c r="N61" s="84" t="e">
        <f>Проект!#REF!</f>
        <v>#REF!</v>
      </c>
      <c r="O61" s="84" t="e">
        <f>Проект!#REF!</f>
        <v>#REF!</v>
      </c>
      <c r="P61" s="84" t="e">
        <f>Проект!#REF!</f>
        <v>#REF!</v>
      </c>
      <c r="Q61" s="84">
        <f ca="1">Проект!$K$310</f>
        <v>0</v>
      </c>
      <c r="R61" s="52"/>
      <c r="S61" s="41"/>
    </row>
    <row r="62" spans="1:19" hidden="1" x14ac:dyDescent="0.2">
      <c r="A62" s="48" t="str">
        <f ca="1">Проект!$A$311</f>
        <v xml:space="preserve">    незавершенные инвестиции</v>
      </c>
      <c r="B62" s="52"/>
      <c r="C62" s="88" t="str">
        <f ca="1">Проект!$C$311</f>
        <v>руб.</v>
      </c>
      <c r="D62" s="52" t="str">
        <f>Проект!$D$311</f>
        <v>1_07; int_end</v>
      </c>
      <c r="E62" s="52"/>
      <c r="F62" s="84">
        <f ca="1">Проект!$F$311</f>
        <v>0</v>
      </c>
      <c r="G62" s="84">
        <f ca="1">Проект!$G$311</f>
        <v>0</v>
      </c>
      <c r="H62" s="84">
        <f ca="1">Проект!$H$311</f>
        <v>0</v>
      </c>
      <c r="I62" s="84">
        <f ca="1">Проект!$I$311</f>
        <v>0</v>
      </c>
      <c r="J62" s="84">
        <f ca="1">Проект!$J$311</f>
        <v>0</v>
      </c>
      <c r="K62" s="84" t="e">
        <f>Проект!#REF!</f>
        <v>#REF!</v>
      </c>
      <c r="L62" s="84" t="e">
        <f>Проект!#REF!</f>
        <v>#REF!</v>
      </c>
      <c r="M62" s="84" t="e">
        <f>Проект!#REF!</f>
        <v>#REF!</v>
      </c>
      <c r="N62" s="84" t="e">
        <f>Проект!#REF!</f>
        <v>#REF!</v>
      </c>
      <c r="O62" s="84" t="e">
        <f>Проект!#REF!</f>
        <v>#REF!</v>
      </c>
      <c r="P62" s="84" t="e">
        <f>Проект!#REF!</f>
        <v>#REF!</v>
      </c>
      <c r="Q62" s="84">
        <f ca="1">Проект!$K$311</f>
        <v>0</v>
      </c>
      <c r="R62" s="52"/>
      <c r="S62" s="41"/>
    </row>
    <row r="63" spans="1:19" hidden="1" x14ac:dyDescent="0.2">
      <c r="A63" s="48" t="str">
        <f ca="1">Проект!$A$312</f>
        <v xml:space="preserve">    кредиторская задолженность</v>
      </c>
      <c r="B63" s="52"/>
      <c r="C63" s="88" t="str">
        <f ca="1">Проект!$C$312</f>
        <v>руб.</v>
      </c>
      <c r="D63" s="52" t="str">
        <f>Проект!$D$312</f>
        <v>1_08; int_end</v>
      </c>
      <c r="E63" s="52"/>
      <c r="F63" s="84">
        <f ca="1">Проект!$F$312</f>
        <v>0</v>
      </c>
      <c r="G63" s="84">
        <f ca="1">Проект!$G$312</f>
        <v>0</v>
      </c>
      <c r="H63" s="84">
        <f ca="1">Проект!$H$312</f>
        <v>0</v>
      </c>
      <c r="I63" s="84">
        <f ca="1">Проект!$I$312</f>
        <v>0</v>
      </c>
      <c r="J63" s="84">
        <f ca="1">Проект!$J$312</f>
        <v>0</v>
      </c>
      <c r="K63" s="84" t="e">
        <f>Проект!#REF!</f>
        <v>#REF!</v>
      </c>
      <c r="L63" s="84" t="e">
        <f>Проект!#REF!</f>
        <v>#REF!</v>
      </c>
      <c r="M63" s="84" t="e">
        <f>Проект!#REF!</f>
        <v>#REF!</v>
      </c>
      <c r="N63" s="84" t="e">
        <f>Проект!#REF!</f>
        <v>#REF!</v>
      </c>
      <c r="O63" s="84" t="e">
        <f>Проект!#REF!</f>
        <v>#REF!</v>
      </c>
      <c r="P63" s="84" t="e">
        <f>Проект!#REF!</f>
        <v>#REF!</v>
      </c>
      <c r="Q63" s="84">
        <f ca="1">Проект!$K$312</f>
        <v>0</v>
      </c>
      <c r="R63" s="52"/>
      <c r="S63" s="41"/>
    </row>
    <row r="64" spans="1:19" hidden="1" x14ac:dyDescent="0.2">
      <c r="A64" s="48" t="str">
        <f ca="1">Проект!$A$313</f>
        <v xml:space="preserve">    накопленная амортизация</v>
      </c>
      <c r="B64" s="52"/>
      <c r="C64" s="88" t="str">
        <f ca="1">Проект!$C$313</f>
        <v>руб.</v>
      </c>
      <c r="D64" s="52" t="str">
        <f>Проект!$D$313</f>
        <v>1_09; int_end</v>
      </c>
      <c r="E64" s="52"/>
      <c r="F64" s="84">
        <f ca="1">Проект!$F$313</f>
        <v>0</v>
      </c>
      <c r="G64" s="84">
        <f ca="1">Проект!$G$313</f>
        <v>0</v>
      </c>
      <c r="H64" s="84">
        <f ca="1">Проект!$H$313</f>
        <v>0</v>
      </c>
      <c r="I64" s="84">
        <f ca="1">Проект!$I$313</f>
        <v>0</v>
      </c>
      <c r="J64" s="84">
        <f ca="1">Проект!$J$313</f>
        <v>0</v>
      </c>
      <c r="K64" s="84" t="e">
        <f>Проект!#REF!</f>
        <v>#REF!</v>
      </c>
      <c r="L64" s="84" t="e">
        <f>Проект!#REF!</f>
        <v>#REF!</v>
      </c>
      <c r="M64" s="84" t="e">
        <f>Проект!#REF!</f>
        <v>#REF!</v>
      </c>
      <c r="N64" s="84" t="e">
        <f>Проект!#REF!</f>
        <v>#REF!</v>
      </c>
      <c r="O64" s="84" t="e">
        <f>Проект!#REF!</f>
        <v>#REF!</v>
      </c>
      <c r="P64" s="84" t="e">
        <f>Проект!#REF!</f>
        <v>#REF!</v>
      </c>
      <c r="Q64" s="84">
        <f ca="1">Проект!$K$313</f>
        <v>0</v>
      </c>
      <c r="R64" s="52"/>
      <c r="S64" s="41"/>
    </row>
    <row r="65" spans="1:19" hidden="1" x14ac:dyDescent="0.2">
      <c r="A65" s="48" t="str">
        <f ca="1">Проект!$A$314</f>
        <v xml:space="preserve">    остаточная стоимость</v>
      </c>
      <c r="B65" s="52"/>
      <c r="C65" s="88" t="str">
        <f ca="1">Проект!$C$314</f>
        <v>руб.</v>
      </c>
      <c r="D65" s="52" t="str">
        <f>Проект!$D$314</f>
        <v>1_10; int_end</v>
      </c>
      <c r="E65" s="52"/>
      <c r="F65" s="106">
        <f ca="1">Проект!$F$314</f>
        <v>0</v>
      </c>
      <c r="G65" s="106">
        <f ca="1">Проект!$G$314</f>
        <v>0</v>
      </c>
      <c r="H65" s="106">
        <f ca="1">Проект!$H$314</f>
        <v>0</v>
      </c>
      <c r="I65" s="106">
        <f ca="1">Проект!$I$314</f>
        <v>0</v>
      </c>
      <c r="J65" s="106">
        <f ca="1">Проект!$J$314</f>
        <v>0</v>
      </c>
      <c r="K65" s="106" t="e">
        <f>Проект!#REF!</f>
        <v>#REF!</v>
      </c>
      <c r="L65" s="106" t="e">
        <f>Проект!#REF!</f>
        <v>#REF!</v>
      </c>
      <c r="M65" s="106" t="e">
        <f>Проект!#REF!</f>
        <v>#REF!</v>
      </c>
      <c r="N65" s="106" t="e">
        <f>Проект!#REF!</f>
        <v>#REF!</v>
      </c>
      <c r="O65" s="106" t="e">
        <f>Проект!#REF!</f>
        <v>#REF!</v>
      </c>
      <c r="P65" s="106" t="e">
        <f>Проект!#REF!</f>
        <v>#REF!</v>
      </c>
      <c r="Q65" s="106">
        <f ca="1">Проект!$K$314</f>
        <v>0</v>
      </c>
      <c r="R65" s="52"/>
      <c r="S65" s="41"/>
    </row>
    <row r="66" spans="1:19" hidden="1" x14ac:dyDescent="0.2">
      <c r="A66" s="48" t="str">
        <f ca="1">Проект!$A$315</f>
        <v xml:space="preserve">    НДС к ранее осуществленным инвестициям</v>
      </c>
      <c r="B66" s="345">
        <f>Проект!$B$315</f>
        <v>0</v>
      </c>
      <c r="C66" s="88" t="str">
        <f ca="1">Проект!$C$315</f>
        <v>руб.</v>
      </c>
      <c r="D66" s="52" t="str">
        <f>Проект!$D$315</f>
        <v>1_11</v>
      </c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41"/>
    </row>
    <row r="67" spans="1:19" hidden="1" x14ac:dyDescent="0.2">
      <c r="A67" s="48" t="str">
        <f ca="1">Проект!$A$316</f>
        <v xml:space="preserve">    зачет НДС</v>
      </c>
      <c r="B67" s="52"/>
      <c r="C67" s="88" t="str">
        <f ca="1">Проект!$C$316</f>
        <v>руб.</v>
      </c>
      <c r="D67" s="338" t="str">
        <f>Проект!$D$316</f>
        <v>1_12</v>
      </c>
      <c r="E67" s="52"/>
      <c r="F67" s="83">
        <f ca="1">Проект!$F$316</f>
        <v>0</v>
      </c>
      <c r="G67" s="83">
        <f ca="1">Проект!$G$316</f>
        <v>0</v>
      </c>
      <c r="H67" s="83">
        <f ca="1">Проект!$H$316</f>
        <v>0</v>
      </c>
      <c r="I67" s="83">
        <f ca="1">Проект!$I$316</f>
        <v>0</v>
      </c>
      <c r="J67" s="83">
        <f ca="1">Проект!$J$316</f>
        <v>0</v>
      </c>
      <c r="K67" s="83" t="e">
        <f>Проект!#REF!</f>
        <v>#REF!</v>
      </c>
      <c r="L67" s="83" t="e">
        <f>Проект!#REF!</f>
        <v>#REF!</v>
      </c>
      <c r="M67" s="83" t="e">
        <f>Проект!#REF!</f>
        <v>#REF!</v>
      </c>
      <c r="N67" s="83" t="e">
        <f>Проект!#REF!</f>
        <v>#REF!</v>
      </c>
      <c r="O67" s="83" t="e">
        <f>Проект!#REF!</f>
        <v>#REF!</v>
      </c>
      <c r="P67" s="83" t="e">
        <f>Проект!#REF!</f>
        <v>#REF!</v>
      </c>
      <c r="Q67" s="83">
        <f ca="1">Проект!$K$316</f>
        <v>0</v>
      </c>
      <c r="R67" s="52"/>
      <c r="S67" s="94">
        <f ca="1">Проект!$M$316</f>
        <v>0</v>
      </c>
    </row>
    <row r="68" spans="1:19" hidden="1" x14ac:dyDescent="0.2">
      <c r="A68" s="76" t="str">
        <f ca="1">Проект!$A$317</f>
        <v xml:space="preserve">    реализация актива (без НДС)</v>
      </c>
      <c r="B68" s="339"/>
      <c r="C68" s="340" t="str">
        <f ca="1">Проект!$C$317</f>
        <v>руб.</v>
      </c>
      <c r="D68" s="52" t="str">
        <f>Проект!$D$317</f>
        <v>1_13</v>
      </c>
      <c r="E68" s="339"/>
      <c r="F68" s="341">
        <f>Проект!$F$317</f>
        <v>0</v>
      </c>
      <c r="G68" s="341">
        <f>Проект!$G$317</f>
        <v>0</v>
      </c>
      <c r="H68" s="341">
        <f>Проект!$H$317</f>
        <v>0</v>
      </c>
      <c r="I68" s="341">
        <f>Проект!$I$317</f>
        <v>0</v>
      </c>
      <c r="J68" s="341">
        <f>Проект!$J$317</f>
        <v>0</v>
      </c>
      <c r="K68" s="341" t="e">
        <f>Проект!#REF!</f>
        <v>#REF!</v>
      </c>
      <c r="L68" s="341" t="e">
        <f>Проект!#REF!</f>
        <v>#REF!</v>
      </c>
      <c r="M68" s="341" t="e">
        <f>Проект!#REF!</f>
        <v>#REF!</v>
      </c>
      <c r="N68" s="341" t="e">
        <f>Проект!#REF!</f>
        <v>#REF!</v>
      </c>
      <c r="O68" s="341" t="e">
        <f>Проект!#REF!</f>
        <v>#REF!</v>
      </c>
      <c r="P68" s="341" t="e">
        <f>Проект!#REF!</f>
        <v>#REF!</v>
      </c>
      <c r="Q68" s="341">
        <f>Проект!$K$317</f>
        <v>0</v>
      </c>
      <c r="R68" s="52"/>
      <c r="S68" s="94">
        <f>Проект!$M$317</f>
        <v>0</v>
      </c>
    </row>
    <row r="69" spans="1:19" hidden="1" x14ac:dyDescent="0.2">
      <c r="A69" s="45" t="str">
        <f ca="1">Проект!$A$318</f>
        <v xml:space="preserve">    прибыль/убыток от реализации актива</v>
      </c>
      <c r="B69" s="128"/>
      <c r="C69" s="342" t="str">
        <f ca="1">Проект!$C$318</f>
        <v>руб.</v>
      </c>
      <c r="D69" s="52" t="str">
        <f>Проект!$D$318</f>
        <v>1_14</v>
      </c>
      <c r="E69" s="128"/>
      <c r="F69" s="83">
        <f>Проект!$F$318</f>
        <v>0</v>
      </c>
      <c r="G69" s="83">
        <f>Проект!$G$318</f>
        <v>0</v>
      </c>
      <c r="H69" s="83">
        <f>Проект!$H$318</f>
        <v>0</v>
      </c>
      <c r="I69" s="83">
        <f>Проект!$I$318</f>
        <v>0</v>
      </c>
      <c r="J69" s="83">
        <f>Проект!$J$318</f>
        <v>0</v>
      </c>
      <c r="K69" s="83" t="e">
        <f>Проект!#REF!</f>
        <v>#REF!</v>
      </c>
      <c r="L69" s="83" t="e">
        <f>Проект!#REF!</f>
        <v>#REF!</v>
      </c>
      <c r="M69" s="83" t="e">
        <f>Проект!#REF!</f>
        <v>#REF!</v>
      </c>
      <c r="N69" s="83" t="e">
        <f>Проект!#REF!</f>
        <v>#REF!</v>
      </c>
      <c r="O69" s="83" t="e">
        <f>Проект!#REF!</f>
        <v>#REF!</v>
      </c>
      <c r="P69" s="83" t="e">
        <f>Проект!#REF!</f>
        <v>#REF!</v>
      </c>
      <c r="Q69" s="83">
        <f>Проект!$K$318</f>
        <v>0</v>
      </c>
      <c r="R69" s="52"/>
      <c r="S69" s="94">
        <f>Проект!$M$318</f>
        <v>0</v>
      </c>
    </row>
    <row r="70" spans="1:19" hidden="1" x14ac:dyDescent="0.2">
      <c r="A70" s="48" t="str">
        <f ca="1">Проект!$A$319</f>
        <v xml:space="preserve">    НДС к выручке от реализации актива</v>
      </c>
      <c r="B70" s="344">
        <f>Проект!$B$319</f>
        <v>0</v>
      </c>
      <c r="C70" s="88" t="str">
        <f ca="1">Проект!$C$319</f>
        <v>руб.</v>
      </c>
      <c r="D70" s="52" t="str">
        <f>Проект!$D$319</f>
        <v>1_15</v>
      </c>
      <c r="E70" s="52"/>
      <c r="F70" s="48">
        <f>Проект!$F$319</f>
        <v>0</v>
      </c>
      <c r="G70" s="48">
        <f>Проект!$G$319</f>
        <v>0</v>
      </c>
      <c r="H70" s="48">
        <f>Проект!$H$319</f>
        <v>0</v>
      </c>
      <c r="I70" s="48">
        <f>Проект!$I$319</f>
        <v>0</v>
      </c>
      <c r="J70" s="48">
        <f>Проект!$J$319</f>
        <v>0</v>
      </c>
      <c r="K70" s="48" t="e">
        <f>Проект!#REF!</f>
        <v>#REF!</v>
      </c>
      <c r="L70" s="48" t="e">
        <f>Проект!#REF!</f>
        <v>#REF!</v>
      </c>
      <c r="M70" s="48" t="e">
        <f>Проект!#REF!</f>
        <v>#REF!</v>
      </c>
      <c r="N70" s="48" t="e">
        <f>Проект!#REF!</f>
        <v>#REF!</v>
      </c>
      <c r="O70" s="48" t="e">
        <f>Проект!#REF!</f>
        <v>#REF!</v>
      </c>
      <c r="P70" s="48" t="e">
        <f>Проект!#REF!</f>
        <v>#REF!</v>
      </c>
      <c r="Q70" s="48">
        <f>Проект!$K$319</f>
        <v>0</v>
      </c>
      <c r="R70" s="52"/>
      <c r="S70" s="94">
        <f>Проект!$M$319</f>
        <v>0</v>
      </c>
    </row>
    <row r="71" spans="1:19" ht="11.25" customHeight="1" x14ac:dyDescent="0.2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1"/>
    </row>
    <row r="72" spans="1:19" ht="11.25" customHeight="1" x14ac:dyDescent="0.2">
      <c r="A72" s="130" t="str">
        <f ca="1">Проект!$A$342</f>
        <v>Оборудование и другие активы</v>
      </c>
      <c r="B72" s="48"/>
      <c r="C72" s="48"/>
      <c r="D72" s="48">
        <f>Проект!$D$342</f>
        <v>2</v>
      </c>
      <c r="E72" s="48">
        <f>Проект!$E$342</f>
        <v>24</v>
      </c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1"/>
    </row>
    <row r="73" spans="1:19" ht="11.25" customHeight="1" x14ac:dyDescent="0.2">
      <c r="A73" s="333" t="str">
        <f>Проект!$A$343</f>
        <v>Наименование</v>
      </c>
      <c r="B73" s="197" t="str">
        <f ca="1">Проект!$B$343</f>
        <v>Валюта</v>
      </c>
      <c r="C73" s="52"/>
      <c r="D73" s="52"/>
      <c r="E73" s="5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52"/>
      <c r="S73" s="92"/>
    </row>
    <row r="74" spans="1:19" ht="11.25" customHeight="1" x14ac:dyDescent="0.2">
      <c r="A74" s="48" t="str">
        <f ca="1">Проект!$A$344</f>
        <v xml:space="preserve">    величина платежей (с НДС)</v>
      </c>
      <c r="B74" s="334">
        <f>Проект!$B$344</f>
        <v>1</v>
      </c>
      <c r="C74" s="88" t="str">
        <f ca="1">Проект!$C$344</f>
        <v>руб.</v>
      </c>
      <c r="D74" s="101" t="str">
        <f>Проект!$D$344</f>
        <v>1_00</v>
      </c>
      <c r="E74" s="52"/>
      <c r="F74" s="335">
        <f>Проект!$F$344</f>
        <v>0</v>
      </c>
      <c r="G74" s="335">
        <f>Проект!$G$344</f>
        <v>0</v>
      </c>
      <c r="H74" s="335">
        <f>Проект!$H$344</f>
        <v>0</v>
      </c>
      <c r="I74" s="335">
        <f>Проект!$I$344</f>
        <v>0</v>
      </c>
      <c r="J74" s="335">
        <f>Проект!$J$344</f>
        <v>0</v>
      </c>
      <c r="K74" s="335" t="e">
        <f>Проект!#REF!</f>
        <v>#REF!</v>
      </c>
      <c r="L74" s="335" t="e">
        <f>Проект!#REF!</f>
        <v>#REF!</v>
      </c>
      <c r="M74" s="335" t="e">
        <f>Проект!#REF!</f>
        <v>#REF!</v>
      </c>
      <c r="N74" s="335" t="e">
        <f>Проект!#REF!</f>
        <v>#REF!</v>
      </c>
      <c r="O74" s="335" t="e">
        <f>Проект!#REF!</f>
        <v>#REF!</v>
      </c>
      <c r="P74" s="335" t="e">
        <f>Проект!#REF!</f>
        <v>#REF!</v>
      </c>
      <c r="Q74" s="335">
        <f>Проект!$K$344</f>
        <v>0</v>
      </c>
      <c r="R74" s="52"/>
      <c r="S74" s="94">
        <f>Проект!$M$344</f>
        <v>0</v>
      </c>
    </row>
    <row r="75" spans="1:19" hidden="1" x14ac:dyDescent="0.2">
      <c r="A75" s="48" t="str">
        <f ca="1">Проект!$A$345</f>
        <v xml:space="preserve">    ранее осуществленные инвестиции (без НДС)</v>
      </c>
      <c r="B75" s="336">
        <f>Проект!$B$345</f>
        <v>0</v>
      </c>
      <c r="C75" s="88" t="str">
        <f ca="1">Проект!$C$345</f>
        <v>руб.</v>
      </c>
      <c r="D75" s="52" t="str">
        <f>Проект!$D$345</f>
        <v>1_20;set_0</v>
      </c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41"/>
    </row>
    <row r="76" spans="1:19" hidden="1" x14ac:dyDescent="0.2">
      <c r="A76" s="48" t="str">
        <f ca="1">Проект!$A$346</f>
        <v xml:space="preserve">    поставить на баланс с</v>
      </c>
      <c r="B76" s="337">
        <f ca="1">Проект!$B$346</f>
        <v>1</v>
      </c>
      <c r="C76" s="88" t="str">
        <f ca="1">Проект!$C$346</f>
        <v>периода</v>
      </c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41"/>
    </row>
    <row r="77" spans="1:19" hidden="1" x14ac:dyDescent="0.2">
      <c r="A77" s="74" t="str">
        <f ca="1">Проект!$A$347</f>
        <v xml:space="preserve">    импорт?</v>
      </c>
      <c r="B77" s="334">
        <f>Проект!$B$347</f>
        <v>2</v>
      </c>
      <c r="C77" s="346" t="str">
        <f ca="1">Проект!$C$347</f>
        <v>нет</v>
      </c>
      <c r="D77" s="74"/>
      <c r="E77" s="74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347"/>
    </row>
    <row r="78" spans="1:19" hidden="1" x14ac:dyDescent="0.2">
      <c r="A78" s="74" t="str">
        <f ca="1">Проект!$A$348</f>
        <v xml:space="preserve">    пересечение границы при импорте</v>
      </c>
      <c r="B78" s="348">
        <f>Проект!$B$348</f>
        <v>1</v>
      </c>
      <c r="C78" s="50" t="str">
        <f ca="1">Проект!$C$348</f>
        <v>период</v>
      </c>
      <c r="D78" s="101"/>
      <c r="E78" s="101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347"/>
    </row>
    <row r="79" spans="1:19" hidden="1" x14ac:dyDescent="0.2">
      <c r="A79" s="74" t="str">
        <f ca="1">Проект!$A$349</f>
        <v xml:space="preserve">    импортная пошлина</v>
      </c>
      <c r="B79" s="349">
        <f>Проект!$B$349</f>
        <v>0</v>
      </c>
      <c r="C79" s="342" t="str">
        <f ca="1">Проект!$C$349</f>
        <v>руб.</v>
      </c>
      <c r="D79" s="74" t="str">
        <f>Проект!$D$349</f>
        <v>1_18</v>
      </c>
      <c r="E79" s="74"/>
      <c r="F79" s="83">
        <f>Проект!$F$349</f>
        <v>0</v>
      </c>
      <c r="G79" s="83">
        <f>Проект!$G$349</f>
        <v>0</v>
      </c>
      <c r="H79" s="83">
        <f>Проект!$H$349</f>
        <v>0</v>
      </c>
      <c r="I79" s="83">
        <f>Проект!$I$349</f>
        <v>0</v>
      </c>
      <c r="J79" s="83">
        <f>Проект!$J$349</f>
        <v>0</v>
      </c>
      <c r="K79" s="83" t="e">
        <f>Проект!#REF!</f>
        <v>#REF!</v>
      </c>
      <c r="L79" s="83" t="e">
        <f>Проект!#REF!</f>
        <v>#REF!</v>
      </c>
      <c r="M79" s="83" t="e">
        <f>Проект!#REF!</f>
        <v>#REF!</v>
      </c>
      <c r="N79" s="83" t="e">
        <f>Проект!#REF!</f>
        <v>#REF!</v>
      </c>
      <c r="O79" s="83" t="e">
        <f>Проект!#REF!</f>
        <v>#REF!</v>
      </c>
      <c r="P79" s="83" t="e">
        <f>Проект!#REF!</f>
        <v>#REF!</v>
      </c>
      <c r="Q79" s="83">
        <f>Проект!$K$349</f>
        <v>0</v>
      </c>
      <c r="R79" s="83"/>
      <c r="S79" s="94">
        <f>Проект!$M$349</f>
        <v>0</v>
      </c>
    </row>
    <row r="80" spans="1:19" hidden="1" x14ac:dyDescent="0.2">
      <c r="A80" s="48" t="str">
        <f ca="1">Проект!$A$350</f>
        <v xml:space="preserve">    амортизация (линейная),       для срока использования:</v>
      </c>
      <c r="B80" s="337">
        <f>Проект!$B$350</f>
        <v>5</v>
      </c>
      <c r="C80" s="88" t="str">
        <f ca="1">Проект!$C$350</f>
        <v>лет</v>
      </c>
      <c r="D80" s="343" t="str">
        <f>Проект!$D$350</f>
        <v>1_02</v>
      </c>
      <c r="E80" s="52"/>
      <c r="F80" s="84">
        <f ca="1">Проект!$F$350</f>
        <v>0</v>
      </c>
      <c r="G80" s="84">
        <f ca="1">Проект!$G$350</f>
        <v>0</v>
      </c>
      <c r="H80" s="84">
        <f ca="1">Проект!$H$350</f>
        <v>0</v>
      </c>
      <c r="I80" s="84">
        <f ca="1">Проект!$I$350</f>
        <v>0</v>
      </c>
      <c r="J80" s="84">
        <f ca="1">Проект!$J$350</f>
        <v>0</v>
      </c>
      <c r="K80" s="84" t="e">
        <f>Проект!#REF!</f>
        <v>#REF!</v>
      </c>
      <c r="L80" s="84" t="e">
        <f>Проект!#REF!</f>
        <v>#REF!</v>
      </c>
      <c r="M80" s="84" t="e">
        <f>Проект!#REF!</f>
        <v>#REF!</v>
      </c>
      <c r="N80" s="84" t="e">
        <f>Проект!#REF!</f>
        <v>#REF!</v>
      </c>
      <c r="O80" s="84" t="e">
        <f>Проект!#REF!</f>
        <v>#REF!</v>
      </c>
      <c r="P80" s="84" t="e">
        <f>Проект!#REF!</f>
        <v>#REF!</v>
      </c>
      <c r="Q80" s="84">
        <f ca="1">Проект!$K$350</f>
        <v>0</v>
      </c>
      <c r="R80" s="52"/>
      <c r="S80" s="94">
        <f ca="1">Проект!$M$350</f>
        <v>0</v>
      </c>
    </row>
    <row r="81" spans="1:19" hidden="1" x14ac:dyDescent="0.2">
      <c r="A81" s="48" t="str">
        <f ca="1">Проект!$A$351</f>
        <v xml:space="preserve">    амортизация (ускоренная),    для срока использования:</v>
      </c>
      <c r="B81" s="337">
        <f>Проект!$B$351</f>
        <v>0</v>
      </c>
      <c r="C81" s="88" t="str">
        <f ca="1">Проект!$C$351</f>
        <v>лет</v>
      </c>
      <c r="D81" s="52" t="str">
        <f>Проект!$D$351</f>
        <v>1_03</v>
      </c>
      <c r="E81" s="52"/>
      <c r="F81" s="84">
        <f ca="1">Проект!$F$351</f>
        <v>0</v>
      </c>
      <c r="G81" s="84">
        <f ca="1">Проект!$G$351</f>
        <v>0</v>
      </c>
      <c r="H81" s="84">
        <f ca="1">Проект!$H$351</f>
        <v>0</v>
      </c>
      <c r="I81" s="84">
        <f ca="1">Проект!$I$351</f>
        <v>0</v>
      </c>
      <c r="J81" s="84">
        <f ca="1">Проект!$J$351</f>
        <v>0</v>
      </c>
      <c r="K81" s="84" t="e">
        <f>Проект!#REF!</f>
        <v>#REF!</v>
      </c>
      <c r="L81" s="84" t="e">
        <f>Проект!#REF!</f>
        <v>#REF!</v>
      </c>
      <c r="M81" s="84" t="e">
        <f>Проект!#REF!</f>
        <v>#REF!</v>
      </c>
      <c r="N81" s="84" t="e">
        <f>Проект!#REF!</f>
        <v>#REF!</v>
      </c>
      <c r="O81" s="84" t="e">
        <f>Проект!#REF!</f>
        <v>#REF!</v>
      </c>
      <c r="P81" s="84" t="e">
        <f>Проект!#REF!</f>
        <v>#REF!</v>
      </c>
      <c r="Q81" s="84">
        <f ca="1">Проект!$K$351</f>
        <v>0</v>
      </c>
      <c r="R81" s="52"/>
      <c r="S81" s="94">
        <f ca="1">Проект!$M$351</f>
        <v>0</v>
      </c>
    </row>
    <row r="82" spans="1:19" hidden="1" x14ac:dyDescent="0.2">
      <c r="A82" s="48" t="str">
        <f ca="1">Проект!$A$352</f>
        <v xml:space="preserve">    выплаченный НДС</v>
      </c>
      <c r="B82" s="344">
        <f>Проект!$B$352</f>
        <v>0</v>
      </c>
      <c r="C82" s="88" t="str">
        <f ca="1">Проект!$C$352</f>
        <v>руб.</v>
      </c>
      <c r="D82" s="52" t="str">
        <f>Проект!$D$352</f>
        <v>1_04</v>
      </c>
      <c r="E82" s="52"/>
      <c r="F82" s="83">
        <f>Проект!$F$352</f>
        <v>0</v>
      </c>
      <c r="G82" s="83">
        <f>Проект!$G$352</f>
        <v>0</v>
      </c>
      <c r="H82" s="83">
        <f>Проект!$H$352</f>
        <v>0</v>
      </c>
      <c r="I82" s="83">
        <f>Проект!$I$352</f>
        <v>0</v>
      </c>
      <c r="J82" s="83">
        <f>Проект!$J$352</f>
        <v>0</v>
      </c>
      <c r="K82" s="83" t="e">
        <f>Проект!#REF!</f>
        <v>#REF!</v>
      </c>
      <c r="L82" s="83" t="e">
        <f>Проект!#REF!</f>
        <v>#REF!</v>
      </c>
      <c r="M82" s="83" t="e">
        <f>Проект!#REF!</f>
        <v>#REF!</v>
      </c>
      <c r="N82" s="83" t="e">
        <f>Проект!#REF!</f>
        <v>#REF!</v>
      </c>
      <c r="O82" s="83" t="e">
        <f>Проект!#REF!</f>
        <v>#REF!</v>
      </c>
      <c r="P82" s="83" t="e">
        <f>Проект!#REF!</f>
        <v>#REF!</v>
      </c>
      <c r="Q82" s="83">
        <f>Проект!$K$352</f>
        <v>0</v>
      </c>
      <c r="R82" s="52"/>
      <c r="S82" s="94">
        <f>Проект!$M$352</f>
        <v>0</v>
      </c>
    </row>
    <row r="83" spans="1:19" hidden="1" x14ac:dyDescent="0.2">
      <c r="A83" s="48" t="str">
        <f ca="1">Проект!$A$353</f>
        <v xml:space="preserve">    вариант зачета НДС</v>
      </c>
      <c r="B83" s="334">
        <f>Проект!$B$353</f>
        <v>2</v>
      </c>
      <c r="C83" s="198" t="str">
        <f ca="1">Проект!$C$353</f>
        <v>после постановки актива на баланс</v>
      </c>
      <c r="D83" s="52"/>
      <c r="E83" s="52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52"/>
      <c r="S83" s="94"/>
    </row>
    <row r="84" spans="1:19" hidden="1" x14ac:dyDescent="0.2">
      <c r="A84" s="48" t="str">
        <f ca="1">Проект!$A$354</f>
        <v xml:space="preserve">    сумма платежей без НДС</v>
      </c>
      <c r="B84" s="52"/>
      <c r="C84" s="88" t="str">
        <f ca="1">Проект!$C$354</f>
        <v>руб.</v>
      </c>
      <c r="D84" s="52" t="str">
        <f>Проект!$D$354</f>
        <v>1_01</v>
      </c>
      <c r="E84" s="52"/>
      <c r="F84" s="84">
        <f>Проект!$F$354</f>
        <v>0</v>
      </c>
      <c r="G84" s="84">
        <f>Проект!$G$354</f>
        <v>0</v>
      </c>
      <c r="H84" s="84">
        <f>Проект!$H$354</f>
        <v>0</v>
      </c>
      <c r="I84" s="84">
        <f>Проект!$I$354</f>
        <v>0</v>
      </c>
      <c r="J84" s="84">
        <f>Проект!$J$354</f>
        <v>0</v>
      </c>
      <c r="K84" s="84" t="e">
        <f>Проект!#REF!</f>
        <v>#REF!</v>
      </c>
      <c r="L84" s="84" t="e">
        <f>Проект!#REF!</f>
        <v>#REF!</v>
      </c>
      <c r="M84" s="84" t="e">
        <f>Проект!#REF!</f>
        <v>#REF!</v>
      </c>
      <c r="N84" s="84" t="e">
        <f>Проект!#REF!</f>
        <v>#REF!</v>
      </c>
      <c r="O84" s="84" t="e">
        <f>Проект!#REF!</f>
        <v>#REF!</v>
      </c>
      <c r="P84" s="84" t="e">
        <f>Проект!#REF!</f>
        <v>#REF!</v>
      </c>
      <c r="Q84" s="84">
        <f>Проект!$K$354</f>
        <v>0</v>
      </c>
      <c r="R84" s="52"/>
      <c r="S84" s="94">
        <f>Проект!$M$354</f>
        <v>0</v>
      </c>
    </row>
    <row r="85" spans="1:19" hidden="1" x14ac:dyDescent="0.2">
      <c r="A85" s="48" t="str">
        <f ca="1">Проект!$A$355</f>
        <v xml:space="preserve">    общая стоимость актива (без НДС)</v>
      </c>
      <c r="B85" s="312">
        <f>Проект!$B$355</f>
        <v>0</v>
      </c>
      <c r="C85" s="88" t="str">
        <f ca="1">Проект!$C$355</f>
        <v>руб.</v>
      </c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41"/>
    </row>
    <row r="86" spans="1:19" hidden="1" x14ac:dyDescent="0.2">
      <c r="A86" s="48" t="str">
        <f ca="1">Проект!$A$356</f>
        <v xml:space="preserve">    полная сумма вложений в актив (без НДС)</v>
      </c>
      <c r="B86" s="52"/>
      <c r="C86" s="88" t="str">
        <f ca="1">Проект!$C$356</f>
        <v>руб.</v>
      </c>
      <c r="D86" s="52" t="str">
        <f>Проект!$D$356</f>
        <v>1_05; int_end</v>
      </c>
      <c r="E86" s="52"/>
      <c r="F86" s="84">
        <f>Проект!$F$356</f>
        <v>0</v>
      </c>
      <c r="G86" s="84">
        <f>Проект!$G$356</f>
        <v>0</v>
      </c>
      <c r="H86" s="84">
        <f>Проект!$H$356</f>
        <v>0</v>
      </c>
      <c r="I86" s="84">
        <f>Проект!$I$356</f>
        <v>0</v>
      </c>
      <c r="J86" s="84">
        <f>Проект!$J$356</f>
        <v>0</v>
      </c>
      <c r="K86" s="84" t="e">
        <f>Проект!#REF!</f>
        <v>#REF!</v>
      </c>
      <c r="L86" s="84" t="e">
        <f>Проект!#REF!</f>
        <v>#REF!</v>
      </c>
      <c r="M86" s="84" t="e">
        <f>Проект!#REF!</f>
        <v>#REF!</v>
      </c>
      <c r="N86" s="84" t="e">
        <f>Проект!#REF!</f>
        <v>#REF!</v>
      </c>
      <c r="O86" s="84" t="e">
        <f>Проект!#REF!</f>
        <v>#REF!</v>
      </c>
      <c r="P86" s="84" t="e">
        <f>Проект!#REF!</f>
        <v>#REF!</v>
      </c>
      <c r="Q86" s="84">
        <f>Проект!$K$356</f>
        <v>0</v>
      </c>
      <c r="R86" s="52"/>
      <c r="S86" s="94"/>
    </row>
    <row r="87" spans="1:19" hidden="1" x14ac:dyDescent="0.2">
      <c r="A87" s="48" t="str">
        <f ca="1">Проект!$A$357</f>
        <v xml:space="preserve">    полная балансовая стоимость</v>
      </c>
      <c r="B87" s="52"/>
      <c r="C87" s="88" t="str">
        <f ca="1">Проект!$C$357</f>
        <v>руб.</v>
      </c>
      <c r="D87" s="52" t="str">
        <f>Проект!$D$357</f>
        <v>1_06; int_end</v>
      </c>
      <c r="E87" s="52"/>
      <c r="F87" s="84">
        <f ca="1">Проект!$F$357</f>
        <v>0</v>
      </c>
      <c r="G87" s="84">
        <f ca="1">Проект!$G$357</f>
        <v>0</v>
      </c>
      <c r="H87" s="84">
        <f ca="1">Проект!$H$357</f>
        <v>0</v>
      </c>
      <c r="I87" s="84">
        <f ca="1">Проект!$I$357</f>
        <v>0</v>
      </c>
      <c r="J87" s="84">
        <f ca="1">Проект!$J$357</f>
        <v>0</v>
      </c>
      <c r="K87" s="84" t="e">
        <f>Проект!#REF!</f>
        <v>#REF!</v>
      </c>
      <c r="L87" s="84" t="e">
        <f>Проект!#REF!</f>
        <v>#REF!</v>
      </c>
      <c r="M87" s="84" t="e">
        <f>Проект!#REF!</f>
        <v>#REF!</v>
      </c>
      <c r="N87" s="84" t="e">
        <f>Проект!#REF!</f>
        <v>#REF!</v>
      </c>
      <c r="O87" s="84" t="e">
        <f>Проект!#REF!</f>
        <v>#REF!</v>
      </c>
      <c r="P87" s="84" t="e">
        <f>Проект!#REF!</f>
        <v>#REF!</v>
      </c>
      <c r="Q87" s="84">
        <f ca="1">Проект!$K$357</f>
        <v>0</v>
      </c>
      <c r="R87" s="52"/>
      <c r="S87" s="41"/>
    </row>
    <row r="88" spans="1:19" hidden="1" x14ac:dyDescent="0.2">
      <c r="A88" s="48" t="str">
        <f ca="1">Проект!$A$358</f>
        <v xml:space="preserve">    незавершенные инвестиции</v>
      </c>
      <c r="B88" s="52"/>
      <c r="C88" s="88" t="str">
        <f ca="1">Проект!$C$358</f>
        <v>руб.</v>
      </c>
      <c r="D88" s="52" t="str">
        <f>Проект!$D$358</f>
        <v>1_07; int_end</v>
      </c>
      <c r="E88" s="52"/>
      <c r="F88" s="84">
        <f ca="1">Проект!$F$358</f>
        <v>0</v>
      </c>
      <c r="G88" s="84">
        <f ca="1">Проект!$G$358</f>
        <v>0</v>
      </c>
      <c r="H88" s="84">
        <f ca="1">Проект!$H$358</f>
        <v>0</v>
      </c>
      <c r="I88" s="84">
        <f ca="1">Проект!$I$358</f>
        <v>0</v>
      </c>
      <c r="J88" s="84">
        <f ca="1">Проект!$J$358</f>
        <v>0</v>
      </c>
      <c r="K88" s="84" t="e">
        <f>Проект!#REF!</f>
        <v>#REF!</v>
      </c>
      <c r="L88" s="84" t="e">
        <f>Проект!#REF!</f>
        <v>#REF!</v>
      </c>
      <c r="M88" s="84" t="e">
        <f>Проект!#REF!</f>
        <v>#REF!</v>
      </c>
      <c r="N88" s="84" t="e">
        <f>Проект!#REF!</f>
        <v>#REF!</v>
      </c>
      <c r="O88" s="84" t="e">
        <f>Проект!#REF!</f>
        <v>#REF!</v>
      </c>
      <c r="P88" s="84" t="e">
        <f>Проект!#REF!</f>
        <v>#REF!</v>
      </c>
      <c r="Q88" s="84">
        <f ca="1">Проект!$K$358</f>
        <v>0</v>
      </c>
      <c r="R88" s="52"/>
      <c r="S88" s="41"/>
    </row>
    <row r="89" spans="1:19" hidden="1" x14ac:dyDescent="0.2">
      <c r="A89" s="48" t="str">
        <f ca="1">Проект!$A$359</f>
        <v xml:space="preserve">    кредиторская задолженность</v>
      </c>
      <c r="B89" s="52"/>
      <c r="C89" s="88" t="str">
        <f ca="1">Проект!$C$359</f>
        <v>руб.</v>
      </c>
      <c r="D89" s="52" t="str">
        <f>Проект!$D$359</f>
        <v>1_08; int_end</v>
      </c>
      <c r="E89" s="52"/>
      <c r="F89" s="84">
        <f ca="1">Проект!$F$359</f>
        <v>0</v>
      </c>
      <c r="G89" s="84">
        <f ca="1">Проект!$G$359</f>
        <v>0</v>
      </c>
      <c r="H89" s="84">
        <f ca="1">Проект!$H$359</f>
        <v>0</v>
      </c>
      <c r="I89" s="84">
        <f ca="1">Проект!$I$359</f>
        <v>0</v>
      </c>
      <c r="J89" s="84">
        <f ca="1">Проект!$J$359</f>
        <v>0</v>
      </c>
      <c r="K89" s="84" t="e">
        <f>Проект!#REF!</f>
        <v>#REF!</v>
      </c>
      <c r="L89" s="84" t="e">
        <f>Проект!#REF!</f>
        <v>#REF!</v>
      </c>
      <c r="M89" s="84" t="e">
        <f>Проект!#REF!</f>
        <v>#REF!</v>
      </c>
      <c r="N89" s="84" t="e">
        <f>Проект!#REF!</f>
        <v>#REF!</v>
      </c>
      <c r="O89" s="84" t="e">
        <f>Проект!#REF!</f>
        <v>#REF!</v>
      </c>
      <c r="P89" s="84" t="e">
        <f>Проект!#REF!</f>
        <v>#REF!</v>
      </c>
      <c r="Q89" s="84">
        <f ca="1">Проект!$K$359</f>
        <v>0</v>
      </c>
      <c r="R89" s="52"/>
      <c r="S89" s="41"/>
    </row>
    <row r="90" spans="1:19" hidden="1" x14ac:dyDescent="0.2">
      <c r="A90" s="48" t="str">
        <f ca="1">Проект!$A$360</f>
        <v xml:space="preserve">    накопленная амортизация</v>
      </c>
      <c r="B90" s="52"/>
      <c r="C90" s="88" t="str">
        <f ca="1">Проект!$C$360</f>
        <v>руб.</v>
      </c>
      <c r="D90" s="52" t="str">
        <f>Проект!$D$360</f>
        <v>1_09; int_end</v>
      </c>
      <c r="E90" s="52"/>
      <c r="F90" s="84">
        <f ca="1">Проект!$F$360</f>
        <v>0</v>
      </c>
      <c r="G90" s="84">
        <f ca="1">Проект!$G$360</f>
        <v>0</v>
      </c>
      <c r="H90" s="84">
        <f ca="1">Проект!$H$360</f>
        <v>0</v>
      </c>
      <c r="I90" s="84">
        <f ca="1">Проект!$I$360</f>
        <v>0</v>
      </c>
      <c r="J90" s="84">
        <f ca="1">Проект!$J$360</f>
        <v>0</v>
      </c>
      <c r="K90" s="84" t="e">
        <f>Проект!#REF!</f>
        <v>#REF!</v>
      </c>
      <c r="L90" s="84" t="e">
        <f>Проект!#REF!</f>
        <v>#REF!</v>
      </c>
      <c r="M90" s="84" t="e">
        <f>Проект!#REF!</f>
        <v>#REF!</v>
      </c>
      <c r="N90" s="84" t="e">
        <f>Проект!#REF!</f>
        <v>#REF!</v>
      </c>
      <c r="O90" s="84" t="e">
        <f>Проект!#REF!</f>
        <v>#REF!</v>
      </c>
      <c r="P90" s="84" t="e">
        <f>Проект!#REF!</f>
        <v>#REF!</v>
      </c>
      <c r="Q90" s="84">
        <f ca="1">Проект!$K$360</f>
        <v>0</v>
      </c>
      <c r="R90" s="52"/>
      <c r="S90" s="41"/>
    </row>
    <row r="91" spans="1:19" hidden="1" x14ac:dyDescent="0.2">
      <c r="A91" s="48" t="str">
        <f ca="1">Проект!$A$361</f>
        <v xml:space="preserve">    остаточная стоимость</v>
      </c>
      <c r="B91" s="52"/>
      <c r="C91" s="88" t="str">
        <f ca="1">Проект!$C$361</f>
        <v>руб.</v>
      </c>
      <c r="D91" s="52" t="str">
        <f>Проект!$D$361</f>
        <v>1_10; int_end</v>
      </c>
      <c r="E91" s="52"/>
      <c r="F91" s="106">
        <f ca="1">Проект!$F$361</f>
        <v>0</v>
      </c>
      <c r="G91" s="106">
        <f ca="1">Проект!$G$361</f>
        <v>0</v>
      </c>
      <c r="H91" s="106">
        <f ca="1">Проект!$H$361</f>
        <v>0</v>
      </c>
      <c r="I91" s="106">
        <f ca="1">Проект!$I$361</f>
        <v>0</v>
      </c>
      <c r="J91" s="106">
        <f ca="1">Проект!$J$361</f>
        <v>0</v>
      </c>
      <c r="K91" s="106" t="e">
        <f>Проект!#REF!</f>
        <v>#REF!</v>
      </c>
      <c r="L91" s="106" t="e">
        <f>Проект!#REF!</f>
        <v>#REF!</v>
      </c>
      <c r="M91" s="106" t="e">
        <f>Проект!#REF!</f>
        <v>#REF!</v>
      </c>
      <c r="N91" s="106" t="e">
        <f>Проект!#REF!</f>
        <v>#REF!</v>
      </c>
      <c r="O91" s="106" t="e">
        <f>Проект!#REF!</f>
        <v>#REF!</v>
      </c>
      <c r="P91" s="106" t="e">
        <f>Проект!#REF!</f>
        <v>#REF!</v>
      </c>
      <c r="Q91" s="106">
        <f ca="1">Проект!$K$361</f>
        <v>0</v>
      </c>
      <c r="R91" s="52"/>
      <c r="S91" s="41"/>
    </row>
    <row r="92" spans="1:19" hidden="1" x14ac:dyDescent="0.2">
      <c r="A92" s="48" t="str">
        <f ca="1">Проект!$A$362</f>
        <v xml:space="preserve">    НДС к ранее осуществленным инвестициям</v>
      </c>
      <c r="B92" s="345">
        <f>Проект!$B$362</f>
        <v>0</v>
      </c>
      <c r="C92" s="88" t="str">
        <f ca="1">Проект!$C$362</f>
        <v>руб.</v>
      </c>
      <c r="D92" s="52" t="str">
        <f>Проект!$D$362</f>
        <v>1_11</v>
      </c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41"/>
    </row>
    <row r="93" spans="1:19" hidden="1" x14ac:dyDescent="0.2">
      <c r="A93" s="48" t="str">
        <f ca="1">Проект!$A$363</f>
        <v xml:space="preserve">    зачет НДС</v>
      </c>
      <c r="B93" s="52"/>
      <c r="C93" s="88" t="str">
        <f ca="1">Проект!$C$363</f>
        <v>руб.</v>
      </c>
      <c r="D93" s="338" t="str">
        <f>Проект!$D$363</f>
        <v>1_12</v>
      </c>
      <c r="E93" s="52"/>
      <c r="F93" s="83">
        <f ca="1">Проект!$F$363</f>
        <v>0</v>
      </c>
      <c r="G93" s="83">
        <f ca="1">Проект!$G$363</f>
        <v>0</v>
      </c>
      <c r="H93" s="83">
        <f ca="1">Проект!$H$363</f>
        <v>0</v>
      </c>
      <c r="I93" s="83">
        <f ca="1">Проект!$I$363</f>
        <v>0</v>
      </c>
      <c r="J93" s="83">
        <f ca="1">Проект!$J$363</f>
        <v>0</v>
      </c>
      <c r="K93" s="83" t="e">
        <f>Проект!#REF!</f>
        <v>#REF!</v>
      </c>
      <c r="L93" s="83" t="e">
        <f>Проект!#REF!</f>
        <v>#REF!</v>
      </c>
      <c r="M93" s="83" t="e">
        <f>Проект!#REF!</f>
        <v>#REF!</v>
      </c>
      <c r="N93" s="83" t="e">
        <f>Проект!#REF!</f>
        <v>#REF!</v>
      </c>
      <c r="O93" s="83" t="e">
        <f>Проект!#REF!</f>
        <v>#REF!</v>
      </c>
      <c r="P93" s="83" t="e">
        <f>Проект!#REF!</f>
        <v>#REF!</v>
      </c>
      <c r="Q93" s="83">
        <f ca="1">Проект!$K$363</f>
        <v>0</v>
      </c>
      <c r="R93" s="52"/>
      <c r="S93" s="94">
        <f ca="1">Проект!$M$363</f>
        <v>0</v>
      </c>
    </row>
    <row r="94" spans="1:19" hidden="1" x14ac:dyDescent="0.2">
      <c r="A94" s="76" t="str">
        <f ca="1">Проект!$A$364</f>
        <v xml:space="preserve">    реализация актива (без НДС)</v>
      </c>
      <c r="B94" s="339"/>
      <c r="C94" s="340" t="str">
        <f ca="1">Проект!$C$364</f>
        <v>руб.</v>
      </c>
      <c r="D94" s="52" t="str">
        <f>Проект!$D$364</f>
        <v>1_13</v>
      </c>
      <c r="E94" s="339"/>
      <c r="F94" s="341">
        <f>Проект!$F$364</f>
        <v>0</v>
      </c>
      <c r="G94" s="341">
        <f>Проект!$G$364</f>
        <v>0</v>
      </c>
      <c r="H94" s="341">
        <f>Проект!$H$364</f>
        <v>0</v>
      </c>
      <c r="I94" s="341">
        <f>Проект!$I$364</f>
        <v>0</v>
      </c>
      <c r="J94" s="341">
        <f>Проект!$J$364</f>
        <v>0</v>
      </c>
      <c r="K94" s="341" t="e">
        <f>Проект!#REF!</f>
        <v>#REF!</v>
      </c>
      <c r="L94" s="341" t="e">
        <f>Проект!#REF!</f>
        <v>#REF!</v>
      </c>
      <c r="M94" s="341" t="e">
        <f>Проект!#REF!</f>
        <v>#REF!</v>
      </c>
      <c r="N94" s="341" t="e">
        <f>Проект!#REF!</f>
        <v>#REF!</v>
      </c>
      <c r="O94" s="341" t="e">
        <f>Проект!#REF!</f>
        <v>#REF!</v>
      </c>
      <c r="P94" s="341" t="e">
        <f>Проект!#REF!</f>
        <v>#REF!</v>
      </c>
      <c r="Q94" s="341">
        <f>Проект!$K$364</f>
        <v>0</v>
      </c>
      <c r="R94" s="52"/>
      <c r="S94" s="94">
        <f>Проект!$M$364</f>
        <v>0</v>
      </c>
    </row>
    <row r="95" spans="1:19" hidden="1" x14ac:dyDescent="0.2">
      <c r="A95" s="45" t="str">
        <f ca="1">Проект!$A$365</f>
        <v xml:space="preserve">    прибыль/убыток от реализации актива</v>
      </c>
      <c r="B95" s="128"/>
      <c r="C95" s="342" t="str">
        <f ca="1">Проект!$C$365</f>
        <v>руб.</v>
      </c>
      <c r="D95" s="52" t="str">
        <f>Проект!$D$365</f>
        <v>1_14</v>
      </c>
      <c r="E95" s="128"/>
      <c r="F95" s="83">
        <f>Проект!$F$365</f>
        <v>0</v>
      </c>
      <c r="G95" s="83">
        <f>Проект!$G$365</f>
        <v>0</v>
      </c>
      <c r="H95" s="83">
        <f>Проект!$H$365</f>
        <v>0</v>
      </c>
      <c r="I95" s="83">
        <f>Проект!$I$365</f>
        <v>0</v>
      </c>
      <c r="J95" s="83">
        <f>Проект!$J$365</f>
        <v>0</v>
      </c>
      <c r="K95" s="83" t="e">
        <f>Проект!#REF!</f>
        <v>#REF!</v>
      </c>
      <c r="L95" s="83" t="e">
        <f>Проект!#REF!</f>
        <v>#REF!</v>
      </c>
      <c r="M95" s="83" t="e">
        <f>Проект!#REF!</f>
        <v>#REF!</v>
      </c>
      <c r="N95" s="83" t="e">
        <f>Проект!#REF!</f>
        <v>#REF!</v>
      </c>
      <c r="O95" s="83" t="e">
        <f>Проект!#REF!</f>
        <v>#REF!</v>
      </c>
      <c r="P95" s="83" t="e">
        <f>Проект!#REF!</f>
        <v>#REF!</v>
      </c>
      <c r="Q95" s="83">
        <f>Проект!$K$365</f>
        <v>0</v>
      </c>
      <c r="R95" s="52"/>
      <c r="S95" s="94">
        <f>Проект!$M$365</f>
        <v>0</v>
      </c>
    </row>
    <row r="96" spans="1:19" hidden="1" x14ac:dyDescent="0.2">
      <c r="A96" s="48" t="str">
        <f ca="1">Проект!$A$366</f>
        <v xml:space="preserve">    НДС к выручке от реализации актива</v>
      </c>
      <c r="B96" s="344">
        <f>Проект!$B$366</f>
        <v>0</v>
      </c>
      <c r="C96" s="88" t="str">
        <f ca="1">Проект!$C$366</f>
        <v>руб.</v>
      </c>
      <c r="D96" s="52" t="str">
        <f>Проект!$D$366</f>
        <v>1_15</v>
      </c>
      <c r="E96" s="52"/>
      <c r="F96" s="48">
        <f>Проект!$F$366</f>
        <v>0</v>
      </c>
      <c r="G96" s="48">
        <f>Проект!$G$366</f>
        <v>0</v>
      </c>
      <c r="H96" s="48">
        <f>Проект!$H$366</f>
        <v>0</v>
      </c>
      <c r="I96" s="48">
        <f>Проект!$I$366</f>
        <v>0</v>
      </c>
      <c r="J96" s="48">
        <f>Проект!$J$366</f>
        <v>0</v>
      </c>
      <c r="K96" s="48" t="e">
        <f>Проект!#REF!</f>
        <v>#REF!</v>
      </c>
      <c r="L96" s="48" t="e">
        <f>Проект!#REF!</f>
        <v>#REF!</v>
      </c>
      <c r="M96" s="48" t="e">
        <f>Проект!#REF!</f>
        <v>#REF!</v>
      </c>
      <c r="N96" s="48" t="e">
        <f>Проект!#REF!</f>
        <v>#REF!</v>
      </c>
      <c r="O96" s="48" t="e">
        <f>Проект!#REF!</f>
        <v>#REF!</v>
      </c>
      <c r="P96" s="48" t="e">
        <f>Проект!#REF!</f>
        <v>#REF!</v>
      </c>
      <c r="Q96" s="48">
        <f>Проект!$K$366</f>
        <v>0</v>
      </c>
      <c r="R96" s="52"/>
      <c r="S96" s="94">
        <f>Проект!$M$366</f>
        <v>0</v>
      </c>
    </row>
    <row r="97" spans="1:19" ht="12" customHeight="1" x14ac:dyDescent="0.2">
      <c r="A97" s="130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1"/>
    </row>
    <row r="98" spans="1:19" ht="11.25" customHeight="1" x14ac:dyDescent="0.2">
      <c r="A98" s="130" t="str">
        <f ca="1">Проект!$A$392</f>
        <v>Нематериальные активы</v>
      </c>
      <c r="B98" s="52"/>
      <c r="C98" s="52"/>
      <c r="D98" s="52">
        <f>Проект!$D$392</f>
        <v>1</v>
      </c>
      <c r="E98" s="52">
        <f>Проект!$E$392</f>
        <v>21</v>
      </c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41"/>
    </row>
    <row r="99" spans="1:19" ht="11.25" customHeight="1" x14ac:dyDescent="0.2">
      <c r="A99" s="333" t="str">
        <f ca="1">Проект!$A$393</f>
        <v>Наименование</v>
      </c>
      <c r="B99" s="197" t="str">
        <f ca="1">Проект!$B$393</f>
        <v>Валюта</v>
      </c>
      <c r="C99" s="52"/>
      <c r="D99" s="52"/>
      <c r="E99" s="5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52"/>
      <c r="S99" s="92"/>
    </row>
    <row r="100" spans="1:19" ht="11.25" customHeight="1" x14ac:dyDescent="0.2">
      <c r="A100" s="48" t="str">
        <f ca="1">Проект!$A$394</f>
        <v xml:space="preserve">    величина платежей (с НДС)</v>
      </c>
      <c r="B100" s="334">
        <f>Проект!$B$394</f>
        <v>1</v>
      </c>
      <c r="C100" s="88" t="str">
        <f ca="1">Проект!$C$394</f>
        <v>руб.</v>
      </c>
      <c r="D100" s="101" t="str">
        <f>Проект!$D$394</f>
        <v>1_00</v>
      </c>
      <c r="E100" s="52"/>
      <c r="F100" s="335">
        <f>Проект!$F$394</f>
        <v>0</v>
      </c>
      <c r="G100" s="335">
        <f>Проект!$G$394</f>
        <v>0</v>
      </c>
      <c r="H100" s="335">
        <f>Проект!$H$394</f>
        <v>0</v>
      </c>
      <c r="I100" s="335">
        <f>Проект!$I$394</f>
        <v>0</v>
      </c>
      <c r="J100" s="335">
        <f>Проект!$J$394</f>
        <v>0</v>
      </c>
      <c r="K100" s="335" t="e">
        <f>Проект!#REF!</f>
        <v>#REF!</v>
      </c>
      <c r="L100" s="335" t="e">
        <f>Проект!#REF!</f>
        <v>#REF!</v>
      </c>
      <c r="M100" s="335" t="e">
        <f>Проект!#REF!</f>
        <v>#REF!</v>
      </c>
      <c r="N100" s="335" t="e">
        <f>Проект!#REF!</f>
        <v>#REF!</v>
      </c>
      <c r="O100" s="335" t="e">
        <f>Проект!#REF!</f>
        <v>#REF!</v>
      </c>
      <c r="P100" s="335" t="e">
        <f>Проект!#REF!</f>
        <v>#REF!</v>
      </c>
      <c r="Q100" s="335">
        <f>Проект!$K$394</f>
        <v>0</v>
      </c>
      <c r="R100" s="52"/>
      <c r="S100" s="94">
        <f>Проект!$M$394</f>
        <v>0</v>
      </c>
    </row>
    <row r="101" spans="1:19" hidden="1" x14ac:dyDescent="0.2">
      <c r="A101" s="48" t="str">
        <f ca="1">Проект!$A$395</f>
        <v xml:space="preserve">    ранее осуществленные инвестиции (без НДС)</v>
      </c>
      <c r="B101" s="336">
        <f>Проект!$B$395</f>
        <v>0</v>
      </c>
      <c r="C101" s="88" t="str">
        <f ca="1">Проект!$C$395</f>
        <v>руб.</v>
      </c>
      <c r="D101" s="52" t="str">
        <f>Проект!$D$395</f>
        <v>1_20;set_0</v>
      </c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41"/>
    </row>
    <row r="102" spans="1:19" hidden="1" x14ac:dyDescent="0.2">
      <c r="A102" s="48" t="str">
        <f ca="1">Проект!$A$396</f>
        <v xml:space="preserve">    поставить на баланс с</v>
      </c>
      <c r="B102" s="337">
        <f ca="1">Проект!$B$396</f>
        <v>1</v>
      </c>
      <c r="C102" s="88" t="str">
        <f ca="1">Проект!$C$396</f>
        <v>периода</v>
      </c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41"/>
    </row>
    <row r="103" spans="1:19" hidden="1" x14ac:dyDescent="0.2">
      <c r="A103" s="48" t="str">
        <f ca="1">Проект!$A$397</f>
        <v xml:space="preserve">    амортизация (линейная),       для срока использования:</v>
      </c>
      <c r="B103" s="337">
        <f>Проект!$B$397</f>
        <v>0</v>
      </c>
      <c r="C103" s="88" t="str">
        <f ca="1">Проект!$C$397</f>
        <v>лет</v>
      </c>
      <c r="D103" s="343" t="str">
        <f>Проект!$D$397</f>
        <v>1_02</v>
      </c>
      <c r="E103" s="52"/>
      <c r="F103" s="84">
        <f>Проект!$F$397</f>
        <v>0</v>
      </c>
      <c r="G103" s="84">
        <f>Проект!$G$397</f>
        <v>0</v>
      </c>
      <c r="H103" s="84">
        <f>Проект!$H$397</f>
        <v>0</v>
      </c>
      <c r="I103" s="84">
        <f>Проект!$I$397</f>
        <v>0</v>
      </c>
      <c r="J103" s="84">
        <f>Проект!$J$397</f>
        <v>0</v>
      </c>
      <c r="K103" s="84" t="e">
        <f>Проект!#REF!</f>
        <v>#REF!</v>
      </c>
      <c r="L103" s="84" t="e">
        <f>Проект!#REF!</f>
        <v>#REF!</v>
      </c>
      <c r="M103" s="84" t="e">
        <f>Проект!#REF!</f>
        <v>#REF!</v>
      </c>
      <c r="N103" s="84" t="e">
        <f>Проект!#REF!</f>
        <v>#REF!</v>
      </c>
      <c r="O103" s="84" t="e">
        <f>Проект!#REF!</f>
        <v>#REF!</v>
      </c>
      <c r="P103" s="84" t="e">
        <f>Проект!#REF!</f>
        <v>#REF!</v>
      </c>
      <c r="Q103" s="84">
        <f>Проект!$K$397</f>
        <v>0</v>
      </c>
      <c r="R103" s="52"/>
      <c r="S103" s="94">
        <f>Проект!$M$397</f>
        <v>0</v>
      </c>
    </row>
    <row r="104" spans="1:19" hidden="1" x14ac:dyDescent="0.2">
      <c r="A104" s="48" t="str">
        <f ca="1">Проект!$A$398</f>
        <v xml:space="preserve">    амортизация (ускоренная),    для срока использования:</v>
      </c>
      <c r="B104" s="337">
        <f>Проект!$B$398</f>
        <v>0</v>
      </c>
      <c r="C104" s="88" t="str">
        <f ca="1">Проект!$C$398</f>
        <v>лет</v>
      </c>
      <c r="D104" s="52" t="str">
        <f>Проект!$D$398</f>
        <v>1_03</v>
      </c>
      <c r="E104" s="52"/>
      <c r="F104" s="84">
        <f ca="1">Проект!$F$398</f>
        <v>0</v>
      </c>
      <c r="G104" s="84">
        <f ca="1">Проект!$G$398</f>
        <v>0</v>
      </c>
      <c r="H104" s="84">
        <f ca="1">Проект!$H$398</f>
        <v>0</v>
      </c>
      <c r="I104" s="84">
        <f ca="1">Проект!$I$398</f>
        <v>0</v>
      </c>
      <c r="J104" s="84">
        <f ca="1">Проект!$J$398</f>
        <v>0</v>
      </c>
      <c r="K104" s="84" t="e">
        <f>Проект!#REF!</f>
        <v>#REF!</v>
      </c>
      <c r="L104" s="84" t="e">
        <f>Проект!#REF!</f>
        <v>#REF!</v>
      </c>
      <c r="M104" s="84" t="e">
        <f>Проект!#REF!</f>
        <v>#REF!</v>
      </c>
      <c r="N104" s="84" t="e">
        <f>Проект!#REF!</f>
        <v>#REF!</v>
      </c>
      <c r="O104" s="84" t="e">
        <f>Проект!#REF!</f>
        <v>#REF!</v>
      </c>
      <c r="P104" s="84" t="e">
        <f>Проект!#REF!</f>
        <v>#REF!</v>
      </c>
      <c r="Q104" s="84">
        <f ca="1">Проект!$K$398</f>
        <v>0</v>
      </c>
      <c r="R104" s="52"/>
      <c r="S104" s="94">
        <f ca="1">Проект!$M$398</f>
        <v>0</v>
      </c>
    </row>
    <row r="105" spans="1:19" hidden="1" x14ac:dyDescent="0.2">
      <c r="A105" s="48" t="str">
        <f ca="1">Проект!$A$399</f>
        <v xml:space="preserve">    выплаченный НДС</v>
      </c>
      <c r="B105" s="344">
        <f>Проект!$B$399</f>
        <v>0</v>
      </c>
      <c r="C105" s="88" t="str">
        <f ca="1">Проект!$C$399</f>
        <v>руб.</v>
      </c>
      <c r="D105" s="52" t="str">
        <f>Проект!$D$399</f>
        <v>1_04</v>
      </c>
      <c r="E105" s="52"/>
      <c r="F105" s="83">
        <f>Проект!$F$399</f>
        <v>0</v>
      </c>
      <c r="G105" s="83">
        <f>Проект!$G$399</f>
        <v>0</v>
      </c>
      <c r="H105" s="83">
        <f>Проект!$H$399</f>
        <v>0</v>
      </c>
      <c r="I105" s="83">
        <f>Проект!$I$399</f>
        <v>0</v>
      </c>
      <c r="J105" s="83">
        <f>Проект!$J$399</f>
        <v>0</v>
      </c>
      <c r="K105" s="83" t="e">
        <f>Проект!#REF!</f>
        <v>#REF!</v>
      </c>
      <c r="L105" s="83" t="e">
        <f>Проект!#REF!</f>
        <v>#REF!</v>
      </c>
      <c r="M105" s="83" t="e">
        <f>Проект!#REF!</f>
        <v>#REF!</v>
      </c>
      <c r="N105" s="83" t="e">
        <f>Проект!#REF!</f>
        <v>#REF!</v>
      </c>
      <c r="O105" s="83" t="e">
        <f>Проект!#REF!</f>
        <v>#REF!</v>
      </c>
      <c r="P105" s="83" t="e">
        <f>Проект!#REF!</f>
        <v>#REF!</v>
      </c>
      <c r="Q105" s="83">
        <f>Проект!$K$399</f>
        <v>0</v>
      </c>
      <c r="R105" s="52"/>
      <c r="S105" s="94">
        <f>Проект!$M$399</f>
        <v>0</v>
      </c>
    </row>
    <row r="106" spans="1:19" hidden="1" x14ac:dyDescent="0.2">
      <c r="A106" s="48" t="str">
        <f ca="1">Проект!$A$400</f>
        <v xml:space="preserve">    вариант зачета НДС</v>
      </c>
      <c r="B106" s="334">
        <f>Проект!$B$400</f>
        <v>2</v>
      </c>
      <c r="C106" s="198" t="str">
        <f ca="1">Проект!$C$400</f>
        <v>после постановки актива на баланс</v>
      </c>
      <c r="D106" s="52"/>
      <c r="E106" s="52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52"/>
      <c r="S106" s="94"/>
    </row>
    <row r="107" spans="1:19" hidden="1" x14ac:dyDescent="0.2">
      <c r="A107" s="48" t="str">
        <f ca="1">Проект!$A$401</f>
        <v xml:space="preserve">    сумма платежей без НДС</v>
      </c>
      <c r="B107" s="52"/>
      <c r="C107" s="88" t="str">
        <f ca="1">Проект!$C$401</f>
        <v>руб.</v>
      </c>
      <c r="D107" s="52" t="str">
        <f>Проект!$D$401</f>
        <v>1_01</v>
      </c>
      <c r="E107" s="52"/>
      <c r="F107" s="84">
        <f>Проект!$F$401</f>
        <v>0</v>
      </c>
      <c r="G107" s="84">
        <f>Проект!$G$401</f>
        <v>0</v>
      </c>
      <c r="H107" s="84">
        <f>Проект!$H$401</f>
        <v>0</v>
      </c>
      <c r="I107" s="84">
        <f>Проект!$I$401</f>
        <v>0</v>
      </c>
      <c r="J107" s="84">
        <f>Проект!$J$401</f>
        <v>0</v>
      </c>
      <c r="K107" s="84" t="e">
        <f>Проект!#REF!</f>
        <v>#REF!</v>
      </c>
      <c r="L107" s="84" t="e">
        <f>Проект!#REF!</f>
        <v>#REF!</v>
      </c>
      <c r="M107" s="84" t="e">
        <f>Проект!#REF!</f>
        <v>#REF!</v>
      </c>
      <c r="N107" s="84" t="e">
        <f>Проект!#REF!</f>
        <v>#REF!</v>
      </c>
      <c r="O107" s="84" t="e">
        <f>Проект!#REF!</f>
        <v>#REF!</v>
      </c>
      <c r="P107" s="84" t="e">
        <f>Проект!#REF!</f>
        <v>#REF!</v>
      </c>
      <c r="Q107" s="84">
        <f>Проект!$K$401</f>
        <v>0</v>
      </c>
      <c r="R107" s="52"/>
      <c r="S107" s="94">
        <f>Проект!$M$401</f>
        <v>0</v>
      </c>
    </row>
    <row r="108" spans="1:19" hidden="1" x14ac:dyDescent="0.2">
      <c r="A108" s="48" t="str">
        <f ca="1">Проект!$A$402</f>
        <v xml:space="preserve">    общая стоимость актива (без НДС)</v>
      </c>
      <c r="B108" s="312">
        <f>Проект!$B$402</f>
        <v>0</v>
      </c>
      <c r="C108" s="88" t="str">
        <f ca="1">Проект!$C$402</f>
        <v>руб.</v>
      </c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41"/>
    </row>
    <row r="109" spans="1:19" hidden="1" x14ac:dyDescent="0.2">
      <c r="A109" s="48" t="str">
        <f ca="1">Проект!$A$403</f>
        <v xml:space="preserve">    полная сумма вложений в актив (без НДС)</v>
      </c>
      <c r="B109" s="52"/>
      <c r="C109" s="88" t="str">
        <f ca="1">Проект!$C$403</f>
        <v>руб.</v>
      </c>
      <c r="D109" s="52" t="str">
        <f>Проект!$D$403</f>
        <v>1_05; int_end</v>
      </c>
      <c r="E109" s="52"/>
      <c r="F109" s="84">
        <f>Проект!$F$403</f>
        <v>0</v>
      </c>
      <c r="G109" s="84">
        <f>Проект!$G$403</f>
        <v>0</v>
      </c>
      <c r="H109" s="84">
        <f>Проект!$H$403</f>
        <v>0</v>
      </c>
      <c r="I109" s="84">
        <f>Проект!$I$403</f>
        <v>0</v>
      </c>
      <c r="J109" s="84">
        <f>Проект!$J$403</f>
        <v>0</v>
      </c>
      <c r="K109" s="84" t="e">
        <f>Проект!#REF!</f>
        <v>#REF!</v>
      </c>
      <c r="L109" s="84" t="e">
        <f>Проект!#REF!</f>
        <v>#REF!</v>
      </c>
      <c r="M109" s="84" t="e">
        <f>Проект!#REF!</f>
        <v>#REF!</v>
      </c>
      <c r="N109" s="84" t="e">
        <f>Проект!#REF!</f>
        <v>#REF!</v>
      </c>
      <c r="O109" s="84" t="e">
        <f>Проект!#REF!</f>
        <v>#REF!</v>
      </c>
      <c r="P109" s="84" t="e">
        <f>Проект!#REF!</f>
        <v>#REF!</v>
      </c>
      <c r="Q109" s="84">
        <f>Проект!$K$403</f>
        <v>0</v>
      </c>
      <c r="R109" s="52"/>
      <c r="S109" s="94"/>
    </row>
    <row r="110" spans="1:19" hidden="1" x14ac:dyDescent="0.2">
      <c r="A110" s="48" t="str">
        <f ca="1">Проект!$A$404</f>
        <v xml:space="preserve">    полная балансовая стоимость</v>
      </c>
      <c r="B110" s="52"/>
      <c r="C110" s="88" t="str">
        <f ca="1">Проект!$C$404</f>
        <v>руб.</v>
      </c>
      <c r="D110" s="52" t="str">
        <f>Проект!$D$404</f>
        <v>1_06; int_end</v>
      </c>
      <c r="E110" s="52"/>
      <c r="F110" s="84">
        <f ca="1">Проект!$F$404</f>
        <v>0</v>
      </c>
      <c r="G110" s="84">
        <f ca="1">Проект!$G$404</f>
        <v>0</v>
      </c>
      <c r="H110" s="84">
        <f ca="1">Проект!$H$404</f>
        <v>0</v>
      </c>
      <c r="I110" s="84">
        <f ca="1">Проект!$I$404</f>
        <v>0</v>
      </c>
      <c r="J110" s="84">
        <f ca="1">Проект!$J$404</f>
        <v>0</v>
      </c>
      <c r="K110" s="84" t="e">
        <f>Проект!#REF!</f>
        <v>#REF!</v>
      </c>
      <c r="L110" s="84" t="e">
        <f>Проект!#REF!</f>
        <v>#REF!</v>
      </c>
      <c r="M110" s="84" t="e">
        <f>Проект!#REF!</f>
        <v>#REF!</v>
      </c>
      <c r="N110" s="84" t="e">
        <f>Проект!#REF!</f>
        <v>#REF!</v>
      </c>
      <c r="O110" s="84" t="e">
        <f>Проект!#REF!</f>
        <v>#REF!</v>
      </c>
      <c r="P110" s="84" t="e">
        <f>Проект!#REF!</f>
        <v>#REF!</v>
      </c>
      <c r="Q110" s="84">
        <f ca="1">Проект!$K$404</f>
        <v>0</v>
      </c>
      <c r="R110" s="52"/>
      <c r="S110" s="41"/>
    </row>
    <row r="111" spans="1:19" hidden="1" x14ac:dyDescent="0.2">
      <c r="A111" s="48" t="str">
        <f ca="1">Проект!$A$405</f>
        <v xml:space="preserve">    незавершенные инвестиции</v>
      </c>
      <c r="B111" s="52"/>
      <c r="C111" s="88" t="str">
        <f ca="1">Проект!$C$405</f>
        <v>руб.</v>
      </c>
      <c r="D111" s="52" t="str">
        <f>Проект!$D$405</f>
        <v>1_07; int_end</v>
      </c>
      <c r="E111" s="52"/>
      <c r="F111" s="84">
        <f ca="1">Проект!$F$405</f>
        <v>0</v>
      </c>
      <c r="G111" s="84">
        <f ca="1">Проект!$G$405</f>
        <v>0</v>
      </c>
      <c r="H111" s="84">
        <f ca="1">Проект!$H$405</f>
        <v>0</v>
      </c>
      <c r="I111" s="84">
        <f ca="1">Проект!$I$405</f>
        <v>0</v>
      </c>
      <c r="J111" s="84">
        <f ca="1">Проект!$J$405</f>
        <v>0</v>
      </c>
      <c r="K111" s="84" t="e">
        <f>Проект!#REF!</f>
        <v>#REF!</v>
      </c>
      <c r="L111" s="84" t="e">
        <f>Проект!#REF!</f>
        <v>#REF!</v>
      </c>
      <c r="M111" s="84" t="e">
        <f>Проект!#REF!</f>
        <v>#REF!</v>
      </c>
      <c r="N111" s="84" t="e">
        <f>Проект!#REF!</f>
        <v>#REF!</v>
      </c>
      <c r="O111" s="84" t="e">
        <f>Проект!#REF!</f>
        <v>#REF!</v>
      </c>
      <c r="P111" s="84" t="e">
        <f>Проект!#REF!</f>
        <v>#REF!</v>
      </c>
      <c r="Q111" s="84">
        <f ca="1">Проект!$K$405</f>
        <v>0</v>
      </c>
      <c r="R111" s="52"/>
      <c r="S111" s="41"/>
    </row>
    <row r="112" spans="1:19" hidden="1" x14ac:dyDescent="0.2">
      <c r="A112" s="48" t="str">
        <f ca="1">Проект!$A$406</f>
        <v xml:space="preserve">    кредиторская задолженность</v>
      </c>
      <c r="B112" s="52"/>
      <c r="C112" s="88" t="str">
        <f ca="1">Проект!$C$406</f>
        <v>руб.</v>
      </c>
      <c r="D112" s="52" t="str">
        <f>Проект!$D$406</f>
        <v>1_08; int_end</v>
      </c>
      <c r="E112" s="52"/>
      <c r="F112" s="84">
        <f ca="1">Проект!$F$406</f>
        <v>0</v>
      </c>
      <c r="G112" s="84">
        <f ca="1">Проект!$G$406</f>
        <v>0</v>
      </c>
      <c r="H112" s="84">
        <f ca="1">Проект!$H$406</f>
        <v>0</v>
      </c>
      <c r="I112" s="84">
        <f ca="1">Проект!$I$406</f>
        <v>0</v>
      </c>
      <c r="J112" s="84">
        <f ca="1">Проект!$J$406</f>
        <v>0</v>
      </c>
      <c r="K112" s="84" t="e">
        <f>Проект!#REF!</f>
        <v>#REF!</v>
      </c>
      <c r="L112" s="84" t="e">
        <f>Проект!#REF!</f>
        <v>#REF!</v>
      </c>
      <c r="M112" s="84" t="e">
        <f>Проект!#REF!</f>
        <v>#REF!</v>
      </c>
      <c r="N112" s="84" t="e">
        <f>Проект!#REF!</f>
        <v>#REF!</v>
      </c>
      <c r="O112" s="84" t="e">
        <f>Проект!#REF!</f>
        <v>#REF!</v>
      </c>
      <c r="P112" s="84" t="e">
        <f>Проект!#REF!</f>
        <v>#REF!</v>
      </c>
      <c r="Q112" s="84">
        <f ca="1">Проект!$K$406</f>
        <v>0</v>
      </c>
      <c r="R112" s="52"/>
      <c r="S112" s="41"/>
    </row>
    <row r="113" spans="1:19" hidden="1" x14ac:dyDescent="0.2">
      <c r="A113" s="48" t="str">
        <f ca="1">Проект!$A$407</f>
        <v xml:space="preserve">    накопленная амортизация</v>
      </c>
      <c r="B113" s="52"/>
      <c r="C113" s="88" t="str">
        <f ca="1">Проект!$C$407</f>
        <v>руб.</v>
      </c>
      <c r="D113" s="52" t="str">
        <f>Проект!$D$407</f>
        <v>1_09; int_end</v>
      </c>
      <c r="E113" s="52"/>
      <c r="F113" s="84">
        <f ca="1">Проект!$F$407</f>
        <v>0</v>
      </c>
      <c r="G113" s="84">
        <f ca="1">Проект!$G$407</f>
        <v>0</v>
      </c>
      <c r="H113" s="84">
        <f ca="1">Проект!$H$407</f>
        <v>0</v>
      </c>
      <c r="I113" s="84">
        <f ca="1">Проект!$I$407</f>
        <v>0</v>
      </c>
      <c r="J113" s="84">
        <f ca="1">Проект!$J$407</f>
        <v>0</v>
      </c>
      <c r="K113" s="84" t="e">
        <f>Проект!#REF!</f>
        <v>#REF!</v>
      </c>
      <c r="L113" s="84" t="e">
        <f>Проект!#REF!</f>
        <v>#REF!</v>
      </c>
      <c r="M113" s="84" t="e">
        <f>Проект!#REF!</f>
        <v>#REF!</v>
      </c>
      <c r="N113" s="84" t="e">
        <f>Проект!#REF!</f>
        <v>#REF!</v>
      </c>
      <c r="O113" s="84" t="e">
        <f>Проект!#REF!</f>
        <v>#REF!</v>
      </c>
      <c r="P113" s="84" t="e">
        <f>Проект!#REF!</f>
        <v>#REF!</v>
      </c>
      <c r="Q113" s="84">
        <f ca="1">Проект!$K$407</f>
        <v>0</v>
      </c>
      <c r="R113" s="52"/>
      <c r="S113" s="41"/>
    </row>
    <row r="114" spans="1:19" hidden="1" x14ac:dyDescent="0.2">
      <c r="A114" s="48" t="str">
        <f ca="1">Проект!$A$408</f>
        <v xml:space="preserve">    остаточная стоимость</v>
      </c>
      <c r="B114" s="52"/>
      <c r="C114" s="88" t="str">
        <f ca="1">Проект!$C$408</f>
        <v>руб.</v>
      </c>
      <c r="D114" s="52" t="str">
        <f>Проект!$D$408</f>
        <v>1_10; int_end</v>
      </c>
      <c r="E114" s="52"/>
      <c r="F114" s="106">
        <f ca="1">Проект!$F$408</f>
        <v>0</v>
      </c>
      <c r="G114" s="106">
        <f ca="1">Проект!$G$408</f>
        <v>0</v>
      </c>
      <c r="H114" s="106">
        <f ca="1">Проект!$H$408</f>
        <v>0</v>
      </c>
      <c r="I114" s="106">
        <f ca="1">Проект!$I$408</f>
        <v>0</v>
      </c>
      <c r="J114" s="106">
        <f ca="1">Проект!$J$408</f>
        <v>0</v>
      </c>
      <c r="K114" s="106" t="e">
        <f>Проект!#REF!</f>
        <v>#REF!</v>
      </c>
      <c r="L114" s="106" t="e">
        <f>Проект!#REF!</f>
        <v>#REF!</v>
      </c>
      <c r="M114" s="106" t="e">
        <f>Проект!#REF!</f>
        <v>#REF!</v>
      </c>
      <c r="N114" s="106" t="e">
        <f>Проект!#REF!</f>
        <v>#REF!</v>
      </c>
      <c r="O114" s="106" t="e">
        <f>Проект!#REF!</f>
        <v>#REF!</v>
      </c>
      <c r="P114" s="106" t="e">
        <f>Проект!#REF!</f>
        <v>#REF!</v>
      </c>
      <c r="Q114" s="106">
        <f ca="1">Проект!$K$408</f>
        <v>0</v>
      </c>
      <c r="R114" s="52"/>
      <c r="S114" s="41"/>
    </row>
    <row r="115" spans="1:19" hidden="1" x14ac:dyDescent="0.2">
      <c r="A115" s="48" t="str">
        <f ca="1">Проект!$A$409</f>
        <v xml:space="preserve">    НДС к ранее осуществленным инвестициям</v>
      </c>
      <c r="B115" s="345">
        <f>Проект!$B$409</f>
        <v>0</v>
      </c>
      <c r="C115" s="88" t="str">
        <f ca="1">Проект!$C$409</f>
        <v>руб.</v>
      </c>
      <c r="D115" s="52" t="str">
        <f>Проект!$D$409</f>
        <v>1_11</v>
      </c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41"/>
    </row>
    <row r="116" spans="1:19" hidden="1" x14ac:dyDescent="0.2">
      <c r="A116" s="48" t="str">
        <f ca="1">Проект!$A$410</f>
        <v xml:space="preserve">    зачет НДС</v>
      </c>
      <c r="B116" s="52"/>
      <c r="C116" s="88" t="str">
        <f ca="1">Проект!$C$410</f>
        <v>руб.</v>
      </c>
      <c r="D116" s="338" t="str">
        <f>Проект!$D$410</f>
        <v>1_12</v>
      </c>
      <c r="E116" s="52"/>
      <c r="F116" s="83">
        <f ca="1">Проект!$F$410</f>
        <v>0</v>
      </c>
      <c r="G116" s="83">
        <f ca="1">Проект!$G$410</f>
        <v>0</v>
      </c>
      <c r="H116" s="83">
        <f ca="1">Проект!$H$410</f>
        <v>0</v>
      </c>
      <c r="I116" s="83">
        <f ca="1">Проект!$I$410</f>
        <v>0</v>
      </c>
      <c r="J116" s="83">
        <f ca="1">Проект!$J$410</f>
        <v>0</v>
      </c>
      <c r="K116" s="83" t="e">
        <f>Проект!#REF!</f>
        <v>#REF!</v>
      </c>
      <c r="L116" s="83" t="e">
        <f>Проект!#REF!</f>
        <v>#REF!</v>
      </c>
      <c r="M116" s="83" t="e">
        <f>Проект!#REF!</f>
        <v>#REF!</v>
      </c>
      <c r="N116" s="83" t="e">
        <f>Проект!#REF!</f>
        <v>#REF!</v>
      </c>
      <c r="O116" s="83" t="e">
        <f>Проект!#REF!</f>
        <v>#REF!</v>
      </c>
      <c r="P116" s="83" t="e">
        <f>Проект!#REF!</f>
        <v>#REF!</v>
      </c>
      <c r="Q116" s="83">
        <f ca="1">Проект!$K$410</f>
        <v>0</v>
      </c>
      <c r="R116" s="52"/>
      <c r="S116" s="94">
        <f ca="1">Проект!$M$410</f>
        <v>0</v>
      </c>
    </row>
    <row r="117" spans="1:19" hidden="1" x14ac:dyDescent="0.2">
      <c r="A117" s="76" t="str">
        <f ca="1">Проект!$A$411</f>
        <v xml:space="preserve">    реализация актива (без НДС)</v>
      </c>
      <c r="B117" s="339"/>
      <c r="C117" s="340" t="str">
        <f ca="1">Проект!$C$411</f>
        <v>руб.</v>
      </c>
      <c r="D117" s="52" t="str">
        <f>Проект!$D$411</f>
        <v>1_13</v>
      </c>
      <c r="E117" s="339"/>
      <c r="F117" s="341">
        <f>Проект!$F$411</f>
        <v>0</v>
      </c>
      <c r="G117" s="341">
        <f>Проект!$G$411</f>
        <v>0</v>
      </c>
      <c r="H117" s="341">
        <f>Проект!$H$411</f>
        <v>0</v>
      </c>
      <c r="I117" s="341">
        <f>Проект!$I$411</f>
        <v>0</v>
      </c>
      <c r="J117" s="341">
        <f>Проект!$J$411</f>
        <v>0</v>
      </c>
      <c r="K117" s="341" t="e">
        <f>Проект!#REF!</f>
        <v>#REF!</v>
      </c>
      <c r="L117" s="341" t="e">
        <f>Проект!#REF!</f>
        <v>#REF!</v>
      </c>
      <c r="M117" s="341" t="e">
        <f>Проект!#REF!</f>
        <v>#REF!</v>
      </c>
      <c r="N117" s="341" t="e">
        <f>Проект!#REF!</f>
        <v>#REF!</v>
      </c>
      <c r="O117" s="341" t="e">
        <f>Проект!#REF!</f>
        <v>#REF!</v>
      </c>
      <c r="P117" s="341" t="e">
        <f>Проект!#REF!</f>
        <v>#REF!</v>
      </c>
      <c r="Q117" s="341">
        <f>Проект!$K$411</f>
        <v>0</v>
      </c>
      <c r="R117" s="52"/>
      <c r="S117" s="94">
        <f>Проект!$M$411</f>
        <v>0</v>
      </c>
    </row>
    <row r="118" spans="1:19" hidden="1" x14ac:dyDescent="0.2">
      <c r="A118" s="45" t="str">
        <f ca="1">Проект!$A$412</f>
        <v xml:space="preserve">    прибыль/убыток от реализации актива</v>
      </c>
      <c r="B118" s="128"/>
      <c r="C118" s="342" t="str">
        <f ca="1">Проект!$C$412</f>
        <v>руб.</v>
      </c>
      <c r="D118" s="52" t="str">
        <f>Проект!$D$412</f>
        <v>1_14</v>
      </c>
      <c r="E118" s="128"/>
      <c r="F118" s="83">
        <f>Проект!$F$412</f>
        <v>0</v>
      </c>
      <c r="G118" s="83">
        <f>Проект!$G$412</f>
        <v>0</v>
      </c>
      <c r="H118" s="83">
        <f>Проект!$H$412</f>
        <v>0</v>
      </c>
      <c r="I118" s="83">
        <f>Проект!$I$412</f>
        <v>0</v>
      </c>
      <c r="J118" s="83">
        <f>Проект!$J$412</f>
        <v>0</v>
      </c>
      <c r="K118" s="83" t="e">
        <f>Проект!#REF!</f>
        <v>#REF!</v>
      </c>
      <c r="L118" s="83" t="e">
        <f>Проект!#REF!</f>
        <v>#REF!</v>
      </c>
      <c r="M118" s="83" t="e">
        <f>Проект!#REF!</f>
        <v>#REF!</v>
      </c>
      <c r="N118" s="83" t="e">
        <f>Проект!#REF!</f>
        <v>#REF!</v>
      </c>
      <c r="O118" s="83" t="e">
        <f>Проект!#REF!</f>
        <v>#REF!</v>
      </c>
      <c r="P118" s="83" t="e">
        <f>Проект!#REF!</f>
        <v>#REF!</v>
      </c>
      <c r="Q118" s="83">
        <f>Проект!$K$412</f>
        <v>0</v>
      </c>
      <c r="R118" s="52"/>
      <c r="S118" s="94">
        <f>Проект!$M$412</f>
        <v>0</v>
      </c>
    </row>
    <row r="119" spans="1:19" hidden="1" x14ac:dyDescent="0.2">
      <c r="A119" s="48" t="str">
        <f ca="1">Проект!$A$413</f>
        <v xml:space="preserve">    НДС к выручке от реализации актива</v>
      </c>
      <c r="B119" s="344">
        <f>Проект!$B$413</f>
        <v>0</v>
      </c>
      <c r="C119" s="88" t="str">
        <f ca="1">Проект!$C$413</f>
        <v>руб.</v>
      </c>
      <c r="D119" s="52" t="str">
        <f>Проект!$D$413</f>
        <v>1_15</v>
      </c>
      <c r="E119" s="52"/>
      <c r="F119" s="48">
        <f>Проект!$F$413</f>
        <v>0</v>
      </c>
      <c r="G119" s="48">
        <f>Проект!$G$413</f>
        <v>0</v>
      </c>
      <c r="H119" s="48">
        <f>Проект!$H$413</f>
        <v>0</v>
      </c>
      <c r="I119" s="48">
        <f>Проект!$I$413</f>
        <v>0</v>
      </c>
      <c r="J119" s="48">
        <f>Проект!$J$413</f>
        <v>0</v>
      </c>
      <c r="K119" s="48" t="e">
        <f>Проект!#REF!</f>
        <v>#REF!</v>
      </c>
      <c r="L119" s="48" t="e">
        <f>Проект!#REF!</f>
        <v>#REF!</v>
      </c>
      <c r="M119" s="48" t="e">
        <f>Проект!#REF!</f>
        <v>#REF!</v>
      </c>
      <c r="N119" s="48" t="e">
        <f>Проект!#REF!</f>
        <v>#REF!</v>
      </c>
      <c r="O119" s="48" t="e">
        <f>Проект!#REF!</f>
        <v>#REF!</v>
      </c>
      <c r="P119" s="48" t="e">
        <f>Проект!#REF!</f>
        <v>#REF!</v>
      </c>
      <c r="Q119" s="48">
        <f>Проект!$K$413</f>
        <v>0</v>
      </c>
      <c r="R119" s="52"/>
      <c r="S119" s="94">
        <f>Проект!$M$413</f>
        <v>0</v>
      </c>
    </row>
    <row r="120" spans="1:19" ht="11.25" customHeight="1" x14ac:dyDescent="0.2">
      <c r="A120" s="130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41"/>
    </row>
    <row r="121" spans="1:19" ht="11.25" customHeight="1" x14ac:dyDescent="0.2">
      <c r="A121" s="130" t="str">
        <f ca="1">Проект!$A$415</f>
        <v>Финансовые вложения</v>
      </c>
      <c r="B121" s="48"/>
      <c r="C121" s="48"/>
      <c r="D121" s="48">
        <f>Проект!$D$415</f>
        <v>1</v>
      </c>
      <c r="E121" s="48">
        <f>Проект!$E$415</f>
        <v>15</v>
      </c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1"/>
    </row>
    <row r="122" spans="1:19" ht="11.25" customHeight="1" x14ac:dyDescent="0.2">
      <c r="A122" s="333" t="str">
        <f ca="1">Проект!$A$416</f>
        <v>Наименование</v>
      </c>
      <c r="B122" s="197" t="str">
        <f ca="1">Проект!$B$416</f>
        <v>Валюта</v>
      </c>
      <c r="C122" s="52"/>
      <c r="D122" s="52"/>
      <c r="E122" s="5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52"/>
      <c r="S122" s="92"/>
    </row>
    <row r="123" spans="1:19" ht="11.25" customHeight="1" x14ac:dyDescent="0.2">
      <c r="A123" s="48" t="str">
        <f ca="1">Проект!$A$417</f>
        <v xml:space="preserve">    величина платежей</v>
      </c>
      <c r="B123" s="334">
        <f>Проект!$B$417</f>
        <v>1</v>
      </c>
      <c r="C123" s="88" t="str">
        <f ca="1">Проект!$C$417</f>
        <v>руб.</v>
      </c>
      <c r="D123" s="101" t="str">
        <f>Проект!$D$417</f>
        <v>1_00</v>
      </c>
      <c r="E123" s="52"/>
      <c r="F123" s="335">
        <f>Проект!$F$417</f>
        <v>0</v>
      </c>
      <c r="G123" s="335">
        <f>Проект!$G$417</f>
        <v>0</v>
      </c>
      <c r="H123" s="335">
        <f>Проект!$H$417</f>
        <v>0</v>
      </c>
      <c r="I123" s="335">
        <f>Проект!$I$417</f>
        <v>0</v>
      </c>
      <c r="J123" s="335">
        <f>Проект!$J$417</f>
        <v>0</v>
      </c>
      <c r="K123" s="335" t="e">
        <f>Проект!#REF!</f>
        <v>#REF!</v>
      </c>
      <c r="L123" s="335" t="e">
        <f>Проект!#REF!</f>
        <v>#REF!</v>
      </c>
      <c r="M123" s="335" t="e">
        <f>Проект!#REF!</f>
        <v>#REF!</v>
      </c>
      <c r="N123" s="335" t="e">
        <f>Проект!#REF!</f>
        <v>#REF!</v>
      </c>
      <c r="O123" s="335" t="e">
        <f>Проект!#REF!</f>
        <v>#REF!</v>
      </c>
      <c r="P123" s="335" t="e">
        <f>Проект!#REF!</f>
        <v>#REF!</v>
      </c>
      <c r="Q123" s="335">
        <f>Проект!$K$417</f>
        <v>0</v>
      </c>
      <c r="R123" s="52"/>
      <c r="S123" s="94">
        <f>Проект!$M$417</f>
        <v>0</v>
      </c>
    </row>
    <row r="124" spans="1:19" hidden="1" x14ac:dyDescent="0.2">
      <c r="A124" s="48" t="str">
        <f ca="1">Проект!$A$418</f>
        <v xml:space="preserve">    поставить на баланс с</v>
      </c>
      <c r="B124" s="337">
        <f ca="1">Проект!$B$418</f>
        <v>1</v>
      </c>
      <c r="C124" s="88" t="str">
        <f ca="1">Проект!$C$418</f>
        <v>периода</v>
      </c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41"/>
    </row>
    <row r="125" spans="1:19" hidden="1" x14ac:dyDescent="0.2">
      <c r="A125" s="48" t="str">
        <f ca="1">Проект!$A$419</f>
        <v xml:space="preserve">    выплаченный НДС</v>
      </c>
      <c r="B125" s="344">
        <f>Проект!$B$419</f>
        <v>0</v>
      </c>
      <c r="C125" s="88" t="str">
        <f ca="1">Проект!$C$419</f>
        <v>руб.</v>
      </c>
      <c r="D125" s="52" t="str">
        <f>Проект!$D$419</f>
        <v>1_04</v>
      </c>
      <c r="E125" s="52"/>
      <c r="F125" s="83">
        <f>Проект!$F$419</f>
        <v>0</v>
      </c>
      <c r="G125" s="83">
        <f>Проект!$G$419</f>
        <v>0</v>
      </c>
      <c r="H125" s="83">
        <f>Проект!$H$419</f>
        <v>0</v>
      </c>
      <c r="I125" s="83">
        <f>Проект!$I$419</f>
        <v>0</v>
      </c>
      <c r="J125" s="83">
        <f>Проект!$J$419</f>
        <v>0</v>
      </c>
      <c r="K125" s="83" t="e">
        <f>Проект!#REF!</f>
        <v>#REF!</v>
      </c>
      <c r="L125" s="83" t="e">
        <f>Проект!#REF!</f>
        <v>#REF!</v>
      </c>
      <c r="M125" s="83" t="e">
        <f>Проект!#REF!</f>
        <v>#REF!</v>
      </c>
      <c r="N125" s="83" t="e">
        <f>Проект!#REF!</f>
        <v>#REF!</v>
      </c>
      <c r="O125" s="83" t="e">
        <f>Проект!#REF!</f>
        <v>#REF!</v>
      </c>
      <c r="P125" s="83" t="e">
        <f>Проект!#REF!</f>
        <v>#REF!</v>
      </c>
      <c r="Q125" s="83">
        <f>Проект!$K$419</f>
        <v>0</v>
      </c>
      <c r="R125" s="52"/>
      <c r="S125" s="94">
        <f>Проект!$M$419</f>
        <v>0</v>
      </c>
    </row>
    <row r="126" spans="1:19" hidden="1" x14ac:dyDescent="0.2">
      <c r="A126" s="52" t="str">
        <f ca="1">Проект!$A$420</f>
        <v xml:space="preserve">    доходность финансовых вложений</v>
      </c>
      <c r="B126" s="344">
        <f>Проект!$B$420</f>
        <v>0.1</v>
      </c>
      <c r="C126" s="73" t="str">
        <f ca="1">Проект!$C$420</f>
        <v>руб.</v>
      </c>
      <c r="D126" s="48" t="str">
        <f>Проект!$D$420</f>
        <v>1_16</v>
      </c>
      <c r="E126" s="48"/>
      <c r="F126" s="341">
        <f ca="1">Проект!$F$420</f>
        <v>0</v>
      </c>
      <c r="G126" s="341">
        <f ca="1">Проект!$G$420</f>
        <v>0</v>
      </c>
      <c r="H126" s="341">
        <f ca="1">Проект!$H$420</f>
        <v>0</v>
      </c>
      <c r="I126" s="341">
        <f ca="1">Проект!$I$420</f>
        <v>0</v>
      </c>
      <c r="J126" s="341">
        <f ca="1">Проект!$J$420</f>
        <v>0</v>
      </c>
      <c r="K126" s="341" t="e">
        <f>Проект!#REF!</f>
        <v>#REF!</v>
      </c>
      <c r="L126" s="341" t="e">
        <f>Проект!#REF!</f>
        <v>#REF!</v>
      </c>
      <c r="M126" s="341" t="e">
        <f>Проект!#REF!</f>
        <v>#REF!</v>
      </c>
      <c r="N126" s="341" t="e">
        <f>Проект!#REF!</f>
        <v>#REF!</v>
      </c>
      <c r="O126" s="341" t="e">
        <f>Проект!#REF!</f>
        <v>#REF!</v>
      </c>
      <c r="P126" s="341" t="e">
        <f>Проект!#REF!</f>
        <v>#REF!</v>
      </c>
      <c r="Q126" s="341">
        <f ca="1">Проект!$K$420</f>
        <v>0</v>
      </c>
      <c r="R126" s="48"/>
      <c r="S126" s="94">
        <f ca="1">Проект!$M$420</f>
        <v>0</v>
      </c>
    </row>
    <row r="127" spans="1:19" hidden="1" x14ac:dyDescent="0.2">
      <c r="A127" s="48" t="str">
        <f ca="1">Проект!$A$421</f>
        <v xml:space="preserve">    сумма платежей без НДС</v>
      </c>
      <c r="B127" s="52"/>
      <c r="C127" s="88" t="str">
        <f ca="1">Проект!$C$421</f>
        <v>руб.</v>
      </c>
      <c r="D127" s="52" t="str">
        <f>Проект!$D$421</f>
        <v>1_01</v>
      </c>
      <c r="E127" s="52"/>
      <c r="F127" s="84">
        <f>Проект!$F$421</f>
        <v>0</v>
      </c>
      <c r="G127" s="84">
        <f>Проект!$G$421</f>
        <v>0</v>
      </c>
      <c r="H127" s="84">
        <f>Проект!$H$421</f>
        <v>0</v>
      </c>
      <c r="I127" s="84">
        <f>Проект!$I$421</f>
        <v>0</v>
      </c>
      <c r="J127" s="84">
        <f>Проект!$J$421</f>
        <v>0</v>
      </c>
      <c r="K127" s="84" t="e">
        <f>Проект!#REF!</f>
        <v>#REF!</v>
      </c>
      <c r="L127" s="84" t="e">
        <f>Проект!#REF!</f>
        <v>#REF!</v>
      </c>
      <c r="M127" s="84" t="e">
        <f>Проект!#REF!</f>
        <v>#REF!</v>
      </c>
      <c r="N127" s="84" t="e">
        <f>Проект!#REF!</f>
        <v>#REF!</v>
      </c>
      <c r="O127" s="84" t="e">
        <f>Проект!#REF!</f>
        <v>#REF!</v>
      </c>
      <c r="P127" s="84" t="e">
        <f>Проект!#REF!</f>
        <v>#REF!</v>
      </c>
      <c r="Q127" s="84">
        <f>Проект!$K$421</f>
        <v>0</v>
      </c>
      <c r="R127" s="52"/>
      <c r="S127" s="94">
        <f>Проект!$M$421</f>
        <v>0</v>
      </c>
    </row>
    <row r="128" spans="1:19" hidden="1" x14ac:dyDescent="0.2">
      <c r="A128" s="48" t="str">
        <f ca="1">Проект!$A$422</f>
        <v xml:space="preserve">    общая стоимость актива (без НДС)</v>
      </c>
      <c r="B128" s="312">
        <f>Проект!$B$422</f>
        <v>0</v>
      </c>
      <c r="C128" s="88" t="str">
        <f ca="1">Проект!$C$422</f>
        <v>руб.</v>
      </c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41"/>
    </row>
    <row r="129" spans="1:19" hidden="1" x14ac:dyDescent="0.2">
      <c r="A129" s="48" t="str">
        <f ca="1">Проект!$A$423</f>
        <v xml:space="preserve">    полная сумма вложений в актив (без НДС)</v>
      </c>
      <c r="B129" s="52"/>
      <c r="C129" s="88" t="str">
        <f ca="1">Проект!$C$423</f>
        <v>руб.</v>
      </c>
      <c r="D129" s="52" t="str">
        <f>Проект!$D$423</f>
        <v>1_05; int_end</v>
      </c>
      <c r="E129" s="52"/>
      <c r="F129" s="84">
        <f>Проект!$F$423</f>
        <v>0</v>
      </c>
      <c r="G129" s="84">
        <f>Проект!$G$423</f>
        <v>0</v>
      </c>
      <c r="H129" s="84">
        <f>Проект!$H$423</f>
        <v>0</v>
      </c>
      <c r="I129" s="84">
        <f>Проект!$I$423</f>
        <v>0</v>
      </c>
      <c r="J129" s="84">
        <f>Проект!$J$423</f>
        <v>0</v>
      </c>
      <c r="K129" s="84" t="e">
        <f>Проект!#REF!</f>
        <v>#REF!</v>
      </c>
      <c r="L129" s="84" t="e">
        <f>Проект!#REF!</f>
        <v>#REF!</v>
      </c>
      <c r="M129" s="84" t="e">
        <f>Проект!#REF!</f>
        <v>#REF!</v>
      </c>
      <c r="N129" s="84" t="e">
        <f>Проект!#REF!</f>
        <v>#REF!</v>
      </c>
      <c r="O129" s="84" t="e">
        <f>Проект!#REF!</f>
        <v>#REF!</v>
      </c>
      <c r="P129" s="84" t="e">
        <f>Проект!#REF!</f>
        <v>#REF!</v>
      </c>
      <c r="Q129" s="84">
        <f>Проект!$K$423</f>
        <v>0</v>
      </c>
      <c r="R129" s="52"/>
      <c r="S129" s="94"/>
    </row>
    <row r="130" spans="1:19" hidden="1" x14ac:dyDescent="0.2">
      <c r="A130" s="48" t="str">
        <f ca="1">Проект!$A$424</f>
        <v xml:space="preserve">    полная балансовая стоимость</v>
      </c>
      <c r="B130" s="52"/>
      <c r="C130" s="88" t="str">
        <f ca="1">Проект!$C$424</f>
        <v>руб.</v>
      </c>
      <c r="D130" s="52" t="str">
        <f>Проект!$D$424</f>
        <v>1_06; int_end</v>
      </c>
      <c r="E130" s="52"/>
      <c r="F130" s="84">
        <f ca="1">Проект!$F$424</f>
        <v>0</v>
      </c>
      <c r="G130" s="84">
        <f ca="1">Проект!$G$424</f>
        <v>0</v>
      </c>
      <c r="H130" s="84">
        <f ca="1">Проект!$H$424</f>
        <v>0</v>
      </c>
      <c r="I130" s="84">
        <f ca="1">Проект!$I$424</f>
        <v>0</v>
      </c>
      <c r="J130" s="84">
        <f ca="1">Проект!$J$424</f>
        <v>0</v>
      </c>
      <c r="K130" s="84" t="e">
        <f>Проект!#REF!</f>
        <v>#REF!</v>
      </c>
      <c r="L130" s="84" t="e">
        <f>Проект!#REF!</f>
        <v>#REF!</v>
      </c>
      <c r="M130" s="84" t="e">
        <f>Проект!#REF!</f>
        <v>#REF!</v>
      </c>
      <c r="N130" s="84" t="e">
        <f>Проект!#REF!</f>
        <v>#REF!</v>
      </c>
      <c r="O130" s="84" t="e">
        <f>Проект!#REF!</f>
        <v>#REF!</v>
      </c>
      <c r="P130" s="84" t="e">
        <f>Проект!#REF!</f>
        <v>#REF!</v>
      </c>
      <c r="Q130" s="84">
        <f ca="1">Проект!$K$424</f>
        <v>0</v>
      </c>
      <c r="R130" s="52"/>
      <c r="S130" s="41"/>
    </row>
    <row r="131" spans="1:19" hidden="1" x14ac:dyDescent="0.2">
      <c r="A131" s="48" t="str">
        <f ca="1">Проект!$A$425</f>
        <v xml:space="preserve">    авансы выданные</v>
      </c>
      <c r="B131" s="52"/>
      <c r="C131" s="88" t="str">
        <f ca="1">Проект!$C$425</f>
        <v>руб.</v>
      </c>
      <c r="D131" s="52" t="str">
        <f>Проект!$D$425</f>
        <v>1_17; int_end</v>
      </c>
      <c r="E131" s="52"/>
      <c r="F131" s="84">
        <f ca="1">Проект!$F$425</f>
        <v>0</v>
      </c>
      <c r="G131" s="84">
        <f ca="1">Проект!$G$425</f>
        <v>0</v>
      </c>
      <c r="H131" s="84">
        <f ca="1">Проект!$H$425</f>
        <v>0</v>
      </c>
      <c r="I131" s="84">
        <f ca="1">Проект!$I$425</f>
        <v>0</v>
      </c>
      <c r="J131" s="84">
        <f ca="1">Проект!$J$425</f>
        <v>0</v>
      </c>
      <c r="K131" s="84" t="e">
        <f>Проект!#REF!</f>
        <v>#REF!</v>
      </c>
      <c r="L131" s="84" t="e">
        <f>Проект!#REF!</f>
        <v>#REF!</v>
      </c>
      <c r="M131" s="84" t="e">
        <f>Проект!#REF!</f>
        <v>#REF!</v>
      </c>
      <c r="N131" s="84" t="e">
        <f>Проект!#REF!</f>
        <v>#REF!</v>
      </c>
      <c r="O131" s="84" t="e">
        <f>Проект!#REF!</f>
        <v>#REF!</v>
      </c>
      <c r="P131" s="84" t="e">
        <f>Проект!#REF!</f>
        <v>#REF!</v>
      </c>
      <c r="Q131" s="84">
        <f ca="1">Проект!$K$425</f>
        <v>0</v>
      </c>
      <c r="R131" s="52"/>
      <c r="S131" s="41"/>
    </row>
    <row r="132" spans="1:19" hidden="1" x14ac:dyDescent="0.2">
      <c r="A132" s="48" t="str">
        <f ca="1">Проект!$A$426</f>
        <v xml:space="preserve">    кредиторская задолженность</v>
      </c>
      <c r="B132" s="52"/>
      <c r="C132" s="88" t="str">
        <f ca="1">Проект!$C$426</f>
        <v>руб.</v>
      </c>
      <c r="D132" s="52" t="str">
        <f>Проект!$D$426</f>
        <v>1_08; int_end</v>
      </c>
      <c r="E132" s="52"/>
      <c r="F132" s="84">
        <f ca="1">Проект!$F$426</f>
        <v>0</v>
      </c>
      <c r="G132" s="84">
        <f ca="1">Проект!$G$426</f>
        <v>0</v>
      </c>
      <c r="H132" s="84">
        <f ca="1">Проект!$H$426</f>
        <v>0</v>
      </c>
      <c r="I132" s="84">
        <f ca="1">Проект!$I$426</f>
        <v>0</v>
      </c>
      <c r="J132" s="84">
        <f ca="1">Проект!$J$426</f>
        <v>0</v>
      </c>
      <c r="K132" s="84" t="e">
        <f>Проект!#REF!</f>
        <v>#REF!</v>
      </c>
      <c r="L132" s="84" t="e">
        <f>Проект!#REF!</f>
        <v>#REF!</v>
      </c>
      <c r="M132" s="84" t="e">
        <f>Проект!#REF!</f>
        <v>#REF!</v>
      </c>
      <c r="N132" s="84" t="e">
        <f>Проект!#REF!</f>
        <v>#REF!</v>
      </c>
      <c r="O132" s="84" t="e">
        <f>Проект!#REF!</f>
        <v>#REF!</v>
      </c>
      <c r="P132" s="84" t="e">
        <f>Проект!#REF!</f>
        <v>#REF!</v>
      </c>
      <c r="Q132" s="84">
        <f ca="1">Проект!$K$426</f>
        <v>0</v>
      </c>
      <c r="R132" s="52"/>
      <c r="S132" s="41"/>
    </row>
    <row r="133" spans="1:19" hidden="1" x14ac:dyDescent="0.2">
      <c r="A133" s="48" t="str">
        <f ca="1">Проект!$A$427</f>
        <v xml:space="preserve">    зачет НДС</v>
      </c>
      <c r="B133" s="52"/>
      <c r="C133" s="88" t="str">
        <f ca="1">Проект!$C$427</f>
        <v>руб.</v>
      </c>
      <c r="D133" s="338" t="str">
        <f>Проект!$D$427</f>
        <v>1_12</v>
      </c>
      <c r="E133" s="52"/>
      <c r="F133" s="83">
        <f ca="1">Проект!$F$427</f>
        <v>0</v>
      </c>
      <c r="G133" s="83">
        <f ca="1">Проект!$G$427</f>
        <v>0</v>
      </c>
      <c r="H133" s="83">
        <f ca="1">Проект!$H$427</f>
        <v>0</v>
      </c>
      <c r="I133" s="83">
        <f ca="1">Проект!$I$427</f>
        <v>0</v>
      </c>
      <c r="J133" s="83">
        <f ca="1">Проект!$J$427</f>
        <v>0</v>
      </c>
      <c r="K133" s="83" t="e">
        <f>Проект!#REF!</f>
        <v>#REF!</v>
      </c>
      <c r="L133" s="83" t="e">
        <f>Проект!#REF!</f>
        <v>#REF!</v>
      </c>
      <c r="M133" s="83" t="e">
        <f>Проект!#REF!</f>
        <v>#REF!</v>
      </c>
      <c r="N133" s="83" t="e">
        <f>Проект!#REF!</f>
        <v>#REF!</v>
      </c>
      <c r="O133" s="83" t="e">
        <f>Проект!#REF!</f>
        <v>#REF!</v>
      </c>
      <c r="P133" s="83" t="e">
        <f>Проект!#REF!</f>
        <v>#REF!</v>
      </c>
      <c r="Q133" s="83">
        <f ca="1">Проект!$K$427</f>
        <v>0</v>
      </c>
      <c r="R133" s="52"/>
      <c r="S133" s="94">
        <f ca="1">Проект!$M$427</f>
        <v>0</v>
      </c>
    </row>
    <row r="134" spans="1:19" hidden="1" x14ac:dyDescent="0.2">
      <c r="A134" s="76" t="str">
        <f ca="1">Проект!$A$428</f>
        <v xml:space="preserve">    реализация актива (без НДС)</v>
      </c>
      <c r="B134" s="339"/>
      <c r="C134" s="340" t="str">
        <f ca="1">Проект!$C$428</f>
        <v>руб.</v>
      </c>
      <c r="D134" s="52" t="str">
        <f>Проект!$D$428</f>
        <v>1_13</v>
      </c>
      <c r="E134" s="339"/>
      <c r="F134" s="341">
        <f>Проект!$F$428</f>
        <v>0</v>
      </c>
      <c r="G134" s="341">
        <f>Проект!$G$428</f>
        <v>0</v>
      </c>
      <c r="H134" s="341">
        <f>Проект!$H$428</f>
        <v>0</v>
      </c>
      <c r="I134" s="341">
        <f>Проект!$I$428</f>
        <v>0</v>
      </c>
      <c r="J134" s="341">
        <f>Проект!$J$428</f>
        <v>0</v>
      </c>
      <c r="K134" s="341" t="e">
        <f>Проект!#REF!</f>
        <v>#REF!</v>
      </c>
      <c r="L134" s="341" t="e">
        <f>Проект!#REF!</f>
        <v>#REF!</v>
      </c>
      <c r="M134" s="341" t="e">
        <f>Проект!#REF!</f>
        <v>#REF!</v>
      </c>
      <c r="N134" s="341" t="e">
        <f>Проект!#REF!</f>
        <v>#REF!</v>
      </c>
      <c r="O134" s="341" t="e">
        <f>Проект!#REF!</f>
        <v>#REF!</v>
      </c>
      <c r="P134" s="341" t="e">
        <f>Проект!#REF!</f>
        <v>#REF!</v>
      </c>
      <c r="Q134" s="341">
        <f>Проект!$K$428</f>
        <v>0</v>
      </c>
      <c r="R134" s="52"/>
      <c r="S134" s="94">
        <f>Проект!$M$428</f>
        <v>0</v>
      </c>
    </row>
    <row r="135" spans="1:19" hidden="1" x14ac:dyDescent="0.2">
      <c r="A135" s="45" t="str">
        <f ca="1">Проект!$A$429</f>
        <v xml:space="preserve">    прибыль/убыток от реализации актива</v>
      </c>
      <c r="B135" s="128"/>
      <c r="C135" s="342" t="str">
        <f ca="1">Проект!$C$429</f>
        <v>руб.</v>
      </c>
      <c r="D135" s="52" t="str">
        <f>Проект!$D$429</f>
        <v>1_14</v>
      </c>
      <c r="E135" s="128"/>
      <c r="F135" s="83">
        <f>Проект!$F$429</f>
        <v>0</v>
      </c>
      <c r="G135" s="83">
        <f>Проект!$G$429</f>
        <v>0</v>
      </c>
      <c r="H135" s="83">
        <f>Проект!$H$429</f>
        <v>0</v>
      </c>
      <c r="I135" s="83">
        <f>Проект!$I$429</f>
        <v>0</v>
      </c>
      <c r="J135" s="83">
        <f>Проект!$J$429</f>
        <v>0</v>
      </c>
      <c r="K135" s="83" t="e">
        <f>Проект!#REF!</f>
        <v>#REF!</v>
      </c>
      <c r="L135" s="83" t="e">
        <f>Проект!#REF!</f>
        <v>#REF!</v>
      </c>
      <c r="M135" s="83" t="e">
        <f>Проект!#REF!</f>
        <v>#REF!</v>
      </c>
      <c r="N135" s="83" t="e">
        <f>Проект!#REF!</f>
        <v>#REF!</v>
      </c>
      <c r="O135" s="83" t="e">
        <f>Проект!#REF!</f>
        <v>#REF!</v>
      </c>
      <c r="P135" s="83" t="e">
        <f>Проект!#REF!</f>
        <v>#REF!</v>
      </c>
      <c r="Q135" s="83">
        <f>Проект!$K$429</f>
        <v>0</v>
      </c>
      <c r="R135" s="52"/>
      <c r="S135" s="94">
        <f>Проект!$M$429</f>
        <v>0</v>
      </c>
    </row>
    <row r="136" spans="1:19" hidden="1" x14ac:dyDescent="0.2">
      <c r="A136" s="48" t="str">
        <f ca="1">Проект!$A$430</f>
        <v xml:space="preserve">    НДС к выручке от реализации актива</v>
      </c>
      <c r="B136" s="344">
        <f>Проект!$B$430</f>
        <v>0</v>
      </c>
      <c r="C136" s="88" t="str">
        <f ca="1">Проект!$C$430</f>
        <v>руб.</v>
      </c>
      <c r="D136" s="52" t="str">
        <f>Проект!$D$430</f>
        <v>1_15</v>
      </c>
      <c r="E136" s="52"/>
      <c r="F136" s="48">
        <f>Проект!$F$430</f>
        <v>0</v>
      </c>
      <c r="G136" s="48">
        <f>Проект!$G$430</f>
        <v>0</v>
      </c>
      <c r="H136" s="48">
        <f>Проект!$H$430</f>
        <v>0</v>
      </c>
      <c r="I136" s="48">
        <f>Проект!$I$430</f>
        <v>0</v>
      </c>
      <c r="J136" s="48">
        <f>Проект!$J$430</f>
        <v>0</v>
      </c>
      <c r="K136" s="48" t="e">
        <f>Проект!#REF!</f>
        <v>#REF!</v>
      </c>
      <c r="L136" s="48" t="e">
        <f>Проект!#REF!</f>
        <v>#REF!</v>
      </c>
      <c r="M136" s="48" t="e">
        <f>Проект!#REF!</f>
        <v>#REF!</v>
      </c>
      <c r="N136" s="48" t="e">
        <f>Проект!#REF!</f>
        <v>#REF!</v>
      </c>
      <c r="O136" s="48" t="e">
        <f>Проект!#REF!</f>
        <v>#REF!</v>
      </c>
      <c r="P136" s="48" t="e">
        <f>Проект!#REF!</f>
        <v>#REF!</v>
      </c>
      <c r="Q136" s="48">
        <f>Проект!$K$430</f>
        <v>0</v>
      </c>
      <c r="R136" s="52"/>
      <c r="S136" s="94">
        <f>Проект!$M$430</f>
        <v>0</v>
      </c>
    </row>
    <row r="137" spans="1:19" ht="11.25" customHeight="1" x14ac:dyDescent="0.2">
      <c r="A137" s="333" t="e">
        <f>Проект!#REF!</f>
        <v>#REF!</v>
      </c>
      <c r="B137" s="197" t="e">
        <f>Проект!#REF!</f>
        <v>#REF!</v>
      </c>
      <c r="C137" s="52"/>
      <c r="D137" s="52"/>
      <c r="E137" s="5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52"/>
      <c r="S137" s="92"/>
    </row>
    <row r="138" spans="1:19" ht="11.25" customHeight="1" x14ac:dyDescent="0.2">
      <c r="A138" s="48" t="e">
        <f>Проект!#REF!</f>
        <v>#REF!</v>
      </c>
      <c r="B138" s="334" t="e">
        <f>Проект!#REF!</f>
        <v>#REF!</v>
      </c>
      <c r="C138" s="88" t="e">
        <f>Проект!#REF!</f>
        <v>#REF!</v>
      </c>
      <c r="D138" s="101" t="e">
        <f>Проект!#REF!</f>
        <v>#REF!</v>
      </c>
      <c r="E138" s="52"/>
      <c r="F138" s="335" t="e">
        <f>Проект!#REF!</f>
        <v>#REF!</v>
      </c>
      <c r="G138" s="335" t="e">
        <f>Проект!#REF!</f>
        <v>#REF!</v>
      </c>
      <c r="H138" s="335" t="e">
        <f>Проект!#REF!</f>
        <v>#REF!</v>
      </c>
      <c r="I138" s="335" t="e">
        <f>Проект!#REF!</f>
        <v>#REF!</v>
      </c>
      <c r="J138" s="335" t="e">
        <f>Проект!#REF!</f>
        <v>#REF!</v>
      </c>
      <c r="K138" s="335" t="e">
        <f>Проект!#REF!</f>
        <v>#REF!</v>
      </c>
      <c r="L138" s="335" t="e">
        <f>Проект!#REF!</f>
        <v>#REF!</v>
      </c>
      <c r="M138" s="335" t="e">
        <f>Проект!#REF!</f>
        <v>#REF!</v>
      </c>
      <c r="N138" s="335" t="e">
        <f>Проект!#REF!</f>
        <v>#REF!</v>
      </c>
      <c r="O138" s="335" t="e">
        <f>Проект!#REF!</f>
        <v>#REF!</v>
      </c>
      <c r="P138" s="335" t="e">
        <f>Проект!#REF!</f>
        <v>#REF!</v>
      </c>
      <c r="Q138" s="335" t="e">
        <f>Проект!#REF!</f>
        <v>#REF!</v>
      </c>
      <c r="R138" s="52"/>
      <c r="S138" s="94" t="e">
        <f>Проект!#REF!</f>
        <v>#REF!</v>
      </c>
    </row>
    <row r="139" spans="1:19" hidden="1" x14ac:dyDescent="0.2">
      <c r="A139" s="48" t="e">
        <f>Проект!#REF!</f>
        <v>#REF!</v>
      </c>
      <c r="B139" s="337" t="e">
        <f>Проект!#REF!</f>
        <v>#REF!</v>
      </c>
      <c r="C139" s="88" t="e">
        <f>Проект!#REF!</f>
        <v>#REF!</v>
      </c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41"/>
    </row>
    <row r="140" spans="1:19" hidden="1" x14ac:dyDescent="0.2">
      <c r="A140" s="48" t="e">
        <f>Проект!#REF!</f>
        <v>#REF!</v>
      </c>
      <c r="B140" s="344" t="e">
        <f>Проект!#REF!</f>
        <v>#REF!</v>
      </c>
      <c r="C140" s="88" t="e">
        <f>Проект!#REF!</f>
        <v>#REF!</v>
      </c>
      <c r="D140" s="52" t="e">
        <f>Проект!#REF!</f>
        <v>#REF!</v>
      </c>
      <c r="E140" s="52"/>
      <c r="F140" s="83" t="e">
        <f>Проект!#REF!</f>
        <v>#REF!</v>
      </c>
      <c r="G140" s="83" t="e">
        <f>Проект!#REF!</f>
        <v>#REF!</v>
      </c>
      <c r="H140" s="83" t="e">
        <f>Проект!#REF!</f>
        <v>#REF!</v>
      </c>
      <c r="I140" s="83" t="e">
        <f>Проект!#REF!</f>
        <v>#REF!</v>
      </c>
      <c r="J140" s="83" t="e">
        <f>Проект!#REF!</f>
        <v>#REF!</v>
      </c>
      <c r="K140" s="83" t="e">
        <f>Проект!#REF!</f>
        <v>#REF!</v>
      </c>
      <c r="L140" s="83" t="e">
        <f>Проект!#REF!</f>
        <v>#REF!</v>
      </c>
      <c r="M140" s="83" t="e">
        <f>Проект!#REF!</f>
        <v>#REF!</v>
      </c>
      <c r="N140" s="83" t="e">
        <f>Проект!#REF!</f>
        <v>#REF!</v>
      </c>
      <c r="O140" s="83" t="e">
        <f>Проект!#REF!</f>
        <v>#REF!</v>
      </c>
      <c r="P140" s="83" t="e">
        <f>Проект!#REF!</f>
        <v>#REF!</v>
      </c>
      <c r="Q140" s="83" t="e">
        <f>Проект!#REF!</f>
        <v>#REF!</v>
      </c>
      <c r="R140" s="52"/>
      <c r="S140" s="94" t="e">
        <f>Проект!#REF!</f>
        <v>#REF!</v>
      </c>
    </row>
    <row r="141" spans="1:19" hidden="1" x14ac:dyDescent="0.2">
      <c r="A141" s="52" t="e">
        <f>Проект!#REF!</f>
        <v>#REF!</v>
      </c>
      <c r="B141" s="344" t="e">
        <f>Проект!#REF!</f>
        <v>#REF!</v>
      </c>
      <c r="C141" s="73" t="e">
        <f>Проект!#REF!</f>
        <v>#REF!</v>
      </c>
      <c r="D141" s="48" t="e">
        <f>Проект!#REF!</f>
        <v>#REF!</v>
      </c>
      <c r="E141" s="48"/>
      <c r="F141" s="341" t="e">
        <f>Проект!#REF!</f>
        <v>#REF!</v>
      </c>
      <c r="G141" s="341" t="e">
        <f>Проект!#REF!</f>
        <v>#REF!</v>
      </c>
      <c r="H141" s="341" t="e">
        <f>Проект!#REF!</f>
        <v>#REF!</v>
      </c>
      <c r="I141" s="341" t="e">
        <f>Проект!#REF!</f>
        <v>#REF!</v>
      </c>
      <c r="J141" s="341" t="e">
        <f>Проект!#REF!</f>
        <v>#REF!</v>
      </c>
      <c r="K141" s="341" t="e">
        <f>Проект!#REF!</f>
        <v>#REF!</v>
      </c>
      <c r="L141" s="341" t="e">
        <f>Проект!#REF!</f>
        <v>#REF!</v>
      </c>
      <c r="M141" s="341" t="e">
        <f>Проект!#REF!</f>
        <v>#REF!</v>
      </c>
      <c r="N141" s="341" t="e">
        <f>Проект!#REF!</f>
        <v>#REF!</v>
      </c>
      <c r="O141" s="341" t="e">
        <f>Проект!#REF!</f>
        <v>#REF!</v>
      </c>
      <c r="P141" s="341" t="e">
        <f>Проект!#REF!</f>
        <v>#REF!</v>
      </c>
      <c r="Q141" s="341" t="e">
        <f>Проект!#REF!</f>
        <v>#REF!</v>
      </c>
      <c r="R141" s="48"/>
      <c r="S141" s="94" t="e">
        <f>Проект!#REF!</f>
        <v>#REF!</v>
      </c>
    </row>
    <row r="142" spans="1:19" hidden="1" x14ac:dyDescent="0.2">
      <c r="A142" s="48" t="e">
        <f>Проект!#REF!</f>
        <v>#REF!</v>
      </c>
      <c r="B142" s="52"/>
      <c r="C142" s="88" t="e">
        <f>Проект!#REF!</f>
        <v>#REF!</v>
      </c>
      <c r="D142" s="52" t="e">
        <f>Проект!#REF!</f>
        <v>#REF!</v>
      </c>
      <c r="E142" s="52"/>
      <c r="F142" s="84" t="e">
        <f>Проект!#REF!</f>
        <v>#REF!</v>
      </c>
      <c r="G142" s="84" t="e">
        <f>Проект!#REF!</f>
        <v>#REF!</v>
      </c>
      <c r="H142" s="84" t="e">
        <f>Проект!#REF!</f>
        <v>#REF!</v>
      </c>
      <c r="I142" s="84" t="e">
        <f>Проект!#REF!</f>
        <v>#REF!</v>
      </c>
      <c r="J142" s="84" t="e">
        <f>Проект!#REF!</f>
        <v>#REF!</v>
      </c>
      <c r="K142" s="84" t="e">
        <f>Проект!#REF!</f>
        <v>#REF!</v>
      </c>
      <c r="L142" s="84" t="e">
        <f>Проект!#REF!</f>
        <v>#REF!</v>
      </c>
      <c r="M142" s="84" t="e">
        <f>Проект!#REF!</f>
        <v>#REF!</v>
      </c>
      <c r="N142" s="84" t="e">
        <f>Проект!#REF!</f>
        <v>#REF!</v>
      </c>
      <c r="O142" s="84" t="e">
        <f>Проект!#REF!</f>
        <v>#REF!</v>
      </c>
      <c r="P142" s="84" t="e">
        <f>Проект!#REF!</f>
        <v>#REF!</v>
      </c>
      <c r="Q142" s="84" t="e">
        <f>Проект!#REF!</f>
        <v>#REF!</v>
      </c>
      <c r="R142" s="52"/>
      <c r="S142" s="94" t="e">
        <f>Проект!#REF!</f>
        <v>#REF!</v>
      </c>
    </row>
    <row r="143" spans="1:19" hidden="1" x14ac:dyDescent="0.2">
      <c r="A143" s="48" t="e">
        <f>Проект!#REF!</f>
        <v>#REF!</v>
      </c>
      <c r="B143" s="312" t="e">
        <f>Проект!#REF!</f>
        <v>#REF!</v>
      </c>
      <c r="C143" s="88" t="e">
        <f>Проект!#REF!</f>
        <v>#REF!</v>
      </c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41"/>
    </row>
    <row r="144" spans="1:19" hidden="1" x14ac:dyDescent="0.2">
      <c r="A144" s="48" t="e">
        <f>Проект!#REF!</f>
        <v>#REF!</v>
      </c>
      <c r="B144" s="52"/>
      <c r="C144" s="88" t="e">
        <f>Проект!#REF!</f>
        <v>#REF!</v>
      </c>
      <c r="D144" s="52" t="e">
        <f>Проект!#REF!</f>
        <v>#REF!</v>
      </c>
      <c r="E144" s="52"/>
      <c r="F144" s="84" t="e">
        <f>Проект!#REF!</f>
        <v>#REF!</v>
      </c>
      <c r="G144" s="84" t="e">
        <f>Проект!#REF!</f>
        <v>#REF!</v>
      </c>
      <c r="H144" s="84" t="e">
        <f>Проект!#REF!</f>
        <v>#REF!</v>
      </c>
      <c r="I144" s="84" t="e">
        <f>Проект!#REF!</f>
        <v>#REF!</v>
      </c>
      <c r="J144" s="84" t="e">
        <f>Проект!#REF!</f>
        <v>#REF!</v>
      </c>
      <c r="K144" s="84" t="e">
        <f>Проект!#REF!</f>
        <v>#REF!</v>
      </c>
      <c r="L144" s="84" t="e">
        <f>Проект!#REF!</f>
        <v>#REF!</v>
      </c>
      <c r="M144" s="84" t="e">
        <f>Проект!#REF!</f>
        <v>#REF!</v>
      </c>
      <c r="N144" s="84" t="e">
        <f>Проект!#REF!</f>
        <v>#REF!</v>
      </c>
      <c r="O144" s="84" t="e">
        <f>Проект!#REF!</f>
        <v>#REF!</v>
      </c>
      <c r="P144" s="84" t="e">
        <f>Проект!#REF!</f>
        <v>#REF!</v>
      </c>
      <c r="Q144" s="84" t="e">
        <f>Проект!#REF!</f>
        <v>#REF!</v>
      </c>
      <c r="R144" s="52"/>
      <c r="S144" s="94"/>
    </row>
    <row r="145" spans="1:19" hidden="1" x14ac:dyDescent="0.2">
      <c r="A145" s="48" t="e">
        <f>Проект!#REF!</f>
        <v>#REF!</v>
      </c>
      <c r="B145" s="52"/>
      <c r="C145" s="88" t="e">
        <f>Проект!#REF!</f>
        <v>#REF!</v>
      </c>
      <c r="D145" s="52" t="e">
        <f>Проект!#REF!</f>
        <v>#REF!</v>
      </c>
      <c r="E145" s="52"/>
      <c r="F145" s="84" t="e">
        <f>Проект!#REF!</f>
        <v>#REF!</v>
      </c>
      <c r="G145" s="84" t="e">
        <f>Проект!#REF!</f>
        <v>#REF!</v>
      </c>
      <c r="H145" s="84" t="e">
        <f>Проект!#REF!</f>
        <v>#REF!</v>
      </c>
      <c r="I145" s="84" t="e">
        <f>Проект!#REF!</f>
        <v>#REF!</v>
      </c>
      <c r="J145" s="84" t="e">
        <f>Проект!#REF!</f>
        <v>#REF!</v>
      </c>
      <c r="K145" s="84" t="e">
        <f>Проект!#REF!</f>
        <v>#REF!</v>
      </c>
      <c r="L145" s="84" t="e">
        <f>Проект!#REF!</f>
        <v>#REF!</v>
      </c>
      <c r="M145" s="84" t="e">
        <f>Проект!#REF!</f>
        <v>#REF!</v>
      </c>
      <c r="N145" s="84" t="e">
        <f>Проект!#REF!</f>
        <v>#REF!</v>
      </c>
      <c r="O145" s="84" t="e">
        <f>Проект!#REF!</f>
        <v>#REF!</v>
      </c>
      <c r="P145" s="84" t="e">
        <f>Проект!#REF!</f>
        <v>#REF!</v>
      </c>
      <c r="Q145" s="84" t="e">
        <f>Проект!#REF!</f>
        <v>#REF!</v>
      </c>
      <c r="R145" s="52"/>
      <c r="S145" s="41"/>
    </row>
    <row r="146" spans="1:19" hidden="1" x14ac:dyDescent="0.2">
      <c r="A146" s="48" t="e">
        <f>Проект!#REF!</f>
        <v>#REF!</v>
      </c>
      <c r="B146" s="52"/>
      <c r="C146" s="88" t="e">
        <f>Проект!#REF!</f>
        <v>#REF!</v>
      </c>
      <c r="D146" s="52" t="e">
        <f>Проект!#REF!</f>
        <v>#REF!</v>
      </c>
      <c r="E146" s="52"/>
      <c r="F146" s="84" t="e">
        <f>Проект!#REF!</f>
        <v>#REF!</v>
      </c>
      <c r="G146" s="84" t="e">
        <f>Проект!#REF!</f>
        <v>#REF!</v>
      </c>
      <c r="H146" s="84" t="e">
        <f>Проект!#REF!</f>
        <v>#REF!</v>
      </c>
      <c r="I146" s="84" t="e">
        <f>Проект!#REF!</f>
        <v>#REF!</v>
      </c>
      <c r="J146" s="84" t="e">
        <f>Проект!#REF!</f>
        <v>#REF!</v>
      </c>
      <c r="K146" s="84" t="e">
        <f>Проект!#REF!</f>
        <v>#REF!</v>
      </c>
      <c r="L146" s="84" t="e">
        <f>Проект!#REF!</f>
        <v>#REF!</v>
      </c>
      <c r="M146" s="84" t="e">
        <f>Проект!#REF!</f>
        <v>#REF!</v>
      </c>
      <c r="N146" s="84" t="e">
        <f>Проект!#REF!</f>
        <v>#REF!</v>
      </c>
      <c r="O146" s="84" t="e">
        <f>Проект!#REF!</f>
        <v>#REF!</v>
      </c>
      <c r="P146" s="84" t="e">
        <f>Проект!#REF!</f>
        <v>#REF!</v>
      </c>
      <c r="Q146" s="84" t="e">
        <f>Проект!#REF!</f>
        <v>#REF!</v>
      </c>
      <c r="R146" s="52"/>
      <c r="S146" s="41"/>
    </row>
    <row r="147" spans="1:19" hidden="1" x14ac:dyDescent="0.2">
      <c r="A147" s="48" t="e">
        <f>Проект!#REF!</f>
        <v>#REF!</v>
      </c>
      <c r="B147" s="52"/>
      <c r="C147" s="88" t="e">
        <f>Проект!#REF!</f>
        <v>#REF!</v>
      </c>
      <c r="D147" s="52" t="e">
        <f>Проект!#REF!</f>
        <v>#REF!</v>
      </c>
      <c r="E147" s="52"/>
      <c r="F147" s="84" t="e">
        <f>Проект!#REF!</f>
        <v>#REF!</v>
      </c>
      <c r="G147" s="84" t="e">
        <f>Проект!#REF!</f>
        <v>#REF!</v>
      </c>
      <c r="H147" s="84" t="e">
        <f>Проект!#REF!</f>
        <v>#REF!</v>
      </c>
      <c r="I147" s="84" t="e">
        <f>Проект!#REF!</f>
        <v>#REF!</v>
      </c>
      <c r="J147" s="84" t="e">
        <f>Проект!#REF!</f>
        <v>#REF!</v>
      </c>
      <c r="K147" s="84" t="e">
        <f>Проект!#REF!</f>
        <v>#REF!</v>
      </c>
      <c r="L147" s="84" t="e">
        <f>Проект!#REF!</f>
        <v>#REF!</v>
      </c>
      <c r="M147" s="84" t="e">
        <f>Проект!#REF!</f>
        <v>#REF!</v>
      </c>
      <c r="N147" s="84" t="e">
        <f>Проект!#REF!</f>
        <v>#REF!</v>
      </c>
      <c r="O147" s="84" t="e">
        <f>Проект!#REF!</f>
        <v>#REF!</v>
      </c>
      <c r="P147" s="84" t="e">
        <f>Проект!#REF!</f>
        <v>#REF!</v>
      </c>
      <c r="Q147" s="84" t="e">
        <f>Проект!#REF!</f>
        <v>#REF!</v>
      </c>
      <c r="R147" s="52"/>
      <c r="S147" s="41"/>
    </row>
    <row r="148" spans="1:19" hidden="1" x14ac:dyDescent="0.2">
      <c r="A148" s="48" t="e">
        <f>Проект!#REF!</f>
        <v>#REF!</v>
      </c>
      <c r="B148" s="52"/>
      <c r="C148" s="88" t="e">
        <f>Проект!#REF!</f>
        <v>#REF!</v>
      </c>
      <c r="D148" s="338" t="e">
        <f>Проект!#REF!</f>
        <v>#REF!</v>
      </c>
      <c r="E148" s="52"/>
      <c r="F148" s="83" t="e">
        <f>Проект!#REF!</f>
        <v>#REF!</v>
      </c>
      <c r="G148" s="83" t="e">
        <f>Проект!#REF!</f>
        <v>#REF!</v>
      </c>
      <c r="H148" s="83" t="e">
        <f>Проект!#REF!</f>
        <v>#REF!</v>
      </c>
      <c r="I148" s="83" t="e">
        <f>Проект!#REF!</f>
        <v>#REF!</v>
      </c>
      <c r="J148" s="83" t="e">
        <f>Проект!#REF!</f>
        <v>#REF!</v>
      </c>
      <c r="K148" s="83" t="e">
        <f>Проект!#REF!</f>
        <v>#REF!</v>
      </c>
      <c r="L148" s="83" t="e">
        <f>Проект!#REF!</f>
        <v>#REF!</v>
      </c>
      <c r="M148" s="83" t="e">
        <f>Проект!#REF!</f>
        <v>#REF!</v>
      </c>
      <c r="N148" s="83" t="e">
        <f>Проект!#REF!</f>
        <v>#REF!</v>
      </c>
      <c r="O148" s="83" t="e">
        <f>Проект!#REF!</f>
        <v>#REF!</v>
      </c>
      <c r="P148" s="83" t="e">
        <f>Проект!#REF!</f>
        <v>#REF!</v>
      </c>
      <c r="Q148" s="83" t="e">
        <f>Проект!#REF!</f>
        <v>#REF!</v>
      </c>
      <c r="R148" s="52"/>
      <c r="S148" s="94" t="e">
        <f>Проект!#REF!</f>
        <v>#REF!</v>
      </c>
    </row>
    <row r="149" spans="1:19" hidden="1" x14ac:dyDescent="0.2">
      <c r="A149" s="76" t="e">
        <f>Проект!#REF!</f>
        <v>#REF!</v>
      </c>
      <c r="B149" s="339"/>
      <c r="C149" s="340" t="e">
        <f>Проект!#REF!</f>
        <v>#REF!</v>
      </c>
      <c r="D149" s="52" t="e">
        <f>Проект!#REF!</f>
        <v>#REF!</v>
      </c>
      <c r="E149" s="339"/>
      <c r="F149" s="341" t="e">
        <f>Проект!#REF!</f>
        <v>#REF!</v>
      </c>
      <c r="G149" s="341" t="e">
        <f>Проект!#REF!</f>
        <v>#REF!</v>
      </c>
      <c r="H149" s="341" t="e">
        <f>Проект!#REF!</f>
        <v>#REF!</v>
      </c>
      <c r="I149" s="341" t="e">
        <f>Проект!#REF!</f>
        <v>#REF!</v>
      </c>
      <c r="J149" s="341" t="e">
        <f>Проект!#REF!</f>
        <v>#REF!</v>
      </c>
      <c r="K149" s="341" t="e">
        <f>Проект!#REF!</f>
        <v>#REF!</v>
      </c>
      <c r="L149" s="341" t="e">
        <f>Проект!#REF!</f>
        <v>#REF!</v>
      </c>
      <c r="M149" s="341" t="e">
        <f>Проект!#REF!</f>
        <v>#REF!</v>
      </c>
      <c r="N149" s="341" t="e">
        <f>Проект!#REF!</f>
        <v>#REF!</v>
      </c>
      <c r="O149" s="341" t="e">
        <f>Проект!#REF!</f>
        <v>#REF!</v>
      </c>
      <c r="P149" s="341" t="e">
        <f>Проект!#REF!</f>
        <v>#REF!</v>
      </c>
      <c r="Q149" s="341" t="e">
        <f>Проект!#REF!</f>
        <v>#REF!</v>
      </c>
      <c r="R149" s="52"/>
      <c r="S149" s="94" t="e">
        <f>Проект!#REF!</f>
        <v>#REF!</v>
      </c>
    </row>
    <row r="150" spans="1:19" hidden="1" x14ac:dyDescent="0.2">
      <c r="A150" s="45" t="e">
        <f>Проект!#REF!</f>
        <v>#REF!</v>
      </c>
      <c r="B150" s="128"/>
      <c r="C150" s="342" t="e">
        <f>Проект!#REF!</f>
        <v>#REF!</v>
      </c>
      <c r="D150" s="52" t="e">
        <f>Проект!#REF!</f>
        <v>#REF!</v>
      </c>
      <c r="E150" s="128"/>
      <c r="F150" s="83" t="e">
        <f>Проект!#REF!</f>
        <v>#REF!</v>
      </c>
      <c r="G150" s="83" t="e">
        <f>Проект!#REF!</f>
        <v>#REF!</v>
      </c>
      <c r="H150" s="83" t="e">
        <f>Проект!#REF!</f>
        <v>#REF!</v>
      </c>
      <c r="I150" s="83" t="e">
        <f>Проект!#REF!</f>
        <v>#REF!</v>
      </c>
      <c r="J150" s="83" t="e">
        <f>Проект!#REF!</f>
        <v>#REF!</v>
      </c>
      <c r="K150" s="83" t="e">
        <f>Проект!#REF!</f>
        <v>#REF!</v>
      </c>
      <c r="L150" s="83" t="e">
        <f>Проект!#REF!</f>
        <v>#REF!</v>
      </c>
      <c r="M150" s="83" t="e">
        <f>Проект!#REF!</f>
        <v>#REF!</v>
      </c>
      <c r="N150" s="83" t="e">
        <f>Проект!#REF!</f>
        <v>#REF!</v>
      </c>
      <c r="O150" s="83" t="e">
        <f>Проект!#REF!</f>
        <v>#REF!</v>
      </c>
      <c r="P150" s="83" t="e">
        <f>Проект!#REF!</f>
        <v>#REF!</v>
      </c>
      <c r="Q150" s="83" t="e">
        <f>Проект!#REF!</f>
        <v>#REF!</v>
      </c>
      <c r="R150" s="52"/>
      <c r="S150" s="94" t="e">
        <f>Проект!#REF!</f>
        <v>#REF!</v>
      </c>
    </row>
    <row r="151" spans="1:19" hidden="1" x14ac:dyDescent="0.2">
      <c r="A151" s="48" t="e">
        <f>Проект!#REF!</f>
        <v>#REF!</v>
      </c>
      <c r="B151" s="344" t="e">
        <f>Проект!#REF!</f>
        <v>#REF!</v>
      </c>
      <c r="C151" s="88" t="e">
        <f>Проект!#REF!</f>
        <v>#REF!</v>
      </c>
      <c r="D151" s="52" t="e">
        <f>Проект!#REF!</f>
        <v>#REF!</v>
      </c>
      <c r="E151" s="52"/>
      <c r="F151" s="48" t="e">
        <f>Проект!#REF!</f>
        <v>#REF!</v>
      </c>
      <c r="G151" s="48" t="e">
        <f>Проект!#REF!</f>
        <v>#REF!</v>
      </c>
      <c r="H151" s="48" t="e">
        <f>Проект!#REF!</f>
        <v>#REF!</v>
      </c>
      <c r="I151" s="48" t="e">
        <f>Проект!#REF!</f>
        <v>#REF!</v>
      </c>
      <c r="J151" s="48" t="e">
        <f>Проект!#REF!</f>
        <v>#REF!</v>
      </c>
      <c r="K151" s="48" t="e">
        <f>Проект!#REF!</f>
        <v>#REF!</v>
      </c>
      <c r="L151" s="48" t="e">
        <f>Проект!#REF!</f>
        <v>#REF!</v>
      </c>
      <c r="M151" s="48" t="e">
        <f>Проект!#REF!</f>
        <v>#REF!</v>
      </c>
      <c r="N151" s="48" t="e">
        <f>Проект!#REF!</f>
        <v>#REF!</v>
      </c>
      <c r="O151" s="48" t="e">
        <f>Проект!#REF!</f>
        <v>#REF!</v>
      </c>
      <c r="P151" s="48" t="e">
        <f>Проект!#REF!</f>
        <v>#REF!</v>
      </c>
      <c r="Q151" s="48" t="e">
        <f>Проект!#REF!</f>
        <v>#REF!</v>
      </c>
      <c r="R151" s="52"/>
      <c r="S151" s="94" t="e">
        <f>Проект!#REF!</f>
        <v>#REF!</v>
      </c>
    </row>
    <row r="152" spans="1:19" ht="11.25" customHeight="1" x14ac:dyDescent="0.2">
      <c r="A152" s="130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41"/>
    </row>
    <row r="153" spans="1:19" ht="11.25" customHeight="1" x14ac:dyDescent="0.2">
      <c r="A153" s="130" t="str">
        <f ca="1">Проект!$A$432</f>
        <v>Расходы будущих периодов</v>
      </c>
      <c r="B153" s="48"/>
      <c r="C153" s="48"/>
      <c r="D153" s="48">
        <f>Проект!$D$432</f>
        <v>1</v>
      </c>
      <c r="E153" s="48">
        <f>Проект!$E$432</f>
        <v>14</v>
      </c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1"/>
    </row>
    <row r="154" spans="1:19" ht="11.25" customHeight="1" x14ac:dyDescent="0.2">
      <c r="A154" s="333" t="str">
        <f ca="1">Проект!$A$433</f>
        <v>Наименование</v>
      </c>
      <c r="B154" s="197" t="str">
        <f ca="1">Проект!$B$433</f>
        <v>Валюта</v>
      </c>
      <c r="C154" s="52"/>
      <c r="D154" s="52"/>
      <c r="E154" s="5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52"/>
      <c r="S154" s="92"/>
    </row>
    <row r="155" spans="1:19" ht="11.25" customHeight="1" x14ac:dyDescent="0.2">
      <c r="A155" s="48" t="str">
        <f ca="1">Проект!$A$434</f>
        <v xml:space="preserve">    величина платежей (с НДС)</v>
      </c>
      <c r="B155" s="334">
        <f>Проект!$B$434</f>
        <v>1</v>
      </c>
      <c r="C155" s="88" t="str">
        <f ca="1">Проект!$C$434</f>
        <v>руб.</v>
      </c>
      <c r="D155" s="101" t="str">
        <f>Проект!$D$434</f>
        <v>1_00</v>
      </c>
      <c r="E155" s="52"/>
      <c r="F155" s="335">
        <f>Проект!$F$434</f>
        <v>0</v>
      </c>
      <c r="G155" s="335">
        <f>Проект!$G$434</f>
        <v>0</v>
      </c>
      <c r="H155" s="335">
        <f>Проект!$H$434</f>
        <v>0</v>
      </c>
      <c r="I155" s="335">
        <f>Проект!$I$434</f>
        <v>0</v>
      </c>
      <c r="J155" s="335">
        <f>Проект!$J$434</f>
        <v>0</v>
      </c>
      <c r="K155" s="335" t="e">
        <f>Проект!#REF!</f>
        <v>#REF!</v>
      </c>
      <c r="L155" s="335" t="e">
        <f>Проект!#REF!</f>
        <v>#REF!</v>
      </c>
      <c r="M155" s="335" t="e">
        <f>Проект!#REF!</f>
        <v>#REF!</v>
      </c>
      <c r="N155" s="335" t="e">
        <f>Проект!#REF!</f>
        <v>#REF!</v>
      </c>
      <c r="O155" s="335" t="e">
        <f>Проект!#REF!</f>
        <v>#REF!</v>
      </c>
      <c r="P155" s="335" t="e">
        <f>Проект!#REF!</f>
        <v>#REF!</v>
      </c>
      <c r="Q155" s="335">
        <f>Проект!$K$434</f>
        <v>0</v>
      </c>
      <c r="R155" s="52"/>
      <c r="S155" s="94">
        <f>Проект!$M$434</f>
        <v>0</v>
      </c>
    </row>
    <row r="156" spans="1:19" hidden="1" x14ac:dyDescent="0.2">
      <c r="A156" s="48" t="str">
        <f ca="1">Проект!$A$435</f>
        <v xml:space="preserve">    поставить на баланс с</v>
      </c>
      <c r="B156" s="337">
        <f ca="1">Проект!$B$435</f>
        <v>1</v>
      </c>
      <c r="C156" s="88" t="str">
        <f ca="1">Проект!$C$435</f>
        <v>периода</v>
      </c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41"/>
    </row>
    <row r="157" spans="1:19" hidden="1" x14ac:dyDescent="0.2">
      <c r="A157" s="48" t="str">
        <f ca="1">Проект!$A$436</f>
        <v xml:space="preserve">    амортизация (линейная),       для срока использования:</v>
      </c>
      <c r="B157" s="337">
        <f>Проект!$B$436</f>
        <v>2</v>
      </c>
      <c r="C157" s="88" t="str">
        <f ca="1">Проект!$C$436</f>
        <v>лет</v>
      </c>
      <c r="D157" s="343" t="str">
        <f>Проект!$D$436</f>
        <v>1_02</v>
      </c>
      <c r="E157" s="52"/>
      <c r="F157" s="84">
        <f ca="1">Проект!$F$436</f>
        <v>0</v>
      </c>
      <c r="G157" s="84">
        <f ca="1">Проект!$G$436</f>
        <v>0</v>
      </c>
      <c r="H157" s="84">
        <f ca="1">Проект!$H$436</f>
        <v>0</v>
      </c>
      <c r="I157" s="84">
        <f ca="1">Проект!$I$436</f>
        <v>0</v>
      </c>
      <c r="J157" s="84">
        <f ca="1">Проект!$J$436</f>
        <v>0</v>
      </c>
      <c r="K157" s="84" t="e">
        <f>Проект!#REF!</f>
        <v>#REF!</v>
      </c>
      <c r="L157" s="84" t="e">
        <f>Проект!#REF!</f>
        <v>#REF!</v>
      </c>
      <c r="M157" s="84" t="e">
        <f>Проект!#REF!</f>
        <v>#REF!</v>
      </c>
      <c r="N157" s="84" t="e">
        <f>Проект!#REF!</f>
        <v>#REF!</v>
      </c>
      <c r="O157" s="84" t="e">
        <f>Проект!#REF!</f>
        <v>#REF!</v>
      </c>
      <c r="P157" s="84" t="e">
        <f>Проект!#REF!</f>
        <v>#REF!</v>
      </c>
      <c r="Q157" s="84">
        <f ca="1">Проект!$K$436</f>
        <v>0</v>
      </c>
      <c r="R157" s="52"/>
      <c r="S157" s="94">
        <f ca="1">Проект!$M$436</f>
        <v>0</v>
      </c>
    </row>
    <row r="158" spans="1:19" hidden="1" x14ac:dyDescent="0.2">
      <c r="A158" s="48" t="str">
        <f ca="1">Проект!$A$437</f>
        <v xml:space="preserve">    выплаченный НДС</v>
      </c>
      <c r="B158" s="344">
        <f>Проект!$B$437</f>
        <v>0</v>
      </c>
      <c r="C158" s="88" t="str">
        <f ca="1">Проект!$C$437</f>
        <v>руб.</v>
      </c>
      <c r="D158" s="52" t="str">
        <f>Проект!$D$437</f>
        <v>1_04</v>
      </c>
      <c r="E158" s="52"/>
      <c r="F158" s="83">
        <f>Проект!$F$437</f>
        <v>0</v>
      </c>
      <c r="G158" s="83">
        <f>Проект!$G$437</f>
        <v>0</v>
      </c>
      <c r="H158" s="83">
        <f>Проект!$H$437</f>
        <v>0</v>
      </c>
      <c r="I158" s="83">
        <f>Проект!$I$437</f>
        <v>0</v>
      </c>
      <c r="J158" s="83">
        <f>Проект!$J$437</f>
        <v>0</v>
      </c>
      <c r="K158" s="83" t="e">
        <f>Проект!#REF!</f>
        <v>#REF!</v>
      </c>
      <c r="L158" s="83" t="e">
        <f>Проект!#REF!</f>
        <v>#REF!</v>
      </c>
      <c r="M158" s="83" t="e">
        <f>Проект!#REF!</f>
        <v>#REF!</v>
      </c>
      <c r="N158" s="83" t="e">
        <f>Проект!#REF!</f>
        <v>#REF!</v>
      </c>
      <c r="O158" s="83" t="e">
        <f>Проект!#REF!</f>
        <v>#REF!</v>
      </c>
      <c r="P158" s="83" t="e">
        <f>Проект!#REF!</f>
        <v>#REF!</v>
      </c>
      <c r="Q158" s="83">
        <f>Проект!$K$437</f>
        <v>0</v>
      </c>
      <c r="R158" s="52"/>
      <c r="S158" s="94">
        <f>Проект!$M$437</f>
        <v>0</v>
      </c>
    </row>
    <row r="159" spans="1:19" hidden="1" x14ac:dyDescent="0.2">
      <c r="A159" s="48" t="str">
        <f ca="1">Проект!$A$438</f>
        <v xml:space="preserve">    сумма платежей без НДС</v>
      </c>
      <c r="B159" s="52"/>
      <c r="C159" s="88" t="str">
        <f ca="1">Проект!$C$438</f>
        <v>руб.</v>
      </c>
      <c r="D159" s="52" t="str">
        <f>Проект!$D$438</f>
        <v>1_01</v>
      </c>
      <c r="E159" s="52"/>
      <c r="F159" s="84">
        <f>Проект!$F$438</f>
        <v>0</v>
      </c>
      <c r="G159" s="84">
        <f>Проект!$G$438</f>
        <v>0</v>
      </c>
      <c r="H159" s="84">
        <f>Проект!$H$438</f>
        <v>0</v>
      </c>
      <c r="I159" s="84">
        <f>Проект!$I$438</f>
        <v>0</v>
      </c>
      <c r="J159" s="84">
        <f>Проект!$J$438</f>
        <v>0</v>
      </c>
      <c r="K159" s="84" t="e">
        <f>Проект!#REF!</f>
        <v>#REF!</v>
      </c>
      <c r="L159" s="84" t="e">
        <f>Проект!#REF!</f>
        <v>#REF!</v>
      </c>
      <c r="M159" s="84" t="e">
        <f>Проект!#REF!</f>
        <v>#REF!</v>
      </c>
      <c r="N159" s="84" t="e">
        <f>Проект!#REF!</f>
        <v>#REF!</v>
      </c>
      <c r="O159" s="84" t="e">
        <f>Проект!#REF!</f>
        <v>#REF!</v>
      </c>
      <c r="P159" s="84" t="e">
        <f>Проект!#REF!</f>
        <v>#REF!</v>
      </c>
      <c r="Q159" s="84">
        <f>Проект!$K$438</f>
        <v>0</v>
      </c>
      <c r="R159" s="52"/>
      <c r="S159" s="94">
        <f>Проект!$M$438</f>
        <v>0</v>
      </c>
    </row>
    <row r="160" spans="1:19" hidden="1" x14ac:dyDescent="0.2">
      <c r="A160" s="48" t="str">
        <f ca="1">Проект!$A$439</f>
        <v xml:space="preserve">    общая стоимость актива (без НДС)</v>
      </c>
      <c r="B160" s="312">
        <f>Проект!$B$439</f>
        <v>0</v>
      </c>
      <c r="C160" s="88" t="str">
        <f ca="1">Проект!$C$439</f>
        <v>руб.</v>
      </c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41"/>
    </row>
    <row r="161" spans="1:19" hidden="1" x14ac:dyDescent="0.2">
      <c r="A161" s="48" t="str">
        <f ca="1">Проект!$A$440</f>
        <v xml:space="preserve">    полная сумма вложений в актив (без НДС)</v>
      </c>
      <c r="B161" s="52"/>
      <c r="C161" s="88" t="str">
        <f ca="1">Проект!$C$440</f>
        <v>руб.</v>
      </c>
      <c r="D161" s="52" t="str">
        <f>Проект!$D$440</f>
        <v>1_05; int_end</v>
      </c>
      <c r="E161" s="52"/>
      <c r="F161" s="84">
        <f>Проект!$F$440</f>
        <v>0</v>
      </c>
      <c r="G161" s="84">
        <f>Проект!$G$440</f>
        <v>0</v>
      </c>
      <c r="H161" s="84">
        <f>Проект!$H$440</f>
        <v>0</v>
      </c>
      <c r="I161" s="84">
        <f>Проект!$I$440</f>
        <v>0</v>
      </c>
      <c r="J161" s="84">
        <f>Проект!$J$440</f>
        <v>0</v>
      </c>
      <c r="K161" s="84" t="e">
        <f>Проект!#REF!</f>
        <v>#REF!</v>
      </c>
      <c r="L161" s="84" t="e">
        <f>Проект!#REF!</f>
        <v>#REF!</v>
      </c>
      <c r="M161" s="84" t="e">
        <f>Проект!#REF!</f>
        <v>#REF!</v>
      </c>
      <c r="N161" s="84" t="e">
        <f>Проект!#REF!</f>
        <v>#REF!</v>
      </c>
      <c r="O161" s="84" t="e">
        <f>Проект!#REF!</f>
        <v>#REF!</v>
      </c>
      <c r="P161" s="84" t="e">
        <f>Проект!#REF!</f>
        <v>#REF!</v>
      </c>
      <c r="Q161" s="84">
        <f>Проект!$K$440</f>
        <v>0</v>
      </c>
      <c r="R161" s="52"/>
      <c r="S161" s="94"/>
    </row>
    <row r="162" spans="1:19" hidden="1" x14ac:dyDescent="0.2">
      <c r="A162" s="48" t="str">
        <f ca="1">Проект!$A$441</f>
        <v xml:space="preserve">    полная балансовая стоимость</v>
      </c>
      <c r="B162" s="52"/>
      <c r="C162" s="88" t="str">
        <f ca="1">Проект!$C$441</f>
        <v>руб.</v>
      </c>
      <c r="D162" s="52" t="str">
        <f>Проект!$D$441</f>
        <v>1_06; int_end</v>
      </c>
      <c r="E162" s="52"/>
      <c r="F162" s="84">
        <f ca="1">Проект!$F$441</f>
        <v>0</v>
      </c>
      <c r="G162" s="84">
        <f ca="1">Проект!$G$441</f>
        <v>0</v>
      </c>
      <c r="H162" s="84">
        <f ca="1">Проект!$H$441</f>
        <v>0</v>
      </c>
      <c r="I162" s="84">
        <f ca="1">Проект!$I$441</f>
        <v>0</v>
      </c>
      <c r="J162" s="84">
        <f ca="1">Проект!$J$441</f>
        <v>0</v>
      </c>
      <c r="K162" s="84" t="e">
        <f>Проект!#REF!</f>
        <v>#REF!</v>
      </c>
      <c r="L162" s="84" t="e">
        <f>Проект!#REF!</f>
        <v>#REF!</v>
      </c>
      <c r="M162" s="84" t="e">
        <f>Проект!#REF!</f>
        <v>#REF!</v>
      </c>
      <c r="N162" s="84" t="e">
        <f>Проект!#REF!</f>
        <v>#REF!</v>
      </c>
      <c r="O162" s="84" t="e">
        <f>Проект!#REF!</f>
        <v>#REF!</v>
      </c>
      <c r="P162" s="84" t="e">
        <f>Проект!#REF!</f>
        <v>#REF!</v>
      </c>
      <c r="Q162" s="84">
        <f ca="1">Проект!$K$441</f>
        <v>0</v>
      </c>
      <c r="R162" s="52"/>
      <c r="S162" s="41"/>
    </row>
    <row r="163" spans="1:19" hidden="1" x14ac:dyDescent="0.2">
      <c r="A163" s="48" t="str">
        <f ca="1">Проект!$A$442</f>
        <v xml:space="preserve">    авансы выданные</v>
      </c>
      <c r="B163" s="52"/>
      <c r="C163" s="88" t="str">
        <f ca="1">Проект!$C$442</f>
        <v>руб.</v>
      </c>
      <c r="D163" s="52" t="str">
        <f>Проект!$D$442</f>
        <v>1_17; int_end</v>
      </c>
      <c r="E163" s="52"/>
      <c r="F163" s="84">
        <f ca="1">Проект!$F$442</f>
        <v>0</v>
      </c>
      <c r="G163" s="84">
        <f ca="1">Проект!$G$442</f>
        <v>0</v>
      </c>
      <c r="H163" s="84">
        <f ca="1">Проект!$H$442</f>
        <v>0</v>
      </c>
      <c r="I163" s="84">
        <f ca="1">Проект!$I$442</f>
        <v>0</v>
      </c>
      <c r="J163" s="84">
        <f ca="1">Проект!$J$442</f>
        <v>0</v>
      </c>
      <c r="K163" s="84" t="e">
        <f>Проект!#REF!</f>
        <v>#REF!</v>
      </c>
      <c r="L163" s="84" t="e">
        <f>Проект!#REF!</f>
        <v>#REF!</v>
      </c>
      <c r="M163" s="84" t="e">
        <f>Проект!#REF!</f>
        <v>#REF!</v>
      </c>
      <c r="N163" s="84" t="e">
        <f>Проект!#REF!</f>
        <v>#REF!</v>
      </c>
      <c r="O163" s="84" t="e">
        <f>Проект!#REF!</f>
        <v>#REF!</v>
      </c>
      <c r="P163" s="84" t="e">
        <f>Проект!#REF!</f>
        <v>#REF!</v>
      </c>
      <c r="Q163" s="84">
        <f ca="1">Проект!$K$442</f>
        <v>0</v>
      </c>
      <c r="R163" s="52"/>
      <c r="S163" s="41"/>
    </row>
    <row r="164" spans="1:19" hidden="1" x14ac:dyDescent="0.2">
      <c r="A164" s="48" t="str">
        <f ca="1">Проект!$A$443</f>
        <v xml:space="preserve">    кредиторская задолженность</v>
      </c>
      <c r="B164" s="52"/>
      <c r="C164" s="88" t="str">
        <f ca="1">Проект!$C$443</f>
        <v>руб.</v>
      </c>
      <c r="D164" s="52" t="str">
        <f>Проект!$D$443</f>
        <v>1_08; int_end</v>
      </c>
      <c r="E164" s="52"/>
      <c r="F164" s="84">
        <f ca="1">Проект!$F$443</f>
        <v>0</v>
      </c>
      <c r="G164" s="84">
        <f ca="1">Проект!$G$443</f>
        <v>0</v>
      </c>
      <c r="H164" s="84">
        <f ca="1">Проект!$H$443</f>
        <v>0</v>
      </c>
      <c r="I164" s="84">
        <f ca="1">Проект!$I$443</f>
        <v>0</v>
      </c>
      <c r="J164" s="84">
        <f ca="1">Проект!$J$443</f>
        <v>0</v>
      </c>
      <c r="K164" s="84" t="e">
        <f>Проект!#REF!</f>
        <v>#REF!</v>
      </c>
      <c r="L164" s="84" t="e">
        <f>Проект!#REF!</f>
        <v>#REF!</v>
      </c>
      <c r="M164" s="84" t="e">
        <f>Проект!#REF!</f>
        <v>#REF!</v>
      </c>
      <c r="N164" s="84" t="e">
        <f>Проект!#REF!</f>
        <v>#REF!</v>
      </c>
      <c r="O164" s="84" t="e">
        <f>Проект!#REF!</f>
        <v>#REF!</v>
      </c>
      <c r="P164" s="84" t="e">
        <f>Проект!#REF!</f>
        <v>#REF!</v>
      </c>
      <c r="Q164" s="84">
        <f ca="1">Проект!$K$443</f>
        <v>0</v>
      </c>
      <c r="R164" s="52"/>
      <c r="S164" s="41"/>
    </row>
    <row r="165" spans="1:19" hidden="1" x14ac:dyDescent="0.2">
      <c r="A165" s="48" t="str">
        <f ca="1">Проект!$A$444</f>
        <v xml:space="preserve">    накопленная амортизация</v>
      </c>
      <c r="B165" s="52"/>
      <c r="C165" s="88" t="str">
        <f ca="1">Проект!$C$444</f>
        <v>руб.</v>
      </c>
      <c r="D165" s="52" t="str">
        <f>Проект!$D$444</f>
        <v>1_09; int_end</v>
      </c>
      <c r="E165" s="52"/>
      <c r="F165" s="84">
        <f ca="1">Проект!$F$444</f>
        <v>0</v>
      </c>
      <c r="G165" s="84">
        <f ca="1">Проект!$G$444</f>
        <v>0</v>
      </c>
      <c r="H165" s="84">
        <f ca="1">Проект!$H$444</f>
        <v>0</v>
      </c>
      <c r="I165" s="84">
        <f ca="1">Проект!$I$444</f>
        <v>0</v>
      </c>
      <c r="J165" s="84">
        <f ca="1">Проект!$J$444</f>
        <v>0</v>
      </c>
      <c r="K165" s="84" t="e">
        <f>Проект!#REF!</f>
        <v>#REF!</v>
      </c>
      <c r="L165" s="84" t="e">
        <f>Проект!#REF!</f>
        <v>#REF!</v>
      </c>
      <c r="M165" s="84" t="e">
        <f>Проект!#REF!</f>
        <v>#REF!</v>
      </c>
      <c r="N165" s="84" t="e">
        <f>Проект!#REF!</f>
        <v>#REF!</v>
      </c>
      <c r="O165" s="84" t="e">
        <f>Проект!#REF!</f>
        <v>#REF!</v>
      </c>
      <c r="P165" s="84" t="e">
        <f>Проект!#REF!</f>
        <v>#REF!</v>
      </c>
      <c r="Q165" s="84">
        <f ca="1">Проект!$K$444</f>
        <v>0</v>
      </c>
      <c r="R165" s="52"/>
      <c r="S165" s="41"/>
    </row>
    <row r="166" spans="1:19" hidden="1" x14ac:dyDescent="0.2">
      <c r="A166" s="48" t="str">
        <f ca="1">Проект!$A$445</f>
        <v xml:space="preserve">    остаточная стоимость</v>
      </c>
      <c r="B166" s="52"/>
      <c r="C166" s="88" t="str">
        <f ca="1">Проект!$C$445</f>
        <v>руб.</v>
      </c>
      <c r="D166" s="52" t="str">
        <f>Проект!$D$445</f>
        <v>1_10; int_end</v>
      </c>
      <c r="E166" s="52"/>
      <c r="F166" s="106">
        <f ca="1">Проект!$F$445</f>
        <v>0</v>
      </c>
      <c r="G166" s="106">
        <f ca="1">Проект!$G$445</f>
        <v>0</v>
      </c>
      <c r="H166" s="106">
        <f ca="1">Проект!$H$445</f>
        <v>0</v>
      </c>
      <c r="I166" s="106">
        <f ca="1">Проект!$I$445</f>
        <v>0</v>
      </c>
      <c r="J166" s="106">
        <f ca="1">Проект!$J$445</f>
        <v>0</v>
      </c>
      <c r="K166" s="106" t="e">
        <f>Проект!#REF!</f>
        <v>#REF!</v>
      </c>
      <c r="L166" s="106" t="e">
        <f>Проект!#REF!</f>
        <v>#REF!</v>
      </c>
      <c r="M166" s="106" t="e">
        <f>Проект!#REF!</f>
        <v>#REF!</v>
      </c>
      <c r="N166" s="106" t="e">
        <f>Проект!#REF!</f>
        <v>#REF!</v>
      </c>
      <c r="O166" s="106" t="e">
        <f>Проект!#REF!</f>
        <v>#REF!</v>
      </c>
      <c r="P166" s="106" t="e">
        <f>Проект!#REF!</f>
        <v>#REF!</v>
      </c>
      <c r="Q166" s="106">
        <f ca="1">Проект!$K$445</f>
        <v>0</v>
      </c>
      <c r="R166" s="52"/>
      <c r="S166" s="41"/>
    </row>
    <row r="167" spans="1:19" hidden="1" x14ac:dyDescent="0.2">
      <c r="A167" s="48" t="str">
        <f ca="1">Проект!$A$446</f>
        <v xml:space="preserve">    зачет НДС</v>
      </c>
      <c r="B167" s="52"/>
      <c r="C167" s="88" t="str">
        <f ca="1">Проект!$C$446</f>
        <v>руб.</v>
      </c>
      <c r="D167" s="128" t="str">
        <f>Проект!$D$446</f>
        <v>1_12</v>
      </c>
      <c r="E167" s="52"/>
      <c r="F167" s="83">
        <f ca="1">Проект!$F$446</f>
        <v>0</v>
      </c>
      <c r="G167" s="83">
        <f ca="1">Проект!$G$446</f>
        <v>0</v>
      </c>
      <c r="H167" s="83">
        <f ca="1">Проект!$H$446</f>
        <v>0</v>
      </c>
      <c r="I167" s="83">
        <f ca="1">Проект!$I$446</f>
        <v>0</v>
      </c>
      <c r="J167" s="83">
        <f ca="1">Проект!$J$446</f>
        <v>0</v>
      </c>
      <c r="K167" s="83" t="e">
        <f>Проект!#REF!</f>
        <v>#REF!</v>
      </c>
      <c r="L167" s="83" t="e">
        <f>Проект!#REF!</f>
        <v>#REF!</v>
      </c>
      <c r="M167" s="83" t="e">
        <f>Проект!#REF!</f>
        <v>#REF!</v>
      </c>
      <c r="N167" s="83" t="e">
        <f>Проект!#REF!</f>
        <v>#REF!</v>
      </c>
      <c r="O167" s="83" t="e">
        <f>Проект!#REF!</f>
        <v>#REF!</v>
      </c>
      <c r="P167" s="83" t="e">
        <f>Проект!#REF!</f>
        <v>#REF!</v>
      </c>
      <c r="Q167" s="83">
        <f ca="1">Проект!$K$446</f>
        <v>0</v>
      </c>
      <c r="R167" s="52"/>
      <c r="S167" s="94">
        <f ca="1">Проект!$M$446</f>
        <v>0</v>
      </c>
    </row>
    <row r="168" spans="1:19" ht="11.25" customHeight="1" x14ac:dyDescent="0.2">
      <c r="A168" s="48"/>
      <c r="B168" s="48"/>
      <c r="C168" s="48"/>
      <c r="D168" s="45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1"/>
    </row>
    <row r="169" spans="1:19" ht="11.25" customHeight="1" x14ac:dyDescent="0.2">
      <c r="A169" s="130" t="str">
        <f ca="1">Проект!$A$448</f>
        <v>Проценты по кредитам на инвестиционной фазе</v>
      </c>
      <c r="B169" s="48"/>
      <c r="C169" s="88" t="str">
        <f ca="1">Проект!$C$448</f>
        <v>руб.</v>
      </c>
      <c r="D169" s="48"/>
      <c r="E169" s="48"/>
      <c r="F169" s="84">
        <f ca="1">Проект!$F$448</f>
        <v>0</v>
      </c>
      <c r="G169" s="84">
        <f ca="1">Проект!$G$448</f>
        <v>0</v>
      </c>
      <c r="H169" s="84">
        <f ca="1">Проект!$H$448</f>
        <v>0</v>
      </c>
      <c r="I169" s="84">
        <f ca="1">Проект!$I$448</f>
        <v>0</v>
      </c>
      <c r="J169" s="84">
        <f ca="1">Проект!$J$448</f>
        <v>0</v>
      </c>
      <c r="K169" s="84" t="e">
        <f>Проект!#REF!</f>
        <v>#REF!</v>
      </c>
      <c r="L169" s="84" t="e">
        <f>Проект!#REF!</f>
        <v>#REF!</v>
      </c>
      <c r="M169" s="84" t="e">
        <f>Проект!#REF!</f>
        <v>#REF!</v>
      </c>
      <c r="N169" s="84" t="e">
        <f>Проект!#REF!</f>
        <v>#REF!</v>
      </c>
      <c r="O169" s="84" t="e">
        <f>Проект!#REF!</f>
        <v>#REF!</v>
      </c>
      <c r="P169" s="84" t="e">
        <f>Проект!#REF!</f>
        <v>#REF!</v>
      </c>
      <c r="Q169" s="84">
        <f ca="1">Проект!$K$448</f>
        <v>0</v>
      </c>
      <c r="R169" s="48"/>
      <c r="S169" s="94">
        <f ca="1">Проект!$M$448</f>
        <v>0</v>
      </c>
    </row>
    <row r="170" spans="1:19" ht="11.25" customHeight="1" x14ac:dyDescent="0.2">
      <c r="A170" s="48" t="str">
        <f ca="1">Проект!$A$449</f>
        <v xml:space="preserve">    инвестиционная фаза заканчивается с начала</v>
      </c>
      <c r="B170" s="348">
        <f ca="1">Проект!$B$449</f>
        <v>1</v>
      </c>
      <c r="C170" s="88" t="str">
        <f ca="1">Проект!$C$449</f>
        <v>периода</v>
      </c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1"/>
    </row>
    <row r="171" spans="1:19" hidden="1" x14ac:dyDescent="0.2">
      <c r="A171" s="48" t="str">
        <f ca="1">Проект!$A$450</f>
        <v xml:space="preserve">    амортизация (линейная),       для срока использования:</v>
      </c>
      <c r="B171" s="337">
        <f>Проект!$B$450</f>
        <v>2</v>
      </c>
      <c r="C171" s="88" t="str">
        <f ca="1">Проект!$C$450</f>
        <v>лет</v>
      </c>
      <c r="D171" s="48"/>
      <c r="E171" s="48"/>
      <c r="F171" s="83">
        <f ca="1">Проект!$F$450</f>
        <v>0</v>
      </c>
      <c r="G171" s="83">
        <f ca="1">Проект!$G$450</f>
        <v>0</v>
      </c>
      <c r="H171" s="83">
        <f ca="1">Проект!$H$450</f>
        <v>0</v>
      </c>
      <c r="I171" s="83">
        <f ca="1">Проект!$I$450</f>
        <v>0</v>
      </c>
      <c r="J171" s="83">
        <f ca="1">Проект!$J$450</f>
        <v>0</v>
      </c>
      <c r="K171" s="83" t="e">
        <f>Проект!#REF!</f>
        <v>#REF!</v>
      </c>
      <c r="L171" s="83" t="e">
        <f>Проект!#REF!</f>
        <v>#REF!</v>
      </c>
      <c r="M171" s="83" t="e">
        <f>Проект!#REF!</f>
        <v>#REF!</v>
      </c>
      <c r="N171" s="83" t="e">
        <f>Проект!#REF!</f>
        <v>#REF!</v>
      </c>
      <c r="O171" s="83" t="e">
        <f>Проект!#REF!</f>
        <v>#REF!</v>
      </c>
      <c r="P171" s="83" t="e">
        <f>Проект!#REF!</f>
        <v>#REF!</v>
      </c>
      <c r="Q171" s="83">
        <f ca="1">Проект!$K$450</f>
        <v>0</v>
      </c>
      <c r="R171" s="48"/>
      <c r="S171" s="94">
        <f ca="1">Проект!$M$450</f>
        <v>0</v>
      </c>
    </row>
    <row r="172" spans="1:19" hidden="1" x14ac:dyDescent="0.2">
      <c r="A172" s="48" t="str">
        <f ca="1">Проект!$A$451</f>
        <v xml:space="preserve">    незавершенные инвестиции</v>
      </c>
      <c r="B172" s="48"/>
      <c r="C172" s="88" t="str">
        <f ca="1">Проект!$C$451</f>
        <v>руб.</v>
      </c>
      <c r="D172" s="101" t="str">
        <f>Проект!$D$451</f>
        <v>int_end</v>
      </c>
      <c r="E172" s="48"/>
      <c r="F172" s="84">
        <f ca="1">Проект!$F$451</f>
        <v>0</v>
      </c>
      <c r="G172" s="84">
        <f ca="1">Проект!$G$451</f>
        <v>0</v>
      </c>
      <c r="H172" s="84">
        <f ca="1">Проект!$H$451</f>
        <v>0</v>
      </c>
      <c r="I172" s="84">
        <f ca="1">Проект!$I$451</f>
        <v>0</v>
      </c>
      <c r="J172" s="84">
        <f ca="1">Проект!$J$451</f>
        <v>0</v>
      </c>
      <c r="K172" s="84" t="e">
        <f>Проект!#REF!</f>
        <v>#REF!</v>
      </c>
      <c r="L172" s="84" t="e">
        <f>Проект!#REF!</f>
        <v>#REF!</v>
      </c>
      <c r="M172" s="84" t="e">
        <f>Проект!#REF!</f>
        <v>#REF!</v>
      </c>
      <c r="N172" s="84" t="e">
        <f>Проект!#REF!</f>
        <v>#REF!</v>
      </c>
      <c r="O172" s="84" t="e">
        <f>Проект!#REF!</f>
        <v>#REF!</v>
      </c>
      <c r="P172" s="84" t="e">
        <f>Проект!#REF!</f>
        <v>#REF!</v>
      </c>
      <c r="Q172" s="84">
        <f ca="1">Проект!$K$451</f>
        <v>0</v>
      </c>
      <c r="R172" s="48"/>
      <c r="S172" s="41"/>
    </row>
    <row r="173" spans="1:19" hidden="1" x14ac:dyDescent="0.2">
      <c r="A173" s="48" t="str">
        <f ca="1">Проект!$A$452</f>
        <v xml:space="preserve">    полная балансовая стоимость</v>
      </c>
      <c r="B173" s="48"/>
      <c r="C173" s="88" t="str">
        <f ca="1">Проект!$C$452</f>
        <v>руб.</v>
      </c>
      <c r="D173" s="101" t="str">
        <f>Проект!$D$452</f>
        <v>int_end</v>
      </c>
      <c r="E173" s="48"/>
      <c r="F173" s="84">
        <f ca="1">Проект!$F$452</f>
        <v>0</v>
      </c>
      <c r="G173" s="84">
        <f ca="1">Проект!$G$452</f>
        <v>0</v>
      </c>
      <c r="H173" s="84">
        <f ca="1">Проект!$H$452</f>
        <v>0</v>
      </c>
      <c r="I173" s="84">
        <f ca="1">Проект!$I$452</f>
        <v>0</v>
      </c>
      <c r="J173" s="84">
        <f ca="1">Проект!$J$452</f>
        <v>0</v>
      </c>
      <c r="K173" s="84" t="e">
        <f>Проект!#REF!</f>
        <v>#REF!</v>
      </c>
      <c r="L173" s="84" t="e">
        <f>Проект!#REF!</f>
        <v>#REF!</v>
      </c>
      <c r="M173" s="84" t="e">
        <f>Проект!#REF!</f>
        <v>#REF!</v>
      </c>
      <c r="N173" s="84" t="e">
        <f>Проект!#REF!</f>
        <v>#REF!</v>
      </c>
      <c r="O173" s="84" t="e">
        <f>Проект!#REF!</f>
        <v>#REF!</v>
      </c>
      <c r="P173" s="84" t="e">
        <f>Проект!#REF!</f>
        <v>#REF!</v>
      </c>
      <c r="Q173" s="84">
        <f ca="1">Проект!$K$452</f>
        <v>0</v>
      </c>
      <c r="R173" s="48"/>
      <c r="S173" s="41"/>
    </row>
    <row r="174" spans="1:19" hidden="1" x14ac:dyDescent="0.2">
      <c r="A174" s="48" t="str">
        <f ca="1">Проект!$A$453</f>
        <v xml:space="preserve">    остаточная стоимость</v>
      </c>
      <c r="B174" s="48"/>
      <c r="C174" s="88" t="str">
        <f ca="1">Проект!$C$453</f>
        <v>руб.</v>
      </c>
      <c r="D174" s="101" t="str">
        <f>Проект!$D$453</f>
        <v>int_end</v>
      </c>
      <c r="E174" s="48"/>
      <c r="F174" s="84">
        <f ca="1">Проект!$F$453</f>
        <v>0</v>
      </c>
      <c r="G174" s="84">
        <f ca="1">Проект!$G$453</f>
        <v>0</v>
      </c>
      <c r="H174" s="84">
        <f ca="1">Проект!$H$453</f>
        <v>0</v>
      </c>
      <c r="I174" s="84">
        <f ca="1">Проект!$I$453</f>
        <v>0</v>
      </c>
      <c r="J174" s="84">
        <f ca="1">Проект!$J$453</f>
        <v>0</v>
      </c>
      <c r="K174" s="84" t="e">
        <f>Проект!#REF!</f>
        <v>#REF!</v>
      </c>
      <c r="L174" s="84" t="e">
        <f>Проект!#REF!</f>
        <v>#REF!</v>
      </c>
      <c r="M174" s="84" t="e">
        <f>Проект!#REF!</f>
        <v>#REF!</v>
      </c>
      <c r="N174" s="84" t="e">
        <f>Проект!#REF!</f>
        <v>#REF!</v>
      </c>
      <c r="O174" s="84" t="e">
        <f>Проект!#REF!</f>
        <v>#REF!</v>
      </c>
      <c r="P174" s="84" t="e">
        <f>Проект!#REF!</f>
        <v>#REF!</v>
      </c>
      <c r="Q174" s="84">
        <f ca="1">Проект!$K$453</f>
        <v>0</v>
      </c>
      <c r="R174" s="48"/>
      <c r="S174" s="41"/>
    </row>
    <row r="175" spans="1:19" ht="11.25" customHeight="1" x14ac:dyDescent="0.2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1"/>
    </row>
    <row r="176" spans="1:19" ht="11.25" customHeight="1" x14ac:dyDescent="0.2">
      <c r="A176" s="130" t="str">
        <f ca="1">Проект!$A$455</f>
        <v>Общая величина ранее осуществленных инвестиций</v>
      </c>
      <c r="B176" s="48"/>
      <c r="C176" s="8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1"/>
    </row>
    <row r="177" spans="1:19" ht="11.25" customHeight="1" x14ac:dyDescent="0.2">
      <c r="A177" s="52" t="str">
        <f ca="1">Проект!$A$456</f>
        <v>Незавершенные инвестиции в стартовом балансе</v>
      </c>
      <c r="B177" s="25">
        <f>Проект!$B$456</f>
        <v>0</v>
      </c>
      <c r="C177" s="88" t="str">
        <f ca="1">Проект!$C$456</f>
        <v>руб.</v>
      </c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1"/>
    </row>
    <row r="178" spans="1:19" ht="11.25" customHeight="1" x14ac:dyDescent="0.2">
      <c r="A178" s="52" t="str">
        <f ca="1">Проект!$A$457</f>
        <v xml:space="preserve">     НДС к ранее осуществленным инвестициям</v>
      </c>
      <c r="B178" s="25">
        <f>Проект!$B$457</f>
        <v>0</v>
      </c>
      <c r="C178" s="88" t="str">
        <f ca="1">Проект!$C$457</f>
        <v>руб.</v>
      </c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1"/>
    </row>
    <row r="179" spans="1:19" ht="11.25" customHeight="1" x14ac:dyDescent="0.2">
      <c r="A179" s="52" t="str">
        <f ca="1">Проект!$A$458</f>
        <v xml:space="preserve">   - здания и сооружения</v>
      </c>
      <c r="B179" s="25">
        <f>Проект!$B$458</f>
        <v>0</v>
      </c>
      <c r="C179" s="88" t="str">
        <f ca="1">Проект!$C$458</f>
        <v>руб.</v>
      </c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1"/>
    </row>
    <row r="180" spans="1:19" ht="11.25" customHeight="1" x14ac:dyDescent="0.2">
      <c r="A180" s="52" t="str">
        <f ca="1">Проект!$A$459</f>
        <v xml:space="preserve">   - земельные участки</v>
      </c>
      <c r="B180" s="25">
        <f>Проект!$B$459</f>
        <v>0</v>
      </c>
      <c r="C180" s="88" t="str">
        <f ca="1">Проект!$C$459</f>
        <v>руб.</v>
      </c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1"/>
    </row>
    <row r="181" spans="1:19" ht="11.25" customHeight="1" x14ac:dyDescent="0.2">
      <c r="A181" s="52" t="str">
        <f ca="1">Проект!$A$460</f>
        <v xml:space="preserve">   - нематериальные активы</v>
      </c>
      <c r="B181" s="25">
        <f>Проект!$B$460</f>
        <v>0</v>
      </c>
      <c r="C181" s="88" t="str">
        <f ca="1">Проект!$C$460</f>
        <v>руб.</v>
      </c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1"/>
    </row>
    <row r="182" spans="1:19" ht="11.25" customHeight="1" x14ac:dyDescent="0.2">
      <c r="A182" s="52" t="str">
        <f ca="1">Проект!$A$461</f>
        <v xml:space="preserve">   - оборудование и другие активы</v>
      </c>
      <c r="B182" s="25">
        <f>Проект!$B$461</f>
        <v>0</v>
      </c>
      <c r="C182" s="88" t="str">
        <f ca="1">Проект!$C$461</f>
        <v>руб.</v>
      </c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1"/>
    </row>
    <row r="183" spans="1:19" ht="11.25" customHeight="1" x14ac:dyDescent="0.2">
      <c r="A183" s="52" t="str">
        <f ca="1">Проект!$A$462</f>
        <v>Незавершенные инвестиции по данным текущей таблицы</v>
      </c>
      <c r="B183" s="25">
        <f>Проект!$B$462</f>
        <v>0</v>
      </c>
      <c r="C183" s="88" t="str">
        <f ca="1">Проект!$C$462</f>
        <v>руб.</v>
      </c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1"/>
    </row>
    <row r="184" spans="1:19" hidden="1" x14ac:dyDescent="0.2">
      <c r="A184" s="52" t="str">
        <f ca="1">Проект!$A$463</f>
        <v xml:space="preserve">   - здания и сооружения</v>
      </c>
      <c r="B184" s="25">
        <f>Проект!$B$463</f>
        <v>0</v>
      </c>
      <c r="C184" s="88" t="str">
        <f ca="1">Проект!$C$463</f>
        <v>руб.</v>
      </c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1"/>
    </row>
    <row r="185" spans="1:19" hidden="1" x14ac:dyDescent="0.2">
      <c r="A185" s="52" t="str">
        <f ca="1">Проект!$A$464</f>
        <v xml:space="preserve">   - земельные участки</v>
      </c>
      <c r="B185" s="25">
        <f>Проект!$B$464</f>
        <v>0</v>
      </c>
      <c r="C185" s="88" t="str">
        <f ca="1">Проект!$C$464</f>
        <v>руб.</v>
      </c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1"/>
    </row>
    <row r="186" spans="1:19" hidden="1" x14ac:dyDescent="0.2">
      <c r="A186" s="52" t="str">
        <f ca="1">Проект!$A$465</f>
        <v xml:space="preserve">   - нематериальные активы</v>
      </c>
      <c r="B186" s="25">
        <f>Проект!$B$465</f>
        <v>0</v>
      </c>
      <c r="C186" s="88" t="str">
        <f ca="1">Проект!$C$465</f>
        <v>руб.</v>
      </c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1"/>
    </row>
    <row r="187" spans="1:19" hidden="1" x14ac:dyDescent="0.2">
      <c r="A187" s="52" t="str">
        <f ca="1">Проект!$A$466</f>
        <v xml:space="preserve">   - оборудование и другие активы</v>
      </c>
      <c r="B187" s="25">
        <f>Проект!$B$466</f>
        <v>0</v>
      </c>
      <c r="C187" s="88" t="str">
        <f ca="1">Проект!$C$466</f>
        <v>руб.</v>
      </c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1"/>
    </row>
    <row r="188" spans="1:19" hidden="1" x14ac:dyDescent="0.2">
      <c r="A188" s="45" t="str">
        <f ca="1">Проект!$A$467</f>
        <v xml:space="preserve">     НДС к ранее осуществленным инвестициям</v>
      </c>
      <c r="B188" s="25">
        <f>Проект!$B$467</f>
        <v>0</v>
      </c>
      <c r="C188" s="88" t="str">
        <f ca="1">Проект!$C$467</f>
        <v>руб.</v>
      </c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1"/>
    </row>
    <row r="189" spans="1:19" ht="11.25" customHeight="1" x14ac:dyDescent="0.2">
      <c r="A189" s="45" t="str">
        <f ca="1">Проект!$A$468</f>
        <v>Существующие активы</v>
      </c>
      <c r="B189" s="25">
        <f>Проект!$B$468</f>
        <v>0</v>
      </c>
      <c r="C189" s="88" t="str">
        <f ca="1">Проект!$C$468</f>
        <v>руб.</v>
      </c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1"/>
    </row>
    <row r="190" spans="1:19" hidden="1" x14ac:dyDescent="0.2">
      <c r="A190" s="45" t="str">
        <f ca="1">Проект!$A$469</f>
        <v xml:space="preserve">     НДС к существующим активам</v>
      </c>
      <c r="B190" s="25">
        <f>Проект!$B$469</f>
        <v>0</v>
      </c>
      <c r="C190" s="88" t="str">
        <f ca="1">Проект!$C$469</f>
        <v>руб.</v>
      </c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1"/>
    </row>
    <row r="191" spans="1:19" ht="11.25" customHeight="1" x14ac:dyDescent="0.2">
      <c r="A191" s="48" t="str">
        <f ca="1">Проект!$A$470</f>
        <v>Учитывать при оценке эффективности в сумме</v>
      </c>
      <c r="B191" s="299">
        <f>Проект!$B$470</f>
        <v>0</v>
      </c>
      <c r="C191" s="88" t="str">
        <f ca="1">Проект!$C$470</f>
        <v>руб.</v>
      </c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1"/>
    </row>
    <row r="192" spans="1:19" hidden="1" x14ac:dyDescent="0.2">
      <c r="A192" s="48" t="str">
        <f ca="1">Проект!$A$471</f>
        <v xml:space="preserve">         то же, в итоговой валюте</v>
      </c>
      <c r="B192" s="299"/>
      <c r="C192" s="88" t="str">
        <f ca="1">Проект!$C$471</f>
        <v>руб.</v>
      </c>
      <c r="D192" s="48"/>
      <c r="E192" s="48"/>
      <c r="F192" s="106">
        <f>Проект!$F$471</f>
        <v>0</v>
      </c>
      <c r="G192" s="106">
        <f>Проект!$G$471</f>
        <v>0</v>
      </c>
      <c r="H192" s="106">
        <f>Проект!$H$471</f>
        <v>0</v>
      </c>
      <c r="I192" s="106">
        <f>Проект!$I$471</f>
        <v>0</v>
      </c>
      <c r="J192" s="106">
        <f>Проект!$J$471</f>
        <v>0</v>
      </c>
      <c r="K192" s="106" t="e">
        <f>Проект!#REF!</f>
        <v>#REF!</v>
      </c>
      <c r="L192" s="106" t="e">
        <f>Проект!#REF!</f>
        <v>#REF!</v>
      </c>
      <c r="M192" s="106" t="e">
        <f>Проект!#REF!</f>
        <v>#REF!</v>
      </c>
      <c r="N192" s="106" t="e">
        <f>Проект!#REF!</f>
        <v>#REF!</v>
      </c>
      <c r="O192" s="106" t="e">
        <f>Проект!#REF!</f>
        <v>#REF!</v>
      </c>
      <c r="P192" s="106" t="e">
        <f>Проект!#REF!</f>
        <v>#REF!</v>
      </c>
      <c r="Q192" s="106">
        <f>Проект!$K$471</f>
        <v>0</v>
      </c>
      <c r="R192" s="48"/>
      <c r="S192" s="41"/>
    </row>
    <row r="193" spans="1:19" ht="11.25" customHeight="1" x14ac:dyDescent="0.2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1"/>
    </row>
    <row r="194" spans="1:19" ht="11.25" customHeight="1" x14ac:dyDescent="0.2">
      <c r="A194" s="130" t="str">
        <f ca="1">Проект!$A$473</f>
        <v xml:space="preserve"> = Итого: Земельные участки</v>
      </c>
      <c r="B194" s="130"/>
      <c r="C194" s="88" t="str">
        <f ca="1">Проект!$C$473</f>
        <v>руб.</v>
      </c>
      <c r="D194" s="130"/>
      <c r="E194" s="130"/>
      <c r="F194" s="160">
        <f>Проект!$F$473</f>
        <v>0</v>
      </c>
      <c r="G194" s="160">
        <f>Проект!$G$473</f>
        <v>0</v>
      </c>
      <c r="H194" s="160">
        <f>Проект!$H$473</f>
        <v>0</v>
      </c>
      <c r="I194" s="160">
        <f>Проект!$I$473</f>
        <v>0</v>
      </c>
      <c r="J194" s="160">
        <f>Проект!$J$473</f>
        <v>0</v>
      </c>
      <c r="K194" s="160" t="e">
        <f>Проект!#REF!</f>
        <v>#REF!</v>
      </c>
      <c r="L194" s="160" t="e">
        <f>Проект!#REF!</f>
        <v>#REF!</v>
      </c>
      <c r="M194" s="160" t="e">
        <f>Проект!#REF!</f>
        <v>#REF!</v>
      </c>
      <c r="N194" s="160" t="e">
        <f>Проект!#REF!</f>
        <v>#REF!</v>
      </c>
      <c r="O194" s="160" t="e">
        <f>Проект!#REF!</f>
        <v>#REF!</v>
      </c>
      <c r="P194" s="160" t="e">
        <f>Проект!#REF!</f>
        <v>#REF!</v>
      </c>
      <c r="Q194" s="160">
        <f>Проект!$K$473</f>
        <v>0</v>
      </c>
      <c r="R194" s="160"/>
      <c r="S194" s="95">
        <f>Проект!$M$473</f>
        <v>0</v>
      </c>
    </row>
    <row r="195" spans="1:19" hidden="1" x14ac:dyDescent="0.2">
      <c r="A195" s="48" t="str">
        <f ca="1">Проект!$A$474</f>
        <v xml:space="preserve">    сумма платежей без НДС</v>
      </c>
      <c r="B195" s="48"/>
      <c r="C195" s="88" t="str">
        <f ca="1">Проект!$C$474</f>
        <v>руб.</v>
      </c>
      <c r="D195" s="48"/>
      <c r="E195" s="48"/>
      <c r="F195" s="106">
        <f>Проект!$F$474</f>
        <v>0</v>
      </c>
      <c r="G195" s="106">
        <f>Проект!$G$474</f>
        <v>0</v>
      </c>
      <c r="H195" s="106">
        <f>Проект!$H$474</f>
        <v>0</v>
      </c>
      <c r="I195" s="106">
        <f>Проект!$I$474</f>
        <v>0</v>
      </c>
      <c r="J195" s="106">
        <f>Проект!$J$474</f>
        <v>0</v>
      </c>
      <c r="K195" s="106" t="e">
        <f>Проект!#REF!</f>
        <v>#REF!</v>
      </c>
      <c r="L195" s="106" t="e">
        <f>Проект!#REF!</f>
        <v>#REF!</v>
      </c>
      <c r="M195" s="106" t="e">
        <f>Проект!#REF!</f>
        <v>#REF!</v>
      </c>
      <c r="N195" s="106" t="e">
        <f>Проект!#REF!</f>
        <v>#REF!</v>
      </c>
      <c r="O195" s="106" t="e">
        <f>Проект!#REF!</f>
        <v>#REF!</v>
      </c>
      <c r="P195" s="106" t="e">
        <f>Проект!#REF!</f>
        <v>#REF!</v>
      </c>
      <c r="Q195" s="106">
        <f>Проект!$K$474</f>
        <v>0</v>
      </c>
      <c r="R195" s="106"/>
      <c r="S195" s="94">
        <f>Проект!$M$474</f>
        <v>0</v>
      </c>
    </row>
    <row r="196" spans="1:19" hidden="1" x14ac:dyDescent="0.2">
      <c r="A196" s="48" t="str">
        <f ca="1">Проект!$A$475</f>
        <v xml:space="preserve">    полная балансовая стоимость</v>
      </c>
      <c r="B196" s="48"/>
      <c r="C196" s="88" t="str">
        <f ca="1">Проект!$C$475</f>
        <v>руб.</v>
      </c>
      <c r="D196" s="101" t="str">
        <f>Проект!$D$475</f>
        <v>int_end</v>
      </c>
      <c r="E196" s="48"/>
      <c r="F196" s="106">
        <f ca="1">Проект!$F$475</f>
        <v>0</v>
      </c>
      <c r="G196" s="106">
        <f ca="1">Проект!$G$475</f>
        <v>0</v>
      </c>
      <c r="H196" s="106">
        <f ca="1">Проект!$H$475</f>
        <v>0</v>
      </c>
      <c r="I196" s="106">
        <f ca="1">Проект!$I$475</f>
        <v>0</v>
      </c>
      <c r="J196" s="106">
        <f ca="1">Проект!$J$475</f>
        <v>0</v>
      </c>
      <c r="K196" s="106" t="e">
        <f>Проект!#REF!</f>
        <v>#REF!</v>
      </c>
      <c r="L196" s="106" t="e">
        <f>Проект!#REF!</f>
        <v>#REF!</v>
      </c>
      <c r="M196" s="106" t="e">
        <f>Проект!#REF!</f>
        <v>#REF!</v>
      </c>
      <c r="N196" s="106" t="e">
        <f>Проект!#REF!</f>
        <v>#REF!</v>
      </c>
      <c r="O196" s="106" t="e">
        <f>Проект!#REF!</f>
        <v>#REF!</v>
      </c>
      <c r="P196" s="106" t="e">
        <f>Проект!#REF!</f>
        <v>#REF!</v>
      </c>
      <c r="Q196" s="106">
        <f ca="1">Проект!$K$475</f>
        <v>0</v>
      </c>
      <c r="R196" s="106"/>
      <c r="S196" s="94"/>
    </row>
    <row r="197" spans="1:19" hidden="1" x14ac:dyDescent="0.2">
      <c r="A197" s="48" t="str">
        <f ca="1">Проект!$A$476</f>
        <v xml:space="preserve">    незавершенные инвестиции</v>
      </c>
      <c r="B197" s="48"/>
      <c r="C197" s="88" t="str">
        <f ca="1">Проект!$C$476</f>
        <v>руб.</v>
      </c>
      <c r="D197" s="101" t="str">
        <f>Проект!$D$476</f>
        <v>int_end</v>
      </c>
      <c r="E197" s="48"/>
      <c r="F197" s="106">
        <f ca="1">Проект!$F$476</f>
        <v>0</v>
      </c>
      <c r="G197" s="106">
        <f ca="1">Проект!$G$476</f>
        <v>0</v>
      </c>
      <c r="H197" s="106">
        <f ca="1">Проект!$H$476</f>
        <v>0</v>
      </c>
      <c r="I197" s="106">
        <f ca="1">Проект!$I$476</f>
        <v>0</v>
      </c>
      <c r="J197" s="106">
        <f ca="1">Проект!$J$476</f>
        <v>0</v>
      </c>
      <c r="K197" s="106" t="e">
        <f>Проект!#REF!</f>
        <v>#REF!</v>
      </c>
      <c r="L197" s="106" t="e">
        <f>Проект!#REF!</f>
        <v>#REF!</v>
      </c>
      <c r="M197" s="106" t="e">
        <f>Проект!#REF!</f>
        <v>#REF!</v>
      </c>
      <c r="N197" s="106" t="e">
        <f>Проект!#REF!</f>
        <v>#REF!</v>
      </c>
      <c r="O197" s="106" t="e">
        <f>Проект!#REF!</f>
        <v>#REF!</v>
      </c>
      <c r="P197" s="106" t="e">
        <f>Проект!#REF!</f>
        <v>#REF!</v>
      </c>
      <c r="Q197" s="106">
        <f ca="1">Проект!$K$476</f>
        <v>0</v>
      </c>
      <c r="R197" s="106"/>
      <c r="S197" s="94"/>
    </row>
    <row r="198" spans="1:19" hidden="1" x14ac:dyDescent="0.2">
      <c r="A198" s="48" t="str">
        <f ca="1">Проект!$A$477</f>
        <v xml:space="preserve">    кредиторская задолженность</v>
      </c>
      <c r="B198" s="48"/>
      <c r="C198" s="88" t="str">
        <f ca="1">Проект!$C$477</f>
        <v>руб.</v>
      </c>
      <c r="D198" s="101" t="str">
        <f>Проект!$D$477</f>
        <v>int_end</v>
      </c>
      <c r="E198" s="48"/>
      <c r="F198" s="106">
        <f ca="1">Проект!$F$477</f>
        <v>0</v>
      </c>
      <c r="G198" s="106">
        <f ca="1">Проект!$G$477</f>
        <v>0</v>
      </c>
      <c r="H198" s="106">
        <f ca="1">Проект!$H$477</f>
        <v>0</v>
      </c>
      <c r="I198" s="106">
        <f ca="1">Проект!$I$477</f>
        <v>0</v>
      </c>
      <c r="J198" s="106">
        <f ca="1">Проект!$J$477</f>
        <v>0</v>
      </c>
      <c r="K198" s="106" t="e">
        <f>Проект!#REF!</f>
        <v>#REF!</v>
      </c>
      <c r="L198" s="106" t="e">
        <f>Проект!#REF!</f>
        <v>#REF!</v>
      </c>
      <c r="M198" s="106" t="e">
        <f>Проект!#REF!</f>
        <v>#REF!</v>
      </c>
      <c r="N198" s="106" t="e">
        <f>Проект!#REF!</f>
        <v>#REF!</v>
      </c>
      <c r="O198" s="106" t="e">
        <f>Проект!#REF!</f>
        <v>#REF!</v>
      </c>
      <c r="P198" s="106" t="e">
        <f>Проект!#REF!</f>
        <v>#REF!</v>
      </c>
      <c r="Q198" s="106">
        <f ca="1">Проект!$K$477</f>
        <v>0</v>
      </c>
      <c r="R198" s="106"/>
      <c r="S198" s="94"/>
    </row>
    <row r="199" spans="1:19" hidden="1" x14ac:dyDescent="0.2">
      <c r="A199" s="48" t="str">
        <f ca="1">Проект!$A$478</f>
        <v xml:space="preserve">    остаточная стоимость</v>
      </c>
      <c r="B199" s="48"/>
      <c r="C199" s="88" t="str">
        <f ca="1">Проект!$C$478</f>
        <v>руб.</v>
      </c>
      <c r="D199" s="101" t="str">
        <f>Проект!$D$478</f>
        <v>int_end</v>
      </c>
      <c r="E199" s="48"/>
      <c r="F199" s="106">
        <f ca="1">Проект!$F$478</f>
        <v>0</v>
      </c>
      <c r="G199" s="106">
        <f ca="1">Проект!$G$478</f>
        <v>0</v>
      </c>
      <c r="H199" s="106">
        <f ca="1">Проект!$H$478</f>
        <v>0</v>
      </c>
      <c r="I199" s="106">
        <f ca="1">Проект!$I$478</f>
        <v>0</v>
      </c>
      <c r="J199" s="106">
        <f ca="1">Проект!$J$478</f>
        <v>0</v>
      </c>
      <c r="K199" s="106" t="e">
        <f>Проект!#REF!</f>
        <v>#REF!</v>
      </c>
      <c r="L199" s="106" t="e">
        <f>Проект!#REF!</f>
        <v>#REF!</v>
      </c>
      <c r="M199" s="106" t="e">
        <f>Проект!#REF!</f>
        <v>#REF!</v>
      </c>
      <c r="N199" s="106" t="e">
        <f>Проект!#REF!</f>
        <v>#REF!</v>
      </c>
      <c r="O199" s="106" t="e">
        <f>Проект!#REF!</f>
        <v>#REF!</v>
      </c>
      <c r="P199" s="106" t="e">
        <f>Проект!#REF!</f>
        <v>#REF!</v>
      </c>
      <c r="Q199" s="106">
        <f ca="1">Проект!$K$478</f>
        <v>0</v>
      </c>
      <c r="R199" s="106"/>
      <c r="S199" s="94"/>
    </row>
    <row r="200" spans="1:19" hidden="1" x14ac:dyDescent="0.2">
      <c r="A200" s="48" t="str">
        <f ca="1">Проект!$A$479</f>
        <v xml:space="preserve">    реализация актива (без НДС)</v>
      </c>
      <c r="B200" s="48"/>
      <c r="C200" s="88" t="str">
        <f ca="1">Проект!$C$479</f>
        <v>руб.</v>
      </c>
      <c r="D200" s="48"/>
      <c r="E200" s="48"/>
      <c r="F200" s="106">
        <f>Проект!$F$479</f>
        <v>0</v>
      </c>
      <c r="G200" s="106">
        <f>Проект!$G$479</f>
        <v>0</v>
      </c>
      <c r="H200" s="106">
        <f>Проект!$H$479</f>
        <v>0</v>
      </c>
      <c r="I200" s="106">
        <f>Проект!$I$479</f>
        <v>0</v>
      </c>
      <c r="J200" s="106">
        <f>Проект!$J$479</f>
        <v>0</v>
      </c>
      <c r="K200" s="106" t="e">
        <f>Проект!#REF!</f>
        <v>#REF!</v>
      </c>
      <c r="L200" s="106" t="e">
        <f>Проект!#REF!</f>
        <v>#REF!</v>
      </c>
      <c r="M200" s="106" t="e">
        <f>Проект!#REF!</f>
        <v>#REF!</v>
      </c>
      <c r="N200" s="106" t="e">
        <f>Проект!#REF!</f>
        <v>#REF!</v>
      </c>
      <c r="O200" s="106" t="e">
        <f>Проект!#REF!</f>
        <v>#REF!</v>
      </c>
      <c r="P200" s="106" t="e">
        <f>Проект!#REF!</f>
        <v>#REF!</v>
      </c>
      <c r="Q200" s="106">
        <f>Проект!$K$479</f>
        <v>0</v>
      </c>
      <c r="R200" s="106"/>
      <c r="S200" s="94">
        <f>Проект!$M$479</f>
        <v>0</v>
      </c>
    </row>
    <row r="201" spans="1:19" hidden="1" x14ac:dyDescent="0.2">
      <c r="A201" s="48" t="str">
        <f ca="1">Проект!$A$480</f>
        <v xml:space="preserve">    прибыль/убыток от реализации актива</v>
      </c>
      <c r="B201" s="48"/>
      <c r="C201" s="88" t="str">
        <f ca="1">Проект!$C$480</f>
        <v>руб.</v>
      </c>
      <c r="D201" s="48"/>
      <c r="E201" s="48"/>
      <c r="F201" s="106">
        <f>Проект!$F$480</f>
        <v>0</v>
      </c>
      <c r="G201" s="106">
        <f>Проект!$G$480</f>
        <v>0</v>
      </c>
      <c r="H201" s="106">
        <f>Проект!$H$480</f>
        <v>0</v>
      </c>
      <c r="I201" s="106">
        <f>Проект!$I$480</f>
        <v>0</v>
      </c>
      <c r="J201" s="106">
        <f>Проект!$J$480</f>
        <v>0</v>
      </c>
      <c r="K201" s="106" t="e">
        <f>Проект!#REF!</f>
        <v>#REF!</v>
      </c>
      <c r="L201" s="106" t="e">
        <f>Проект!#REF!</f>
        <v>#REF!</v>
      </c>
      <c r="M201" s="106" t="e">
        <f>Проект!#REF!</f>
        <v>#REF!</v>
      </c>
      <c r="N201" s="106" t="e">
        <f>Проект!#REF!</f>
        <v>#REF!</v>
      </c>
      <c r="O201" s="106" t="e">
        <f>Проект!#REF!</f>
        <v>#REF!</v>
      </c>
      <c r="P201" s="106" t="e">
        <f>Проект!#REF!</f>
        <v>#REF!</v>
      </c>
      <c r="Q201" s="106">
        <f>Проект!$K$480</f>
        <v>0</v>
      </c>
      <c r="R201" s="106"/>
      <c r="S201" s="94">
        <f>Проект!$M$480</f>
        <v>0</v>
      </c>
    </row>
    <row r="202" spans="1:19" ht="11.25" customHeight="1" x14ac:dyDescent="0.2">
      <c r="A202" s="130" t="str">
        <f ca="1">Проект!$A$481</f>
        <v xml:space="preserve"> = Итого: Здания и сооружения</v>
      </c>
      <c r="B202" s="130"/>
      <c r="C202" s="88" t="str">
        <f ca="1">Проект!$C$481</f>
        <v>руб.</v>
      </c>
      <c r="D202" s="130"/>
      <c r="E202" s="130"/>
      <c r="F202" s="160">
        <f>Проект!$F$481</f>
        <v>40000</v>
      </c>
      <c r="G202" s="160">
        <f>Проект!$G$481</f>
        <v>40000</v>
      </c>
      <c r="H202" s="160">
        <f>Проект!$H$481</f>
        <v>50000</v>
      </c>
      <c r="I202" s="160">
        <f>Проект!$I$481</f>
        <v>50000</v>
      </c>
      <c r="J202" s="160">
        <f>Проект!$J$481</f>
        <v>50000</v>
      </c>
      <c r="K202" s="160" t="e">
        <f>Проект!#REF!</f>
        <v>#REF!</v>
      </c>
      <c r="L202" s="160" t="e">
        <f>Проект!#REF!</f>
        <v>#REF!</v>
      </c>
      <c r="M202" s="160" t="e">
        <f>Проект!#REF!</f>
        <v>#REF!</v>
      </c>
      <c r="N202" s="160" t="e">
        <f>Проект!#REF!</f>
        <v>#REF!</v>
      </c>
      <c r="O202" s="160" t="e">
        <f>Проект!#REF!</f>
        <v>#REF!</v>
      </c>
      <c r="P202" s="160" t="e">
        <f>Проект!#REF!</f>
        <v>#REF!</v>
      </c>
      <c r="Q202" s="160">
        <f>Проект!$K$481</f>
        <v>50000</v>
      </c>
      <c r="R202" s="160"/>
      <c r="S202" s="95">
        <f>Проект!$M$481</f>
        <v>280000</v>
      </c>
    </row>
    <row r="203" spans="1:19" hidden="1" x14ac:dyDescent="0.2">
      <c r="A203" s="48" t="str">
        <f ca="1">Проект!$A$482</f>
        <v xml:space="preserve">    сумма платежей без НДС</v>
      </c>
      <c r="B203" s="48"/>
      <c r="C203" s="88" t="str">
        <f ca="1">Проект!$C$482</f>
        <v>руб.</v>
      </c>
      <c r="D203" s="48"/>
      <c r="E203" s="48"/>
      <c r="F203" s="106">
        <f>Проект!$F$482</f>
        <v>40000</v>
      </c>
      <c r="G203" s="106">
        <f>Проект!$G$482</f>
        <v>40000</v>
      </c>
      <c r="H203" s="106">
        <f>Проект!$H$482</f>
        <v>50000</v>
      </c>
      <c r="I203" s="106">
        <f>Проект!$I$482</f>
        <v>50000</v>
      </c>
      <c r="J203" s="106">
        <f>Проект!$J$482</f>
        <v>50000</v>
      </c>
      <c r="K203" s="106" t="e">
        <f>Проект!#REF!</f>
        <v>#REF!</v>
      </c>
      <c r="L203" s="106" t="e">
        <f>Проект!#REF!</f>
        <v>#REF!</v>
      </c>
      <c r="M203" s="106" t="e">
        <f>Проект!#REF!</f>
        <v>#REF!</v>
      </c>
      <c r="N203" s="106" t="e">
        <f>Проект!#REF!</f>
        <v>#REF!</v>
      </c>
      <c r="O203" s="106" t="e">
        <f>Проект!#REF!</f>
        <v>#REF!</v>
      </c>
      <c r="P203" s="106" t="e">
        <f>Проект!#REF!</f>
        <v>#REF!</v>
      </c>
      <c r="Q203" s="106">
        <f>Проект!$K$482</f>
        <v>50000</v>
      </c>
      <c r="R203" s="106"/>
      <c r="S203" s="94">
        <f>Проект!$M$482</f>
        <v>280000</v>
      </c>
    </row>
    <row r="204" spans="1:19" hidden="1" x14ac:dyDescent="0.2">
      <c r="A204" s="48" t="str">
        <f ca="1">Проект!$A$483</f>
        <v xml:space="preserve">    полная балансовая стоимость</v>
      </c>
      <c r="B204" s="48"/>
      <c r="C204" s="88" t="str">
        <f ca="1">Проект!$C$483</f>
        <v>руб.</v>
      </c>
      <c r="D204" s="101" t="str">
        <f>Проект!$D$483</f>
        <v>int_end</v>
      </c>
      <c r="E204" s="48"/>
      <c r="F204" s="106">
        <f ca="1">Проект!$F$483</f>
        <v>0</v>
      </c>
      <c r="G204" s="106">
        <f ca="1">Проект!$G$483</f>
        <v>0</v>
      </c>
      <c r="H204" s="106">
        <f ca="1">Проект!$H$483</f>
        <v>0</v>
      </c>
      <c r="I204" s="106">
        <f ca="1">Проект!$I$483</f>
        <v>0</v>
      </c>
      <c r="J204" s="106">
        <f ca="1">Проект!$J$483</f>
        <v>0</v>
      </c>
      <c r="K204" s="106" t="e">
        <f>Проект!#REF!</f>
        <v>#REF!</v>
      </c>
      <c r="L204" s="106" t="e">
        <f>Проект!#REF!</f>
        <v>#REF!</v>
      </c>
      <c r="M204" s="106" t="e">
        <f>Проект!#REF!</f>
        <v>#REF!</v>
      </c>
      <c r="N204" s="106" t="e">
        <f>Проект!#REF!</f>
        <v>#REF!</v>
      </c>
      <c r="O204" s="106" t="e">
        <f>Проект!#REF!</f>
        <v>#REF!</v>
      </c>
      <c r="P204" s="106" t="e">
        <f>Проект!#REF!</f>
        <v>#REF!</v>
      </c>
      <c r="Q204" s="106">
        <f ca="1">Проект!$K$483</f>
        <v>280000</v>
      </c>
      <c r="R204" s="106"/>
      <c r="S204" s="94"/>
    </row>
    <row r="205" spans="1:19" hidden="1" x14ac:dyDescent="0.2">
      <c r="A205" s="48" t="str">
        <f ca="1">Проект!$A$484</f>
        <v xml:space="preserve">    незавершенные инвестиции</v>
      </c>
      <c r="B205" s="48"/>
      <c r="C205" s="88" t="str">
        <f ca="1">Проект!$C$484</f>
        <v>руб.</v>
      </c>
      <c r="D205" s="101" t="str">
        <f>Проект!$D$484</f>
        <v>int_end</v>
      </c>
      <c r="E205" s="48"/>
      <c r="F205" s="106">
        <f ca="1">Проект!$F$484</f>
        <v>40000</v>
      </c>
      <c r="G205" s="106">
        <f ca="1">Проект!$G$484</f>
        <v>80000</v>
      </c>
      <c r="H205" s="106">
        <f ca="1">Проект!$H$484</f>
        <v>130000</v>
      </c>
      <c r="I205" s="106">
        <f ca="1">Проект!$I$484</f>
        <v>180000</v>
      </c>
      <c r="J205" s="106">
        <f ca="1">Проект!$J$484</f>
        <v>230000</v>
      </c>
      <c r="K205" s="106" t="e">
        <f>Проект!#REF!</f>
        <v>#REF!</v>
      </c>
      <c r="L205" s="106" t="e">
        <f>Проект!#REF!</f>
        <v>#REF!</v>
      </c>
      <c r="M205" s="106" t="e">
        <f>Проект!#REF!</f>
        <v>#REF!</v>
      </c>
      <c r="N205" s="106" t="e">
        <f>Проект!#REF!</f>
        <v>#REF!</v>
      </c>
      <c r="O205" s="106" t="e">
        <f>Проект!#REF!</f>
        <v>#REF!</v>
      </c>
      <c r="P205" s="106" t="e">
        <f>Проект!#REF!</f>
        <v>#REF!</v>
      </c>
      <c r="Q205" s="106">
        <f ca="1">Проект!$K$484</f>
        <v>0</v>
      </c>
      <c r="R205" s="106"/>
      <c r="S205" s="94"/>
    </row>
    <row r="206" spans="1:19" hidden="1" x14ac:dyDescent="0.2">
      <c r="A206" s="48" t="str">
        <f ca="1">Проект!$A$485</f>
        <v xml:space="preserve">    авансовая оплата</v>
      </c>
      <c r="B206" s="48"/>
      <c r="C206" s="88" t="str">
        <f ca="1">Проект!$C$485</f>
        <v>руб.</v>
      </c>
      <c r="D206" s="101" t="str">
        <f>Проект!$D$485</f>
        <v>int_end</v>
      </c>
      <c r="E206" s="48"/>
      <c r="F206" s="106">
        <f>Проект!$F$485</f>
        <v>0</v>
      </c>
      <c r="G206" s="106">
        <f>Проект!$G$485</f>
        <v>0</v>
      </c>
      <c r="H206" s="106">
        <f>Проект!$H$485</f>
        <v>0</v>
      </c>
      <c r="I206" s="106">
        <f>Проект!$I$485</f>
        <v>0</v>
      </c>
      <c r="J206" s="106">
        <f>Проект!$J$485</f>
        <v>0</v>
      </c>
      <c r="K206" s="106" t="e">
        <f>Проект!#REF!</f>
        <v>#REF!</v>
      </c>
      <c r="L206" s="106" t="e">
        <f>Проект!#REF!</f>
        <v>#REF!</v>
      </c>
      <c r="M206" s="106" t="e">
        <f>Проект!#REF!</f>
        <v>#REF!</v>
      </c>
      <c r="N206" s="106" t="e">
        <f>Проект!#REF!</f>
        <v>#REF!</v>
      </c>
      <c r="O206" s="106" t="e">
        <f>Проект!#REF!</f>
        <v>#REF!</v>
      </c>
      <c r="P206" s="106" t="e">
        <f>Проект!#REF!</f>
        <v>#REF!</v>
      </c>
      <c r="Q206" s="106">
        <f>Проект!$K$485</f>
        <v>0</v>
      </c>
      <c r="R206" s="106"/>
      <c r="S206" s="94"/>
    </row>
    <row r="207" spans="1:19" hidden="1" x14ac:dyDescent="0.2">
      <c r="A207" s="48" t="str">
        <f ca="1">Проект!$A$486</f>
        <v xml:space="preserve">    кредиторская задолженность</v>
      </c>
      <c r="B207" s="48"/>
      <c r="C207" s="88" t="str">
        <f ca="1">Проект!$C$486</f>
        <v>руб.</v>
      </c>
      <c r="D207" s="101" t="str">
        <f>Проект!$D$486</f>
        <v>int_end</v>
      </c>
      <c r="E207" s="48"/>
      <c r="F207" s="106">
        <f ca="1">Проект!$F$486</f>
        <v>0</v>
      </c>
      <c r="G207" s="106">
        <f ca="1">Проект!$G$486</f>
        <v>0</v>
      </c>
      <c r="H207" s="106">
        <f ca="1">Проект!$H$486</f>
        <v>0</v>
      </c>
      <c r="I207" s="106">
        <f ca="1">Проект!$I$486</f>
        <v>0</v>
      </c>
      <c r="J207" s="106">
        <f ca="1">Проект!$J$486</f>
        <v>0</v>
      </c>
      <c r="K207" s="106" t="e">
        <f>Проект!#REF!</f>
        <v>#REF!</v>
      </c>
      <c r="L207" s="106" t="e">
        <f>Проект!#REF!</f>
        <v>#REF!</v>
      </c>
      <c r="M207" s="106" t="e">
        <f>Проект!#REF!</f>
        <v>#REF!</v>
      </c>
      <c r="N207" s="106" t="e">
        <f>Проект!#REF!</f>
        <v>#REF!</v>
      </c>
      <c r="O207" s="106" t="e">
        <f>Проект!#REF!</f>
        <v>#REF!</v>
      </c>
      <c r="P207" s="106" t="e">
        <f>Проект!#REF!</f>
        <v>#REF!</v>
      </c>
      <c r="Q207" s="106">
        <f ca="1">Проект!$K$486</f>
        <v>0</v>
      </c>
      <c r="R207" s="106"/>
      <c r="S207" s="94"/>
    </row>
    <row r="208" spans="1:19" hidden="1" x14ac:dyDescent="0.2">
      <c r="A208" s="48" t="str">
        <f ca="1">Проект!$A$487</f>
        <v xml:space="preserve">    амортизация</v>
      </c>
      <c r="B208" s="48"/>
      <c r="C208" s="88" t="str">
        <f ca="1">Проект!$C$487</f>
        <v>руб.</v>
      </c>
      <c r="D208" s="48"/>
      <c r="E208" s="48"/>
      <c r="F208" s="106">
        <f ca="1">Проект!$F$487</f>
        <v>0</v>
      </c>
      <c r="G208" s="106">
        <f ca="1">Проект!$G$487</f>
        <v>0</v>
      </c>
      <c r="H208" s="106">
        <f ca="1">Проект!$H$487</f>
        <v>0</v>
      </c>
      <c r="I208" s="106">
        <f ca="1">Проект!$I$487</f>
        <v>0</v>
      </c>
      <c r="J208" s="106">
        <f ca="1">Проект!$J$487</f>
        <v>0</v>
      </c>
      <c r="K208" s="106" t="e">
        <f>Проект!#REF!</f>
        <v>#REF!</v>
      </c>
      <c r="L208" s="106" t="e">
        <f>Проект!#REF!</f>
        <v>#REF!</v>
      </c>
      <c r="M208" s="106" t="e">
        <f>Проект!#REF!</f>
        <v>#REF!</v>
      </c>
      <c r="N208" s="106" t="e">
        <f>Проект!#REF!</f>
        <v>#REF!</v>
      </c>
      <c r="O208" s="106" t="e">
        <f>Проект!#REF!</f>
        <v>#REF!</v>
      </c>
      <c r="P208" s="106" t="e">
        <f>Проект!#REF!</f>
        <v>#REF!</v>
      </c>
      <c r="Q208" s="106">
        <f ca="1">Проект!$K$487</f>
        <v>1166.6666666666667</v>
      </c>
      <c r="R208" s="106"/>
      <c r="S208" s="94">
        <f ca="1">Проект!$M$487</f>
        <v>1166.6666666666667</v>
      </c>
    </row>
    <row r="209" spans="1:19" hidden="1" x14ac:dyDescent="0.2">
      <c r="A209" s="48" t="str">
        <f ca="1">Проект!$A$488</f>
        <v xml:space="preserve">    остаточная стоимость</v>
      </c>
      <c r="B209" s="48"/>
      <c r="C209" s="88" t="str">
        <f ca="1">Проект!$C$488</f>
        <v>руб.</v>
      </c>
      <c r="D209" s="101" t="str">
        <f>Проект!$D$488</f>
        <v>int_end</v>
      </c>
      <c r="E209" s="48"/>
      <c r="F209" s="106">
        <f ca="1">Проект!$F$488</f>
        <v>0</v>
      </c>
      <c r="G209" s="106">
        <f ca="1">Проект!$G$488</f>
        <v>0</v>
      </c>
      <c r="H209" s="106">
        <f ca="1">Проект!$H$488</f>
        <v>0</v>
      </c>
      <c r="I209" s="106">
        <f ca="1">Проект!$I$488</f>
        <v>0</v>
      </c>
      <c r="J209" s="106">
        <f ca="1">Проект!$J$488</f>
        <v>0</v>
      </c>
      <c r="K209" s="106" t="e">
        <f>Проект!#REF!</f>
        <v>#REF!</v>
      </c>
      <c r="L209" s="106" t="e">
        <f>Проект!#REF!</f>
        <v>#REF!</v>
      </c>
      <c r="M209" s="106" t="e">
        <f>Проект!#REF!</f>
        <v>#REF!</v>
      </c>
      <c r="N209" s="106" t="e">
        <f>Проект!#REF!</f>
        <v>#REF!</v>
      </c>
      <c r="O209" s="106" t="e">
        <f>Проект!#REF!</f>
        <v>#REF!</v>
      </c>
      <c r="P209" s="106" t="e">
        <f>Проект!#REF!</f>
        <v>#REF!</v>
      </c>
      <c r="Q209" s="106">
        <f ca="1">Проект!$K$488</f>
        <v>278833.33333333331</v>
      </c>
      <c r="R209" s="106"/>
      <c r="S209" s="94"/>
    </row>
    <row r="210" spans="1:19" hidden="1" x14ac:dyDescent="0.2">
      <c r="A210" s="48" t="str">
        <f ca="1">Проект!$A$489</f>
        <v xml:space="preserve">    выплаченный НДС</v>
      </c>
      <c r="B210" s="48"/>
      <c r="C210" s="88" t="str">
        <f ca="1">Проект!$C$489</f>
        <v>руб.</v>
      </c>
      <c r="D210" s="48"/>
      <c r="E210" s="48"/>
      <c r="F210" s="106">
        <f>Проект!$F$489</f>
        <v>0</v>
      </c>
      <c r="G210" s="106">
        <f>Проект!$G$489</f>
        <v>0</v>
      </c>
      <c r="H210" s="106">
        <f>Проект!$H$489</f>
        <v>0</v>
      </c>
      <c r="I210" s="106">
        <f>Проект!$I$489</f>
        <v>0</v>
      </c>
      <c r="J210" s="106">
        <f>Проект!$J$489</f>
        <v>0</v>
      </c>
      <c r="K210" s="106" t="e">
        <f>Проект!#REF!</f>
        <v>#REF!</v>
      </c>
      <c r="L210" s="106" t="e">
        <f>Проект!#REF!</f>
        <v>#REF!</v>
      </c>
      <c r="M210" s="106" t="e">
        <f>Проект!#REF!</f>
        <v>#REF!</v>
      </c>
      <c r="N210" s="106" t="e">
        <f>Проект!#REF!</f>
        <v>#REF!</v>
      </c>
      <c r="O210" s="106" t="e">
        <f>Проект!#REF!</f>
        <v>#REF!</v>
      </c>
      <c r="P210" s="106" t="e">
        <f>Проект!#REF!</f>
        <v>#REF!</v>
      </c>
      <c r="Q210" s="106">
        <f>Проект!$K$489</f>
        <v>0</v>
      </c>
      <c r="R210" s="106"/>
      <c r="S210" s="94">
        <f>Проект!$M$489</f>
        <v>0</v>
      </c>
    </row>
    <row r="211" spans="1:19" hidden="1" x14ac:dyDescent="0.2">
      <c r="A211" s="48" t="str">
        <f ca="1">Проект!$A$490</f>
        <v xml:space="preserve">    зачет НДС</v>
      </c>
      <c r="B211" s="48"/>
      <c r="C211" s="88" t="str">
        <f ca="1">Проект!$C$490</f>
        <v>руб.</v>
      </c>
      <c r="D211" s="48"/>
      <c r="E211" s="48"/>
      <c r="F211" s="106">
        <f ca="1">Проект!$F$490</f>
        <v>0</v>
      </c>
      <c r="G211" s="106">
        <f ca="1">Проект!$G$490</f>
        <v>0</v>
      </c>
      <c r="H211" s="106">
        <f ca="1">Проект!$H$490</f>
        <v>0</v>
      </c>
      <c r="I211" s="106">
        <f ca="1">Проект!$I$490</f>
        <v>0</v>
      </c>
      <c r="J211" s="106">
        <f ca="1">Проект!$J$490</f>
        <v>0</v>
      </c>
      <c r="K211" s="106" t="e">
        <f>Проект!#REF!</f>
        <v>#REF!</v>
      </c>
      <c r="L211" s="106" t="e">
        <f>Проект!#REF!</f>
        <v>#REF!</v>
      </c>
      <c r="M211" s="106" t="e">
        <f>Проект!#REF!</f>
        <v>#REF!</v>
      </c>
      <c r="N211" s="106" t="e">
        <f>Проект!#REF!</f>
        <v>#REF!</v>
      </c>
      <c r="O211" s="106" t="e">
        <f>Проект!#REF!</f>
        <v>#REF!</v>
      </c>
      <c r="P211" s="106" t="e">
        <f>Проект!#REF!</f>
        <v>#REF!</v>
      </c>
      <c r="Q211" s="106">
        <f ca="1">Проект!$K$490</f>
        <v>0</v>
      </c>
      <c r="R211" s="106"/>
      <c r="S211" s="94">
        <f ca="1">Проект!$M$490</f>
        <v>0</v>
      </c>
    </row>
    <row r="212" spans="1:19" hidden="1" x14ac:dyDescent="0.2">
      <c r="A212" s="48" t="str">
        <f ca="1">Проект!$A$491</f>
        <v xml:space="preserve">    реализация актива (без НДС)</v>
      </c>
      <c r="B212" s="48"/>
      <c r="C212" s="88" t="str">
        <f ca="1">Проект!$C$491</f>
        <v>руб.</v>
      </c>
      <c r="D212" s="48"/>
      <c r="E212" s="48"/>
      <c r="F212" s="106">
        <f>Проект!$F$491</f>
        <v>0</v>
      </c>
      <c r="G212" s="106">
        <f>Проект!$G$491</f>
        <v>0</v>
      </c>
      <c r="H212" s="106">
        <f>Проект!$H$491</f>
        <v>0</v>
      </c>
      <c r="I212" s="106">
        <f>Проект!$I$491</f>
        <v>0</v>
      </c>
      <c r="J212" s="106">
        <f>Проект!$J$491</f>
        <v>0</v>
      </c>
      <c r="K212" s="106" t="e">
        <f>Проект!#REF!</f>
        <v>#REF!</v>
      </c>
      <c r="L212" s="106" t="e">
        <f>Проект!#REF!</f>
        <v>#REF!</v>
      </c>
      <c r="M212" s="106" t="e">
        <f>Проект!#REF!</f>
        <v>#REF!</v>
      </c>
      <c r="N212" s="106" t="e">
        <f>Проект!#REF!</f>
        <v>#REF!</v>
      </c>
      <c r="O212" s="106" t="e">
        <f>Проект!#REF!</f>
        <v>#REF!</v>
      </c>
      <c r="P212" s="106" t="e">
        <f>Проект!#REF!</f>
        <v>#REF!</v>
      </c>
      <c r="Q212" s="106">
        <f>Проект!$K$491</f>
        <v>0</v>
      </c>
      <c r="R212" s="106"/>
      <c r="S212" s="94">
        <f>Проект!$M$491</f>
        <v>0</v>
      </c>
    </row>
    <row r="213" spans="1:19" hidden="1" x14ac:dyDescent="0.2">
      <c r="A213" s="48" t="str">
        <f ca="1">Проект!$A$492</f>
        <v xml:space="preserve">    прибыль/убыток от реализации актива</v>
      </c>
      <c r="B213" s="48"/>
      <c r="C213" s="88" t="str">
        <f ca="1">Проект!$C$492</f>
        <v>руб.</v>
      </c>
      <c r="D213" s="48"/>
      <c r="E213" s="48"/>
      <c r="F213" s="106">
        <f>Проект!$F$492</f>
        <v>0</v>
      </c>
      <c r="G213" s="106">
        <f>Проект!$G$492</f>
        <v>0</v>
      </c>
      <c r="H213" s="106">
        <f>Проект!$H$492</f>
        <v>0</v>
      </c>
      <c r="I213" s="106">
        <f>Проект!$I$492</f>
        <v>0</v>
      </c>
      <c r="J213" s="106">
        <f>Проект!$J$492</f>
        <v>0</v>
      </c>
      <c r="K213" s="106" t="e">
        <f>Проект!#REF!</f>
        <v>#REF!</v>
      </c>
      <c r="L213" s="106" t="e">
        <f>Проект!#REF!</f>
        <v>#REF!</v>
      </c>
      <c r="M213" s="106" t="e">
        <f>Проект!#REF!</f>
        <v>#REF!</v>
      </c>
      <c r="N213" s="106" t="e">
        <f>Проект!#REF!</f>
        <v>#REF!</v>
      </c>
      <c r="O213" s="106" t="e">
        <f>Проект!#REF!</f>
        <v>#REF!</v>
      </c>
      <c r="P213" s="106" t="e">
        <f>Проект!#REF!</f>
        <v>#REF!</v>
      </c>
      <c r="Q213" s="106">
        <f>Проект!$K$492</f>
        <v>0</v>
      </c>
      <c r="R213" s="106"/>
      <c r="S213" s="94">
        <f>Проект!$M$492</f>
        <v>0</v>
      </c>
    </row>
    <row r="214" spans="1:19" hidden="1" x14ac:dyDescent="0.2">
      <c r="A214" s="48" t="str">
        <f ca="1">Проект!$A$493</f>
        <v xml:space="preserve">    прибыль/убыток от строительной деятельности</v>
      </c>
      <c r="B214" s="48"/>
      <c r="C214" s="88" t="str">
        <f ca="1">Проект!$C$493</f>
        <v>руб.</v>
      </c>
      <c r="D214" s="48"/>
      <c r="E214" s="48"/>
      <c r="F214" s="106">
        <f>Проект!$F$493</f>
        <v>0</v>
      </c>
      <c r="G214" s="106">
        <f>Проект!$G$493</f>
        <v>0</v>
      </c>
      <c r="H214" s="106">
        <f>Проект!$H$493</f>
        <v>0</v>
      </c>
      <c r="I214" s="106">
        <f>Проект!$I$493</f>
        <v>0</v>
      </c>
      <c r="J214" s="106">
        <f>Проект!$J$493</f>
        <v>0</v>
      </c>
      <c r="K214" s="106" t="e">
        <f>Проект!#REF!</f>
        <v>#REF!</v>
      </c>
      <c r="L214" s="106" t="e">
        <f>Проект!#REF!</f>
        <v>#REF!</v>
      </c>
      <c r="M214" s="106" t="e">
        <f>Проект!#REF!</f>
        <v>#REF!</v>
      </c>
      <c r="N214" s="106" t="e">
        <f>Проект!#REF!</f>
        <v>#REF!</v>
      </c>
      <c r="O214" s="106" t="e">
        <f>Проект!#REF!</f>
        <v>#REF!</v>
      </c>
      <c r="P214" s="106" t="e">
        <f>Проект!#REF!</f>
        <v>#REF!</v>
      </c>
      <c r="Q214" s="106">
        <f>Проект!$K$493</f>
        <v>0</v>
      </c>
      <c r="R214" s="106"/>
      <c r="S214" s="94">
        <f>Проект!$M$493</f>
        <v>0</v>
      </c>
    </row>
    <row r="215" spans="1:19" hidden="1" x14ac:dyDescent="0.2">
      <c r="A215" s="48" t="str">
        <f ca="1">Проект!$A$494</f>
        <v xml:space="preserve">    НДС к выручке от реализации актива</v>
      </c>
      <c r="B215" s="48"/>
      <c r="C215" s="88" t="str">
        <f ca="1">Проект!$C$494</f>
        <v>руб.</v>
      </c>
      <c r="D215" s="48"/>
      <c r="E215" s="48"/>
      <c r="F215" s="106">
        <f>Проект!$F$494</f>
        <v>0</v>
      </c>
      <c r="G215" s="106">
        <f>Проект!$G$494</f>
        <v>0</v>
      </c>
      <c r="H215" s="106">
        <f>Проект!$H$494</f>
        <v>0</v>
      </c>
      <c r="I215" s="106">
        <f>Проект!$I$494</f>
        <v>0</v>
      </c>
      <c r="J215" s="106">
        <f>Проект!$J$494</f>
        <v>0</v>
      </c>
      <c r="K215" s="106" t="e">
        <f>Проект!#REF!</f>
        <v>#REF!</v>
      </c>
      <c r="L215" s="106" t="e">
        <f>Проект!#REF!</f>
        <v>#REF!</v>
      </c>
      <c r="M215" s="106" t="e">
        <f>Проект!#REF!</f>
        <v>#REF!</v>
      </c>
      <c r="N215" s="106" t="e">
        <f>Проект!#REF!</f>
        <v>#REF!</v>
      </c>
      <c r="O215" s="106" t="e">
        <f>Проект!#REF!</f>
        <v>#REF!</v>
      </c>
      <c r="P215" s="106" t="e">
        <f>Проект!#REF!</f>
        <v>#REF!</v>
      </c>
      <c r="Q215" s="106">
        <f>Проект!$K$494</f>
        <v>0</v>
      </c>
      <c r="R215" s="106"/>
      <c r="S215" s="94">
        <f>Проект!$M$494</f>
        <v>0</v>
      </c>
    </row>
    <row r="216" spans="1:19" ht="11.25" customHeight="1" x14ac:dyDescent="0.2">
      <c r="A216" s="130" t="str">
        <f ca="1">Проект!$A$495</f>
        <v xml:space="preserve"> = Итого: Оборудование и другие активы</v>
      </c>
      <c r="B216" s="130"/>
      <c r="C216" s="88" t="str">
        <f ca="1">Проект!$C$495</f>
        <v>руб.</v>
      </c>
      <c r="D216" s="130"/>
      <c r="E216" s="130"/>
      <c r="F216" s="160">
        <f>Проект!$F$495</f>
        <v>500000</v>
      </c>
      <c r="G216" s="160">
        <f>Проект!$G$495</f>
        <v>0</v>
      </c>
      <c r="H216" s="160">
        <f>Проект!$H$495</f>
        <v>0</v>
      </c>
      <c r="I216" s="160">
        <f>Проект!$I$495</f>
        <v>700000</v>
      </c>
      <c r="J216" s="160">
        <f>Проект!$J$495</f>
        <v>0</v>
      </c>
      <c r="K216" s="160" t="e">
        <f>Проект!#REF!</f>
        <v>#REF!</v>
      </c>
      <c r="L216" s="160" t="e">
        <f>Проект!#REF!</f>
        <v>#REF!</v>
      </c>
      <c r="M216" s="160" t="e">
        <f>Проект!#REF!</f>
        <v>#REF!</v>
      </c>
      <c r="N216" s="160" t="e">
        <f>Проект!#REF!</f>
        <v>#REF!</v>
      </c>
      <c r="O216" s="160" t="e">
        <f>Проект!#REF!</f>
        <v>#REF!</v>
      </c>
      <c r="P216" s="160" t="e">
        <f>Проект!#REF!</f>
        <v>#REF!</v>
      </c>
      <c r="Q216" s="160">
        <f>Проект!$K$495</f>
        <v>0</v>
      </c>
      <c r="R216" s="160"/>
      <c r="S216" s="95">
        <f>Проект!$M$495</f>
        <v>1200000</v>
      </c>
    </row>
    <row r="217" spans="1:19" hidden="1" x14ac:dyDescent="0.2">
      <c r="A217" s="48" t="str">
        <f ca="1">Проект!$A$496</f>
        <v xml:space="preserve">    сумма платежей без НДС</v>
      </c>
      <c r="B217" s="48"/>
      <c r="C217" s="88" t="str">
        <f ca="1">Проект!$C$496</f>
        <v>руб.</v>
      </c>
      <c r="D217" s="48"/>
      <c r="E217" s="48"/>
      <c r="F217" s="106">
        <f>Проект!$F$496</f>
        <v>500000</v>
      </c>
      <c r="G217" s="106">
        <f>Проект!$G$496</f>
        <v>0</v>
      </c>
      <c r="H217" s="106">
        <f>Проект!$H$496</f>
        <v>0</v>
      </c>
      <c r="I217" s="106">
        <f>Проект!$I$496</f>
        <v>700000</v>
      </c>
      <c r="J217" s="106">
        <f>Проект!$J$496</f>
        <v>0</v>
      </c>
      <c r="K217" s="106" t="e">
        <f>Проект!#REF!</f>
        <v>#REF!</v>
      </c>
      <c r="L217" s="106" t="e">
        <f>Проект!#REF!</f>
        <v>#REF!</v>
      </c>
      <c r="M217" s="106" t="e">
        <f>Проект!#REF!</f>
        <v>#REF!</v>
      </c>
      <c r="N217" s="106" t="e">
        <f>Проект!#REF!</f>
        <v>#REF!</v>
      </c>
      <c r="O217" s="106" t="e">
        <f>Проект!#REF!</f>
        <v>#REF!</v>
      </c>
      <c r="P217" s="106" t="e">
        <f>Проект!#REF!</f>
        <v>#REF!</v>
      </c>
      <c r="Q217" s="106">
        <f>Проект!$K$496</f>
        <v>0</v>
      </c>
      <c r="R217" s="106"/>
      <c r="S217" s="94">
        <f>Проект!$M$496</f>
        <v>1200000</v>
      </c>
    </row>
    <row r="218" spans="1:19" hidden="1" x14ac:dyDescent="0.2">
      <c r="A218" s="48" t="str">
        <f ca="1">Проект!$A$497</f>
        <v xml:space="preserve">    полная балансовая стоимость</v>
      </c>
      <c r="B218" s="48"/>
      <c r="C218" s="88" t="str">
        <f ca="1">Проект!$C$497</f>
        <v>руб.</v>
      </c>
      <c r="D218" s="101" t="str">
        <f>Проект!$D$497</f>
        <v>int_end</v>
      </c>
      <c r="E218" s="48"/>
      <c r="F218" s="106">
        <f ca="1">Проект!$F$497</f>
        <v>0</v>
      </c>
      <c r="G218" s="106">
        <f ca="1">Проект!$G$497</f>
        <v>0</v>
      </c>
      <c r="H218" s="106">
        <f ca="1">Проект!$H$497</f>
        <v>0</v>
      </c>
      <c r="I218" s="106">
        <f ca="1">Проект!$I$497</f>
        <v>1200000</v>
      </c>
      <c r="J218" s="106">
        <f ca="1">Проект!$J$497</f>
        <v>1200000</v>
      </c>
      <c r="K218" s="106" t="e">
        <f>Проект!#REF!</f>
        <v>#REF!</v>
      </c>
      <c r="L218" s="106" t="e">
        <f>Проект!#REF!</f>
        <v>#REF!</v>
      </c>
      <c r="M218" s="106" t="e">
        <f>Проект!#REF!</f>
        <v>#REF!</v>
      </c>
      <c r="N218" s="106" t="e">
        <f>Проект!#REF!</f>
        <v>#REF!</v>
      </c>
      <c r="O218" s="106" t="e">
        <f>Проект!#REF!</f>
        <v>#REF!</v>
      </c>
      <c r="P218" s="106" t="e">
        <f>Проект!#REF!</f>
        <v>#REF!</v>
      </c>
      <c r="Q218" s="106">
        <f ca="1">Проект!$K$497</f>
        <v>1200000</v>
      </c>
      <c r="R218" s="106"/>
      <c r="S218" s="94"/>
    </row>
    <row r="219" spans="1:19" hidden="1" x14ac:dyDescent="0.2">
      <c r="A219" s="48" t="str">
        <f ca="1">Проект!$A$498</f>
        <v xml:space="preserve">    незавершенные инвестиции</v>
      </c>
      <c r="B219" s="48"/>
      <c r="C219" s="88" t="str">
        <f ca="1">Проект!$C$498</f>
        <v>руб.</v>
      </c>
      <c r="D219" s="101" t="str">
        <f>Проект!$D$498</f>
        <v>int_end</v>
      </c>
      <c r="E219" s="48"/>
      <c r="F219" s="106">
        <f ca="1">Проект!$F$498</f>
        <v>500000</v>
      </c>
      <c r="G219" s="106">
        <f ca="1">Проект!$G$498</f>
        <v>500000</v>
      </c>
      <c r="H219" s="106">
        <f ca="1">Проект!$H$498</f>
        <v>500000</v>
      </c>
      <c r="I219" s="106">
        <f ca="1">Проект!$I$498</f>
        <v>0</v>
      </c>
      <c r="J219" s="106">
        <f ca="1">Проект!$J$498</f>
        <v>0</v>
      </c>
      <c r="K219" s="106" t="e">
        <f>Проект!#REF!</f>
        <v>#REF!</v>
      </c>
      <c r="L219" s="106" t="e">
        <f>Проект!#REF!</f>
        <v>#REF!</v>
      </c>
      <c r="M219" s="106" t="e">
        <f>Проект!#REF!</f>
        <v>#REF!</v>
      </c>
      <c r="N219" s="106" t="e">
        <f>Проект!#REF!</f>
        <v>#REF!</v>
      </c>
      <c r="O219" s="106" t="e">
        <f>Проект!#REF!</f>
        <v>#REF!</v>
      </c>
      <c r="P219" s="106" t="e">
        <f>Проект!#REF!</f>
        <v>#REF!</v>
      </c>
      <c r="Q219" s="106">
        <f ca="1">Проект!$K$498</f>
        <v>0</v>
      </c>
      <c r="R219" s="106"/>
      <c r="S219" s="94"/>
    </row>
    <row r="220" spans="1:19" hidden="1" x14ac:dyDescent="0.2">
      <c r="A220" s="48" t="str">
        <f ca="1">Проект!$A$499</f>
        <v xml:space="preserve">    кредиторская задолженность</v>
      </c>
      <c r="B220" s="48"/>
      <c r="C220" s="88" t="str">
        <f ca="1">Проект!$C$499</f>
        <v>руб.</v>
      </c>
      <c r="D220" s="101" t="str">
        <f>Проект!$D$499</f>
        <v>int_end</v>
      </c>
      <c r="E220" s="48"/>
      <c r="F220" s="106">
        <f ca="1">Проект!$F$499</f>
        <v>0</v>
      </c>
      <c r="G220" s="106">
        <f ca="1">Проект!$G$499</f>
        <v>0</v>
      </c>
      <c r="H220" s="106">
        <f ca="1">Проект!$H$499</f>
        <v>0</v>
      </c>
      <c r="I220" s="106">
        <f ca="1">Проект!$I$499</f>
        <v>0</v>
      </c>
      <c r="J220" s="106">
        <f ca="1">Проект!$J$499</f>
        <v>0</v>
      </c>
      <c r="K220" s="106" t="e">
        <f>Проект!#REF!</f>
        <v>#REF!</v>
      </c>
      <c r="L220" s="106" t="e">
        <f>Проект!#REF!</f>
        <v>#REF!</v>
      </c>
      <c r="M220" s="106" t="e">
        <f>Проект!#REF!</f>
        <v>#REF!</v>
      </c>
      <c r="N220" s="106" t="e">
        <f>Проект!#REF!</f>
        <v>#REF!</v>
      </c>
      <c r="O220" s="106" t="e">
        <f>Проект!#REF!</f>
        <v>#REF!</v>
      </c>
      <c r="P220" s="106" t="e">
        <f>Проект!#REF!</f>
        <v>#REF!</v>
      </c>
      <c r="Q220" s="106">
        <f ca="1">Проект!$K$499</f>
        <v>0</v>
      </c>
      <c r="R220" s="106"/>
      <c r="S220" s="94"/>
    </row>
    <row r="221" spans="1:19" hidden="1" x14ac:dyDescent="0.2">
      <c r="A221" s="48" t="str">
        <f ca="1">Проект!$A$500</f>
        <v xml:space="preserve">    амортизация</v>
      </c>
      <c r="B221" s="48"/>
      <c r="C221" s="88" t="str">
        <f ca="1">Проект!$C$500</f>
        <v>руб.</v>
      </c>
      <c r="D221" s="48"/>
      <c r="E221" s="48"/>
      <c r="F221" s="106">
        <f ca="1">Проект!$F$500</f>
        <v>0</v>
      </c>
      <c r="G221" s="106">
        <f ca="1">Проект!$G$500</f>
        <v>0</v>
      </c>
      <c r="H221" s="106">
        <f ca="1">Проект!$H$500</f>
        <v>0</v>
      </c>
      <c r="I221" s="106">
        <f ca="1">Проект!$I$500</f>
        <v>20000</v>
      </c>
      <c r="J221" s="106">
        <f ca="1">Проект!$J$500</f>
        <v>20000</v>
      </c>
      <c r="K221" s="106" t="e">
        <f>Проект!#REF!</f>
        <v>#REF!</v>
      </c>
      <c r="L221" s="106" t="e">
        <f>Проект!#REF!</f>
        <v>#REF!</v>
      </c>
      <c r="M221" s="106" t="e">
        <f>Проект!#REF!</f>
        <v>#REF!</v>
      </c>
      <c r="N221" s="106" t="e">
        <f>Проект!#REF!</f>
        <v>#REF!</v>
      </c>
      <c r="O221" s="106" t="e">
        <f>Проект!#REF!</f>
        <v>#REF!</v>
      </c>
      <c r="P221" s="106" t="e">
        <f>Проект!#REF!</f>
        <v>#REF!</v>
      </c>
      <c r="Q221" s="106">
        <f ca="1">Проект!$K$500</f>
        <v>20000</v>
      </c>
      <c r="R221" s="106"/>
      <c r="S221" s="94">
        <f ca="1">Проект!$M$500</f>
        <v>60000</v>
      </c>
    </row>
    <row r="222" spans="1:19" hidden="1" x14ac:dyDescent="0.2">
      <c r="A222" s="48" t="str">
        <f ca="1">Проект!$A$501</f>
        <v xml:space="preserve">    остаточная стоимость</v>
      </c>
      <c r="B222" s="48"/>
      <c r="C222" s="88" t="str">
        <f ca="1">Проект!$C$501</f>
        <v>руб.</v>
      </c>
      <c r="D222" s="101" t="str">
        <f>Проект!$D$501</f>
        <v>int_end</v>
      </c>
      <c r="E222" s="48"/>
      <c r="F222" s="106">
        <f ca="1">Проект!$F$501</f>
        <v>0</v>
      </c>
      <c r="G222" s="106">
        <f ca="1">Проект!$G$501</f>
        <v>0</v>
      </c>
      <c r="H222" s="106">
        <f ca="1">Проект!$H$501</f>
        <v>0</v>
      </c>
      <c r="I222" s="106">
        <f ca="1">Проект!$I$501</f>
        <v>1180000</v>
      </c>
      <c r="J222" s="106">
        <f ca="1">Проект!$J$501</f>
        <v>1160000</v>
      </c>
      <c r="K222" s="106" t="e">
        <f>Проект!#REF!</f>
        <v>#REF!</v>
      </c>
      <c r="L222" s="106" t="e">
        <f>Проект!#REF!</f>
        <v>#REF!</v>
      </c>
      <c r="M222" s="106" t="e">
        <f>Проект!#REF!</f>
        <v>#REF!</v>
      </c>
      <c r="N222" s="106" t="e">
        <f>Проект!#REF!</f>
        <v>#REF!</v>
      </c>
      <c r="O222" s="106" t="e">
        <f>Проект!#REF!</f>
        <v>#REF!</v>
      </c>
      <c r="P222" s="106" t="e">
        <f>Проект!#REF!</f>
        <v>#REF!</v>
      </c>
      <c r="Q222" s="106">
        <f ca="1">Проект!$K$501</f>
        <v>1140000</v>
      </c>
      <c r="R222" s="106"/>
      <c r="S222" s="94"/>
    </row>
    <row r="223" spans="1:19" hidden="1" x14ac:dyDescent="0.2">
      <c r="A223" s="48" t="str">
        <f ca="1">Проект!$A$502</f>
        <v xml:space="preserve">    выплаченный НДС</v>
      </c>
      <c r="B223" s="48"/>
      <c r="C223" s="88" t="str">
        <f ca="1">Проект!$C$502</f>
        <v>руб.</v>
      </c>
      <c r="D223" s="48"/>
      <c r="E223" s="48"/>
      <c r="F223" s="106">
        <f>Проект!$F$502</f>
        <v>0</v>
      </c>
      <c r="G223" s="106">
        <f>Проект!$G$502</f>
        <v>0</v>
      </c>
      <c r="H223" s="106">
        <f>Проект!$H$502</f>
        <v>0</v>
      </c>
      <c r="I223" s="106">
        <f>Проект!$I$502</f>
        <v>0</v>
      </c>
      <c r="J223" s="106">
        <f>Проект!$J$502</f>
        <v>0</v>
      </c>
      <c r="K223" s="106" t="e">
        <f>Проект!#REF!</f>
        <v>#REF!</v>
      </c>
      <c r="L223" s="106" t="e">
        <f>Проект!#REF!</f>
        <v>#REF!</v>
      </c>
      <c r="M223" s="106" t="e">
        <f>Проект!#REF!</f>
        <v>#REF!</v>
      </c>
      <c r="N223" s="106" t="e">
        <f>Проект!#REF!</f>
        <v>#REF!</v>
      </c>
      <c r="O223" s="106" t="e">
        <f>Проект!#REF!</f>
        <v>#REF!</v>
      </c>
      <c r="P223" s="106" t="e">
        <f>Проект!#REF!</f>
        <v>#REF!</v>
      </c>
      <c r="Q223" s="106">
        <f>Проект!$K$502</f>
        <v>0</v>
      </c>
      <c r="R223" s="106"/>
      <c r="S223" s="94">
        <f>Проект!$M$502</f>
        <v>0</v>
      </c>
    </row>
    <row r="224" spans="1:19" hidden="1" x14ac:dyDescent="0.2">
      <c r="A224" s="48" t="str">
        <f ca="1">Проект!$A$503</f>
        <v xml:space="preserve">    зачет НДС</v>
      </c>
      <c r="B224" s="48"/>
      <c r="C224" s="88" t="str">
        <f ca="1">Проект!$C$503</f>
        <v>руб.</v>
      </c>
      <c r="D224" s="48"/>
      <c r="E224" s="48"/>
      <c r="F224" s="106">
        <f ca="1">Проект!$F$503</f>
        <v>0</v>
      </c>
      <c r="G224" s="106">
        <f ca="1">Проект!$G$503</f>
        <v>0</v>
      </c>
      <c r="H224" s="106">
        <f ca="1">Проект!$H$503</f>
        <v>0</v>
      </c>
      <c r="I224" s="106">
        <f ca="1">Проект!$I$503</f>
        <v>0</v>
      </c>
      <c r="J224" s="106">
        <f ca="1">Проект!$J$503</f>
        <v>0</v>
      </c>
      <c r="K224" s="106" t="e">
        <f>Проект!#REF!</f>
        <v>#REF!</v>
      </c>
      <c r="L224" s="106" t="e">
        <f>Проект!#REF!</f>
        <v>#REF!</v>
      </c>
      <c r="M224" s="106" t="e">
        <f>Проект!#REF!</f>
        <v>#REF!</v>
      </c>
      <c r="N224" s="106" t="e">
        <f>Проект!#REF!</f>
        <v>#REF!</v>
      </c>
      <c r="O224" s="106" t="e">
        <f>Проект!#REF!</f>
        <v>#REF!</v>
      </c>
      <c r="P224" s="106" t="e">
        <f>Проект!#REF!</f>
        <v>#REF!</v>
      </c>
      <c r="Q224" s="106">
        <f ca="1">Проект!$K$503</f>
        <v>0</v>
      </c>
      <c r="R224" s="106"/>
      <c r="S224" s="94">
        <f ca="1">Проект!$M$503</f>
        <v>0</v>
      </c>
    </row>
    <row r="225" spans="1:19" hidden="1" x14ac:dyDescent="0.2">
      <c r="A225" s="74" t="str">
        <f ca="1">Проект!$A$504</f>
        <v xml:space="preserve">    импортная пошлина</v>
      </c>
      <c r="B225" s="48"/>
      <c r="C225" s="88" t="str">
        <f ca="1">Проект!$C$504</f>
        <v>руб.</v>
      </c>
      <c r="D225" s="48"/>
      <c r="E225" s="48"/>
      <c r="F225" s="106">
        <f>Проект!$F$504</f>
        <v>0</v>
      </c>
      <c r="G225" s="106">
        <f>Проект!$G$504</f>
        <v>0</v>
      </c>
      <c r="H225" s="106">
        <f>Проект!$H$504</f>
        <v>0</v>
      </c>
      <c r="I225" s="106">
        <f>Проект!$I$504</f>
        <v>0</v>
      </c>
      <c r="J225" s="106">
        <f>Проект!$J$504</f>
        <v>0</v>
      </c>
      <c r="K225" s="106" t="e">
        <f>Проект!#REF!</f>
        <v>#REF!</v>
      </c>
      <c r="L225" s="106" t="e">
        <f>Проект!#REF!</f>
        <v>#REF!</v>
      </c>
      <c r="M225" s="106" t="e">
        <f>Проект!#REF!</f>
        <v>#REF!</v>
      </c>
      <c r="N225" s="106" t="e">
        <f>Проект!#REF!</f>
        <v>#REF!</v>
      </c>
      <c r="O225" s="106" t="e">
        <f>Проект!#REF!</f>
        <v>#REF!</v>
      </c>
      <c r="P225" s="106" t="e">
        <f>Проект!#REF!</f>
        <v>#REF!</v>
      </c>
      <c r="Q225" s="106">
        <f>Проект!$K$504</f>
        <v>0</v>
      </c>
      <c r="R225" s="106"/>
      <c r="S225" s="94">
        <f>Проект!$M$504</f>
        <v>0</v>
      </c>
    </row>
    <row r="226" spans="1:19" hidden="1" x14ac:dyDescent="0.2">
      <c r="A226" s="45" t="str">
        <f ca="1">Проект!$A$505</f>
        <v xml:space="preserve">    реализация актива (без НДС)</v>
      </c>
      <c r="B226" s="48"/>
      <c r="C226" s="88" t="str">
        <f ca="1">Проект!$C$505</f>
        <v>руб.</v>
      </c>
      <c r="D226" s="48"/>
      <c r="E226" s="48"/>
      <c r="F226" s="106">
        <f>Проект!$F$505</f>
        <v>0</v>
      </c>
      <c r="G226" s="106">
        <f>Проект!$G$505</f>
        <v>0</v>
      </c>
      <c r="H226" s="106">
        <f>Проект!$H$505</f>
        <v>0</v>
      </c>
      <c r="I226" s="106">
        <f>Проект!$I$505</f>
        <v>0</v>
      </c>
      <c r="J226" s="106">
        <f>Проект!$J$505</f>
        <v>0</v>
      </c>
      <c r="K226" s="106" t="e">
        <f>Проект!#REF!</f>
        <v>#REF!</v>
      </c>
      <c r="L226" s="106" t="e">
        <f>Проект!#REF!</f>
        <v>#REF!</v>
      </c>
      <c r="M226" s="106" t="e">
        <f>Проект!#REF!</f>
        <v>#REF!</v>
      </c>
      <c r="N226" s="106" t="e">
        <f>Проект!#REF!</f>
        <v>#REF!</v>
      </c>
      <c r="O226" s="106" t="e">
        <f>Проект!#REF!</f>
        <v>#REF!</v>
      </c>
      <c r="P226" s="106" t="e">
        <f>Проект!#REF!</f>
        <v>#REF!</v>
      </c>
      <c r="Q226" s="106">
        <f>Проект!$K$505</f>
        <v>0</v>
      </c>
      <c r="R226" s="106"/>
      <c r="S226" s="94">
        <f>Проект!$M$505</f>
        <v>0</v>
      </c>
    </row>
    <row r="227" spans="1:19" hidden="1" x14ac:dyDescent="0.2">
      <c r="A227" s="45" t="str">
        <f ca="1">Проект!$A$506</f>
        <v xml:space="preserve">    прибыль/убыток от реализации актива</v>
      </c>
      <c r="B227" s="48"/>
      <c r="C227" s="88" t="str">
        <f ca="1">Проект!$C$506</f>
        <v>руб.</v>
      </c>
      <c r="D227" s="48"/>
      <c r="E227" s="48"/>
      <c r="F227" s="106">
        <f>Проект!$F$506</f>
        <v>0</v>
      </c>
      <c r="G227" s="106">
        <f>Проект!$G$506</f>
        <v>0</v>
      </c>
      <c r="H227" s="106">
        <f>Проект!$H$506</f>
        <v>0</v>
      </c>
      <c r="I227" s="106">
        <f>Проект!$I$506</f>
        <v>0</v>
      </c>
      <c r="J227" s="106">
        <f>Проект!$J$506</f>
        <v>0</v>
      </c>
      <c r="K227" s="106" t="e">
        <f>Проект!#REF!</f>
        <v>#REF!</v>
      </c>
      <c r="L227" s="106" t="e">
        <f>Проект!#REF!</f>
        <v>#REF!</v>
      </c>
      <c r="M227" s="106" t="e">
        <f>Проект!#REF!</f>
        <v>#REF!</v>
      </c>
      <c r="N227" s="106" t="e">
        <f>Проект!#REF!</f>
        <v>#REF!</v>
      </c>
      <c r="O227" s="106" t="e">
        <f>Проект!#REF!</f>
        <v>#REF!</v>
      </c>
      <c r="P227" s="106" t="e">
        <f>Проект!#REF!</f>
        <v>#REF!</v>
      </c>
      <c r="Q227" s="106">
        <f>Проект!$K$506</f>
        <v>0</v>
      </c>
      <c r="R227" s="106"/>
      <c r="S227" s="94">
        <f>Проект!$M$506</f>
        <v>0</v>
      </c>
    </row>
    <row r="228" spans="1:19" hidden="1" x14ac:dyDescent="0.2">
      <c r="A228" s="48" t="str">
        <f ca="1">Проект!$A$507</f>
        <v xml:space="preserve">    НДС к выручке от реализации актива</v>
      </c>
      <c r="B228" s="48"/>
      <c r="C228" s="88" t="str">
        <f ca="1">Проект!$C$507</f>
        <v>руб.</v>
      </c>
      <c r="D228" s="48"/>
      <c r="E228" s="48"/>
      <c r="F228" s="106">
        <f>Проект!$F$507</f>
        <v>0</v>
      </c>
      <c r="G228" s="106">
        <f>Проект!$G$507</f>
        <v>0</v>
      </c>
      <c r="H228" s="106">
        <f>Проект!$H$507</f>
        <v>0</v>
      </c>
      <c r="I228" s="106">
        <f>Проект!$I$507</f>
        <v>0</v>
      </c>
      <c r="J228" s="106">
        <f>Проект!$J$507</f>
        <v>0</v>
      </c>
      <c r="K228" s="106" t="e">
        <f>Проект!#REF!</f>
        <v>#REF!</v>
      </c>
      <c r="L228" s="106" t="e">
        <f>Проект!#REF!</f>
        <v>#REF!</v>
      </c>
      <c r="M228" s="106" t="e">
        <f>Проект!#REF!</f>
        <v>#REF!</v>
      </c>
      <c r="N228" s="106" t="e">
        <f>Проект!#REF!</f>
        <v>#REF!</v>
      </c>
      <c r="O228" s="106" t="e">
        <f>Проект!#REF!</f>
        <v>#REF!</v>
      </c>
      <c r="P228" s="106" t="e">
        <f>Проект!#REF!</f>
        <v>#REF!</v>
      </c>
      <c r="Q228" s="106">
        <f>Проект!$K$507</f>
        <v>0</v>
      </c>
      <c r="R228" s="106"/>
      <c r="S228" s="94">
        <f>Проект!$M$507</f>
        <v>0</v>
      </c>
    </row>
    <row r="229" spans="1:19" ht="11.25" customHeight="1" x14ac:dyDescent="0.2">
      <c r="A229" s="130" t="str">
        <f ca="1">Проект!$A$508</f>
        <v xml:space="preserve"> = Итого: Нематериальные активы</v>
      </c>
      <c r="B229" s="48"/>
      <c r="C229" s="88" t="str">
        <f ca="1">Проект!$C$508</f>
        <v>руб.</v>
      </c>
      <c r="D229" s="48"/>
      <c r="E229" s="48"/>
      <c r="F229" s="160">
        <f>Проект!$F$508</f>
        <v>0</v>
      </c>
      <c r="G229" s="160">
        <f>Проект!$G$508</f>
        <v>0</v>
      </c>
      <c r="H229" s="160">
        <f>Проект!$H$508</f>
        <v>0</v>
      </c>
      <c r="I229" s="160">
        <f>Проект!$I$508</f>
        <v>0</v>
      </c>
      <c r="J229" s="160">
        <f>Проект!$J$508</f>
        <v>0</v>
      </c>
      <c r="K229" s="160" t="e">
        <f>Проект!#REF!</f>
        <v>#REF!</v>
      </c>
      <c r="L229" s="160" t="e">
        <f>Проект!#REF!</f>
        <v>#REF!</v>
      </c>
      <c r="M229" s="160" t="e">
        <f>Проект!#REF!</f>
        <v>#REF!</v>
      </c>
      <c r="N229" s="160" t="e">
        <f>Проект!#REF!</f>
        <v>#REF!</v>
      </c>
      <c r="O229" s="160" t="e">
        <f>Проект!#REF!</f>
        <v>#REF!</v>
      </c>
      <c r="P229" s="160" t="e">
        <f>Проект!#REF!</f>
        <v>#REF!</v>
      </c>
      <c r="Q229" s="160">
        <f>Проект!$K$508</f>
        <v>0</v>
      </c>
      <c r="R229" s="106"/>
      <c r="S229" s="95">
        <f>Проект!$M$508</f>
        <v>0</v>
      </c>
    </row>
    <row r="230" spans="1:19" hidden="1" x14ac:dyDescent="0.2">
      <c r="A230" s="48" t="str">
        <f ca="1">Проект!$A$509</f>
        <v xml:space="preserve">    сумма платежей без НДС</v>
      </c>
      <c r="B230" s="48"/>
      <c r="C230" s="88" t="str">
        <f ca="1">Проект!$C$509</f>
        <v>руб.</v>
      </c>
      <c r="D230" s="48"/>
      <c r="E230" s="48"/>
      <c r="F230" s="106">
        <f>Проект!$F$509</f>
        <v>0</v>
      </c>
      <c r="G230" s="106">
        <f>Проект!$G$509</f>
        <v>0</v>
      </c>
      <c r="H230" s="106">
        <f>Проект!$H$509</f>
        <v>0</v>
      </c>
      <c r="I230" s="106">
        <f>Проект!$I$509</f>
        <v>0</v>
      </c>
      <c r="J230" s="106">
        <f>Проект!$J$509</f>
        <v>0</v>
      </c>
      <c r="K230" s="106" t="e">
        <f>Проект!#REF!</f>
        <v>#REF!</v>
      </c>
      <c r="L230" s="106" t="e">
        <f>Проект!#REF!</f>
        <v>#REF!</v>
      </c>
      <c r="M230" s="106" t="e">
        <f>Проект!#REF!</f>
        <v>#REF!</v>
      </c>
      <c r="N230" s="106" t="e">
        <f>Проект!#REF!</f>
        <v>#REF!</v>
      </c>
      <c r="O230" s="106" t="e">
        <f>Проект!#REF!</f>
        <v>#REF!</v>
      </c>
      <c r="P230" s="106" t="e">
        <f>Проект!#REF!</f>
        <v>#REF!</v>
      </c>
      <c r="Q230" s="106">
        <f>Проект!$K$509</f>
        <v>0</v>
      </c>
      <c r="R230" s="106"/>
      <c r="S230" s="94">
        <f>Проект!$M$509</f>
        <v>0</v>
      </c>
    </row>
    <row r="231" spans="1:19" hidden="1" x14ac:dyDescent="0.2">
      <c r="A231" s="48" t="str">
        <f ca="1">Проект!$A$510</f>
        <v xml:space="preserve">    полная балансовая стоимость</v>
      </c>
      <c r="B231" s="48"/>
      <c r="C231" s="88" t="str">
        <f ca="1">Проект!$C$510</f>
        <v>руб.</v>
      </c>
      <c r="D231" s="101" t="str">
        <f>Проект!$D$510</f>
        <v>int_end</v>
      </c>
      <c r="E231" s="48"/>
      <c r="F231" s="106">
        <f ca="1">Проект!$F$510</f>
        <v>0</v>
      </c>
      <c r="G231" s="106">
        <f ca="1">Проект!$G$510</f>
        <v>0</v>
      </c>
      <c r="H231" s="106">
        <f ca="1">Проект!$H$510</f>
        <v>0</v>
      </c>
      <c r="I231" s="106">
        <f ca="1">Проект!$I$510</f>
        <v>0</v>
      </c>
      <c r="J231" s="106">
        <f ca="1">Проект!$J$510</f>
        <v>0</v>
      </c>
      <c r="K231" s="106" t="e">
        <f>Проект!#REF!</f>
        <v>#REF!</v>
      </c>
      <c r="L231" s="106" t="e">
        <f>Проект!#REF!</f>
        <v>#REF!</v>
      </c>
      <c r="M231" s="106" t="e">
        <f>Проект!#REF!</f>
        <v>#REF!</v>
      </c>
      <c r="N231" s="106" t="e">
        <f>Проект!#REF!</f>
        <v>#REF!</v>
      </c>
      <c r="O231" s="106" t="e">
        <f>Проект!#REF!</f>
        <v>#REF!</v>
      </c>
      <c r="P231" s="106" t="e">
        <f>Проект!#REF!</f>
        <v>#REF!</v>
      </c>
      <c r="Q231" s="106">
        <f ca="1">Проект!$K$510</f>
        <v>0</v>
      </c>
      <c r="R231" s="106"/>
      <c r="S231" s="94"/>
    </row>
    <row r="232" spans="1:19" hidden="1" x14ac:dyDescent="0.2">
      <c r="A232" s="48" t="str">
        <f ca="1">Проект!$A$511</f>
        <v xml:space="preserve">    незавершенные инвестиции</v>
      </c>
      <c r="B232" s="48"/>
      <c r="C232" s="88" t="str">
        <f ca="1">Проект!$C$511</f>
        <v>руб.</v>
      </c>
      <c r="D232" s="101" t="str">
        <f>Проект!$D$511</f>
        <v>int_end</v>
      </c>
      <c r="E232" s="48"/>
      <c r="F232" s="106">
        <f ca="1">Проект!$F$511</f>
        <v>0</v>
      </c>
      <c r="G232" s="106">
        <f ca="1">Проект!$G$511</f>
        <v>0</v>
      </c>
      <c r="H232" s="106">
        <f ca="1">Проект!$H$511</f>
        <v>0</v>
      </c>
      <c r="I232" s="106">
        <f ca="1">Проект!$I$511</f>
        <v>0</v>
      </c>
      <c r="J232" s="106">
        <f ca="1">Проект!$J$511</f>
        <v>0</v>
      </c>
      <c r="K232" s="106" t="e">
        <f>Проект!#REF!</f>
        <v>#REF!</v>
      </c>
      <c r="L232" s="106" t="e">
        <f>Проект!#REF!</f>
        <v>#REF!</v>
      </c>
      <c r="M232" s="106" t="e">
        <f>Проект!#REF!</f>
        <v>#REF!</v>
      </c>
      <c r="N232" s="106" t="e">
        <f>Проект!#REF!</f>
        <v>#REF!</v>
      </c>
      <c r="O232" s="106" t="e">
        <f>Проект!#REF!</f>
        <v>#REF!</v>
      </c>
      <c r="P232" s="106" t="e">
        <f>Проект!#REF!</f>
        <v>#REF!</v>
      </c>
      <c r="Q232" s="106">
        <f ca="1">Проект!$K$511</f>
        <v>0</v>
      </c>
      <c r="R232" s="106"/>
      <c r="S232" s="94"/>
    </row>
    <row r="233" spans="1:19" hidden="1" x14ac:dyDescent="0.2">
      <c r="A233" s="48" t="str">
        <f ca="1">Проект!$A$512</f>
        <v xml:space="preserve">    кредиторская задолженность</v>
      </c>
      <c r="B233" s="48"/>
      <c r="C233" s="88" t="str">
        <f ca="1">Проект!$C$512</f>
        <v>руб.</v>
      </c>
      <c r="D233" s="101" t="str">
        <f>Проект!$D$512</f>
        <v>int_end</v>
      </c>
      <c r="E233" s="48"/>
      <c r="F233" s="106">
        <f ca="1">Проект!$F$512</f>
        <v>0</v>
      </c>
      <c r="G233" s="106">
        <f ca="1">Проект!$G$512</f>
        <v>0</v>
      </c>
      <c r="H233" s="106">
        <f ca="1">Проект!$H$512</f>
        <v>0</v>
      </c>
      <c r="I233" s="106">
        <f ca="1">Проект!$I$512</f>
        <v>0</v>
      </c>
      <c r="J233" s="106">
        <f ca="1">Проект!$J$512</f>
        <v>0</v>
      </c>
      <c r="K233" s="106" t="e">
        <f>Проект!#REF!</f>
        <v>#REF!</v>
      </c>
      <c r="L233" s="106" t="e">
        <f>Проект!#REF!</f>
        <v>#REF!</v>
      </c>
      <c r="M233" s="106" t="e">
        <f>Проект!#REF!</f>
        <v>#REF!</v>
      </c>
      <c r="N233" s="106" t="e">
        <f>Проект!#REF!</f>
        <v>#REF!</v>
      </c>
      <c r="O233" s="106" t="e">
        <f>Проект!#REF!</f>
        <v>#REF!</v>
      </c>
      <c r="P233" s="106" t="e">
        <f>Проект!#REF!</f>
        <v>#REF!</v>
      </c>
      <c r="Q233" s="106">
        <f ca="1">Проект!$K$512</f>
        <v>0</v>
      </c>
      <c r="R233" s="106"/>
      <c r="S233" s="94"/>
    </row>
    <row r="234" spans="1:19" hidden="1" x14ac:dyDescent="0.2">
      <c r="A234" s="48" t="str">
        <f ca="1">Проект!$A$513</f>
        <v xml:space="preserve">    амортизация</v>
      </c>
      <c r="B234" s="48"/>
      <c r="C234" s="88" t="str">
        <f ca="1">Проект!$C$513</f>
        <v>руб.</v>
      </c>
      <c r="D234" s="48"/>
      <c r="E234" s="48"/>
      <c r="F234" s="106">
        <f ca="1">Проект!$F$513</f>
        <v>0</v>
      </c>
      <c r="G234" s="106">
        <f ca="1">Проект!$G$513</f>
        <v>0</v>
      </c>
      <c r="H234" s="106">
        <f ca="1">Проект!$H$513</f>
        <v>0</v>
      </c>
      <c r="I234" s="106">
        <f ca="1">Проект!$I$513</f>
        <v>0</v>
      </c>
      <c r="J234" s="106">
        <f ca="1">Проект!$J$513</f>
        <v>0</v>
      </c>
      <c r="K234" s="106" t="e">
        <f>Проект!#REF!</f>
        <v>#REF!</v>
      </c>
      <c r="L234" s="106" t="e">
        <f>Проект!#REF!</f>
        <v>#REF!</v>
      </c>
      <c r="M234" s="106" t="e">
        <f>Проект!#REF!</f>
        <v>#REF!</v>
      </c>
      <c r="N234" s="106" t="e">
        <f>Проект!#REF!</f>
        <v>#REF!</v>
      </c>
      <c r="O234" s="106" t="e">
        <f>Проект!#REF!</f>
        <v>#REF!</v>
      </c>
      <c r="P234" s="106" t="e">
        <f>Проект!#REF!</f>
        <v>#REF!</v>
      </c>
      <c r="Q234" s="106">
        <f ca="1">Проект!$K$513</f>
        <v>0</v>
      </c>
      <c r="R234" s="106"/>
      <c r="S234" s="94">
        <f ca="1">Проект!$M$513</f>
        <v>0</v>
      </c>
    </row>
    <row r="235" spans="1:19" hidden="1" x14ac:dyDescent="0.2">
      <c r="A235" s="48" t="str">
        <f ca="1">Проект!$A$514</f>
        <v xml:space="preserve">    остаточная стоимость</v>
      </c>
      <c r="B235" s="48"/>
      <c r="C235" s="88" t="str">
        <f ca="1">Проект!$C$514</f>
        <v>руб.</v>
      </c>
      <c r="D235" s="101" t="str">
        <f>Проект!$D$514</f>
        <v>int_end</v>
      </c>
      <c r="E235" s="48"/>
      <c r="F235" s="106">
        <f ca="1">Проект!$F$514</f>
        <v>0</v>
      </c>
      <c r="G235" s="106">
        <f ca="1">Проект!$G$514</f>
        <v>0</v>
      </c>
      <c r="H235" s="106">
        <f ca="1">Проект!$H$514</f>
        <v>0</v>
      </c>
      <c r="I235" s="106">
        <f ca="1">Проект!$I$514</f>
        <v>0</v>
      </c>
      <c r="J235" s="106">
        <f ca="1">Проект!$J$514</f>
        <v>0</v>
      </c>
      <c r="K235" s="106" t="e">
        <f>Проект!#REF!</f>
        <v>#REF!</v>
      </c>
      <c r="L235" s="106" t="e">
        <f>Проект!#REF!</f>
        <v>#REF!</v>
      </c>
      <c r="M235" s="106" t="e">
        <f>Проект!#REF!</f>
        <v>#REF!</v>
      </c>
      <c r="N235" s="106" t="e">
        <f>Проект!#REF!</f>
        <v>#REF!</v>
      </c>
      <c r="O235" s="106" t="e">
        <f>Проект!#REF!</f>
        <v>#REF!</v>
      </c>
      <c r="P235" s="106" t="e">
        <f>Проект!#REF!</f>
        <v>#REF!</v>
      </c>
      <c r="Q235" s="106">
        <f ca="1">Проект!$K$514</f>
        <v>0</v>
      </c>
      <c r="R235" s="106"/>
      <c r="S235" s="94"/>
    </row>
    <row r="236" spans="1:19" hidden="1" x14ac:dyDescent="0.2">
      <c r="A236" s="48" t="str">
        <f ca="1">Проект!$A$515</f>
        <v xml:space="preserve">    выплаченный НДС</v>
      </c>
      <c r="B236" s="48"/>
      <c r="C236" s="88" t="str">
        <f ca="1">Проект!$C$515</f>
        <v>руб.</v>
      </c>
      <c r="D236" s="48"/>
      <c r="E236" s="48"/>
      <c r="F236" s="106">
        <f>Проект!$F$515</f>
        <v>0</v>
      </c>
      <c r="G236" s="106">
        <f>Проект!$G$515</f>
        <v>0</v>
      </c>
      <c r="H236" s="106">
        <f>Проект!$H$515</f>
        <v>0</v>
      </c>
      <c r="I236" s="106">
        <f>Проект!$I$515</f>
        <v>0</v>
      </c>
      <c r="J236" s="106">
        <f>Проект!$J$515</f>
        <v>0</v>
      </c>
      <c r="K236" s="106" t="e">
        <f>Проект!#REF!</f>
        <v>#REF!</v>
      </c>
      <c r="L236" s="106" t="e">
        <f>Проект!#REF!</f>
        <v>#REF!</v>
      </c>
      <c r="M236" s="106" t="e">
        <f>Проект!#REF!</f>
        <v>#REF!</v>
      </c>
      <c r="N236" s="106" t="e">
        <f>Проект!#REF!</f>
        <v>#REF!</v>
      </c>
      <c r="O236" s="106" t="e">
        <f>Проект!#REF!</f>
        <v>#REF!</v>
      </c>
      <c r="P236" s="106" t="e">
        <f>Проект!#REF!</f>
        <v>#REF!</v>
      </c>
      <c r="Q236" s="106">
        <f>Проект!$K$515</f>
        <v>0</v>
      </c>
      <c r="R236" s="106"/>
      <c r="S236" s="94">
        <f>Проект!$M$515</f>
        <v>0</v>
      </c>
    </row>
    <row r="237" spans="1:19" hidden="1" x14ac:dyDescent="0.2">
      <c r="A237" s="48" t="str">
        <f ca="1">Проект!$A$516</f>
        <v xml:space="preserve">    зачет НДС</v>
      </c>
      <c r="B237" s="48"/>
      <c r="C237" s="88" t="str">
        <f ca="1">Проект!$C$516</f>
        <v>руб.</v>
      </c>
      <c r="D237" s="48"/>
      <c r="E237" s="48"/>
      <c r="F237" s="106">
        <f ca="1">Проект!$F$516</f>
        <v>0</v>
      </c>
      <c r="G237" s="106">
        <f ca="1">Проект!$G$516</f>
        <v>0</v>
      </c>
      <c r="H237" s="106">
        <f ca="1">Проект!$H$516</f>
        <v>0</v>
      </c>
      <c r="I237" s="106">
        <f ca="1">Проект!$I$516</f>
        <v>0</v>
      </c>
      <c r="J237" s="106">
        <f ca="1">Проект!$J$516</f>
        <v>0</v>
      </c>
      <c r="K237" s="106" t="e">
        <f>Проект!#REF!</f>
        <v>#REF!</v>
      </c>
      <c r="L237" s="106" t="e">
        <f>Проект!#REF!</f>
        <v>#REF!</v>
      </c>
      <c r="M237" s="106" t="e">
        <f>Проект!#REF!</f>
        <v>#REF!</v>
      </c>
      <c r="N237" s="106" t="e">
        <f>Проект!#REF!</f>
        <v>#REF!</v>
      </c>
      <c r="O237" s="106" t="e">
        <f>Проект!#REF!</f>
        <v>#REF!</v>
      </c>
      <c r="P237" s="106" t="e">
        <f>Проект!#REF!</f>
        <v>#REF!</v>
      </c>
      <c r="Q237" s="106">
        <f ca="1">Проект!$K$516</f>
        <v>0</v>
      </c>
      <c r="R237" s="106"/>
      <c r="S237" s="94">
        <f ca="1">Проект!$M$516</f>
        <v>0</v>
      </c>
    </row>
    <row r="238" spans="1:19" hidden="1" x14ac:dyDescent="0.2">
      <c r="A238" s="45" t="str">
        <f ca="1">Проект!$A$517</f>
        <v xml:space="preserve">    реализация актива (без НДС)</v>
      </c>
      <c r="B238" s="48"/>
      <c r="C238" s="88" t="str">
        <f ca="1">Проект!$C$517</f>
        <v>руб.</v>
      </c>
      <c r="D238" s="48"/>
      <c r="E238" s="48"/>
      <c r="F238" s="106">
        <f>Проект!$F$517</f>
        <v>0</v>
      </c>
      <c r="G238" s="106">
        <f>Проект!$G$517</f>
        <v>0</v>
      </c>
      <c r="H238" s="106">
        <f>Проект!$H$517</f>
        <v>0</v>
      </c>
      <c r="I238" s="106">
        <f>Проект!$I$517</f>
        <v>0</v>
      </c>
      <c r="J238" s="106">
        <f>Проект!$J$517</f>
        <v>0</v>
      </c>
      <c r="K238" s="106" t="e">
        <f>Проект!#REF!</f>
        <v>#REF!</v>
      </c>
      <c r="L238" s="106" t="e">
        <f>Проект!#REF!</f>
        <v>#REF!</v>
      </c>
      <c r="M238" s="106" t="e">
        <f>Проект!#REF!</f>
        <v>#REF!</v>
      </c>
      <c r="N238" s="106" t="e">
        <f>Проект!#REF!</f>
        <v>#REF!</v>
      </c>
      <c r="O238" s="106" t="e">
        <f>Проект!#REF!</f>
        <v>#REF!</v>
      </c>
      <c r="P238" s="106" t="e">
        <f>Проект!#REF!</f>
        <v>#REF!</v>
      </c>
      <c r="Q238" s="106">
        <f>Проект!$K$517</f>
        <v>0</v>
      </c>
      <c r="R238" s="106"/>
      <c r="S238" s="94">
        <f>Проект!$M$517</f>
        <v>0</v>
      </c>
    </row>
    <row r="239" spans="1:19" hidden="1" x14ac:dyDescent="0.2">
      <c r="A239" s="45" t="str">
        <f ca="1">Проект!$A$518</f>
        <v xml:space="preserve">    прибыль/убыток от реализации актива</v>
      </c>
      <c r="B239" s="48"/>
      <c r="C239" s="88" t="str">
        <f ca="1">Проект!$C$518</f>
        <v>руб.</v>
      </c>
      <c r="D239" s="48"/>
      <c r="E239" s="48"/>
      <c r="F239" s="106">
        <f>Проект!$F$518</f>
        <v>0</v>
      </c>
      <c r="G239" s="106">
        <f>Проект!$G$518</f>
        <v>0</v>
      </c>
      <c r="H239" s="106">
        <f>Проект!$H$518</f>
        <v>0</v>
      </c>
      <c r="I239" s="106">
        <f>Проект!$I$518</f>
        <v>0</v>
      </c>
      <c r="J239" s="106">
        <f>Проект!$J$518</f>
        <v>0</v>
      </c>
      <c r="K239" s="106" t="e">
        <f>Проект!#REF!</f>
        <v>#REF!</v>
      </c>
      <c r="L239" s="106" t="e">
        <f>Проект!#REF!</f>
        <v>#REF!</v>
      </c>
      <c r="M239" s="106" t="e">
        <f>Проект!#REF!</f>
        <v>#REF!</v>
      </c>
      <c r="N239" s="106" t="e">
        <f>Проект!#REF!</f>
        <v>#REF!</v>
      </c>
      <c r="O239" s="106" t="e">
        <f>Проект!#REF!</f>
        <v>#REF!</v>
      </c>
      <c r="P239" s="106" t="e">
        <f>Проект!#REF!</f>
        <v>#REF!</v>
      </c>
      <c r="Q239" s="106">
        <f>Проект!$K$518</f>
        <v>0</v>
      </c>
      <c r="R239" s="106"/>
      <c r="S239" s="94">
        <f>Проект!$M$518</f>
        <v>0</v>
      </c>
    </row>
    <row r="240" spans="1:19" hidden="1" x14ac:dyDescent="0.2">
      <c r="A240" s="48" t="str">
        <f ca="1">Проект!$A$519</f>
        <v xml:space="preserve">    НДС к выручке от реализации актива</v>
      </c>
      <c r="B240" s="48"/>
      <c r="C240" s="88" t="str">
        <f ca="1">Проект!$C$519</f>
        <v>руб.</v>
      </c>
      <c r="D240" s="48"/>
      <c r="E240" s="48"/>
      <c r="F240" s="106">
        <f>Проект!$F$519</f>
        <v>0</v>
      </c>
      <c r="G240" s="106">
        <f>Проект!$G$519</f>
        <v>0</v>
      </c>
      <c r="H240" s="106">
        <f>Проект!$H$519</f>
        <v>0</v>
      </c>
      <c r="I240" s="106">
        <f>Проект!$I$519</f>
        <v>0</v>
      </c>
      <c r="J240" s="106">
        <f>Проект!$J$519</f>
        <v>0</v>
      </c>
      <c r="K240" s="106" t="e">
        <f>Проект!#REF!</f>
        <v>#REF!</v>
      </c>
      <c r="L240" s="106" t="e">
        <f>Проект!#REF!</f>
        <v>#REF!</v>
      </c>
      <c r="M240" s="106" t="e">
        <f>Проект!#REF!</f>
        <v>#REF!</v>
      </c>
      <c r="N240" s="106" t="e">
        <f>Проект!#REF!</f>
        <v>#REF!</v>
      </c>
      <c r="O240" s="106" t="e">
        <f>Проект!#REF!</f>
        <v>#REF!</v>
      </c>
      <c r="P240" s="106" t="e">
        <f>Проект!#REF!</f>
        <v>#REF!</v>
      </c>
      <c r="Q240" s="106">
        <f>Проект!$K$519</f>
        <v>0</v>
      </c>
      <c r="R240" s="106"/>
      <c r="S240" s="94">
        <f>Проект!$M$519</f>
        <v>0</v>
      </c>
    </row>
    <row r="241" spans="1:19" ht="11.25" customHeight="1" x14ac:dyDescent="0.2">
      <c r="A241" s="130" t="str">
        <f ca="1">Проект!$A$520</f>
        <v xml:space="preserve"> = Итого: Финансовые вложения</v>
      </c>
      <c r="B241" s="130"/>
      <c r="C241" s="88" t="str">
        <f ca="1">Проект!$C$520</f>
        <v>руб.</v>
      </c>
      <c r="D241" s="130"/>
      <c r="E241" s="130"/>
      <c r="F241" s="160">
        <f>Проект!$F$520</f>
        <v>0</v>
      </c>
      <c r="G241" s="160">
        <f>Проект!$G$520</f>
        <v>0</v>
      </c>
      <c r="H241" s="160">
        <f>Проект!$H$520</f>
        <v>0</v>
      </c>
      <c r="I241" s="160">
        <f>Проект!$I$520</f>
        <v>0</v>
      </c>
      <c r="J241" s="160">
        <f>Проект!$J$520</f>
        <v>0</v>
      </c>
      <c r="K241" s="160" t="e">
        <f>Проект!#REF!</f>
        <v>#REF!</v>
      </c>
      <c r="L241" s="160" t="e">
        <f>Проект!#REF!</f>
        <v>#REF!</v>
      </c>
      <c r="M241" s="160" t="e">
        <f>Проект!#REF!</f>
        <v>#REF!</v>
      </c>
      <c r="N241" s="160" t="e">
        <f>Проект!#REF!</f>
        <v>#REF!</v>
      </c>
      <c r="O241" s="160" t="e">
        <f>Проект!#REF!</f>
        <v>#REF!</v>
      </c>
      <c r="P241" s="160" t="e">
        <f>Проект!#REF!</f>
        <v>#REF!</v>
      </c>
      <c r="Q241" s="160">
        <f>Проект!$K$520</f>
        <v>0</v>
      </c>
      <c r="R241" s="160"/>
      <c r="S241" s="95">
        <f>Проект!$M$520</f>
        <v>0</v>
      </c>
    </row>
    <row r="242" spans="1:19" hidden="1" x14ac:dyDescent="0.2">
      <c r="A242" s="48" t="str">
        <f ca="1">Проект!$A$521</f>
        <v xml:space="preserve">    сумма платежей без НДС</v>
      </c>
      <c r="B242" s="48"/>
      <c r="C242" s="88" t="str">
        <f ca="1">Проект!$C$521</f>
        <v>руб.</v>
      </c>
      <c r="D242" s="48"/>
      <c r="E242" s="48"/>
      <c r="F242" s="106">
        <f>Проект!$F$521</f>
        <v>0</v>
      </c>
      <c r="G242" s="106">
        <f>Проект!$G$521</f>
        <v>0</v>
      </c>
      <c r="H242" s="106">
        <f>Проект!$H$521</f>
        <v>0</v>
      </c>
      <c r="I242" s="106">
        <f>Проект!$I$521</f>
        <v>0</v>
      </c>
      <c r="J242" s="106">
        <f>Проект!$J$521</f>
        <v>0</v>
      </c>
      <c r="K242" s="106" t="e">
        <f>Проект!#REF!</f>
        <v>#REF!</v>
      </c>
      <c r="L242" s="106" t="e">
        <f>Проект!#REF!</f>
        <v>#REF!</v>
      </c>
      <c r="M242" s="106" t="e">
        <f>Проект!#REF!</f>
        <v>#REF!</v>
      </c>
      <c r="N242" s="106" t="e">
        <f>Проект!#REF!</f>
        <v>#REF!</v>
      </c>
      <c r="O242" s="106" t="e">
        <f>Проект!#REF!</f>
        <v>#REF!</v>
      </c>
      <c r="P242" s="106" t="e">
        <f>Проект!#REF!</f>
        <v>#REF!</v>
      </c>
      <c r="Q242" s="106">
        <f>Проект!$K$521</f>
        <v>0</v>
      </c>
      <c r="R242" s="106"/>
      <c r="S242" s="94">
        <f>Проект!$M$521</f>
        <v>0</v>
      </c>
    </row>
    <row r="243" spans="1:19" hidden="1" x14ac:dyDescent="0.2">
      <c r="A243" s="48" t="str">
        <f ca="1">Проект!$A$522</f>
        <v xml:space="preserve">    полная балансовая стоимость</v>
      </c>
      <c r="B243" s="48"/>
      <c r="C243" s="88" t="str">
        <f ca="1">Проект!$C$522</f>
        <v>руб.</v>
      </c>
      <c r="D243" s="101" t="str">
        <f>Проект!$D$522</f>
        <v>int_end</v>
      </c>
      <c r="E243" s="48"/>
      <c r="F243" s="106">
        <f ca="1">Проект!$F$522</f>
        <v>0</v>
      </c>
      <c r="G243" s="106">
        <f ca="1">Проект!$G$522</f>
        <v>0</v>
      </c>
      <c r="H243" s="106">
        <f ca="1">Проект!$H$522</f>
        <v>0</v>
      </c>
      <c r="I243" s="106">
        <f ca="1">Проект!$I$522</f>
        <v>0</v>
      </c>
      <c r="J243" s="106">
        <f ca="1">Проект!$J$522</f>
        <v>0</v>
      </c>
      <c r="K243" s="106" t="e">
        <f>Проект!#REF!</f>
        <v>#REF!</v>
      </c>
      <c r="L243" s="106" t="e">
        <f>Проект!#REF!</f>
        <v>#REF!</v>
      </c>
      <c r="M243" s="106" t="e">
        <f>Проект!#REF!</f>
        <v>#REF!</v>
      </c>
      <c r="N243" s="106" t="e">
        <f>Проект!#REF!</f>
        <v>#REF!</v>
      </c>
      <c r="O243" s="106" t="e">
        <f>Проект!#REF!</f>
        <v>#REF!</v>
      </c>
      <c r="P243" s="106" t="e">
        <f>Проект!#REF!</f>
        <v>#REF!</v>
      </c>
      <c r="Q243" s="106">
        <f ca="1">Проект!$K$522</f>
        <v>0</v>
      </c>
      <c r="R243" s="106"/>
      <c r="S243" s="94"/>
    </row>
    <row r="244" spans="1:19" hidden="1" x14ac:dyDescent="0.2">
      <c r="A244" s="52" t="str">
        <f ca="1">Проект!$A$523</f>
        <v xml:space="preserve">    доходность финансовых вложений</v>
      </c>
      <c r="B244" s="48"/>
      <c r="C244" s="88" t="str">
        <f ca="1">Проект!$C$523</f>
        <v>руб.</v>
      </c>
      <c r="D244" s="101"/>
      <c r="E244" s="48"/>
      <c r="F244" s="106">
        <f ca="1">Проект!$F$523</f>
        <v>0</v>
      </c>
      <c r="G244" s="106">
        <f ca="1">Проект!$G$523</f>
        <v>0</v>
      </c>
      <c r="H244" s="106">
        <f ca="1">Проект!$H$523</f>
        <v>0</v>
      </c>
      <c r="I244" s="106">
        <f ca="1">Проект!$I$523</f>
        <v>0</v>
      </c>
      <c r="J244" s="106">
        <f ca="1">Проект!$J$523</f>
        <v>0</v>
      </c>
      <c r="K244" s="106" t="e">
        <f>Проект!#REF!</f>
        <v>#REF!</v>
      </c>
      <c r="L244" s="106" t="e">
        <f>Проект!#REF!</f>
        <v>#REF!</v>
      </c>
      <c r="M244" s="106" t="e">
        <f>Проект!#REF!</f>
        <v>#REF!</v>
      </c>
      <c r="N244" s="106" t="e">
        <f>Проект!#REF!</f>
        <v>#REF!</v>
      </c>
      <c r="O244" s="106" t="e">
        <f>Проект!#REF!</f>
        <v>#REF!</v>
      </c>
      <c r="P244" s="106" t="e">
        <f>Проект!#REF!</f>
        <v>#REF!</v>
      </c>
      <c r="Q244" s="106">
        <f ca="1">Проект!$K$523</f>
        <v>0</v>
      </c>
      <c r="R244" s="106"/>
      <c r="S244" s="94">
        <f ca="1">Проект!$M$523</f>
        <v>0</v>
      </c>
    </row>
    <row r="245" spans="1:19" hidden="1" x14ac:dyDescent="0.2">
      <c r="A245" s="48" t="str">
        <f ca="1">Проект!$A$524</f>
        <v xml:space="preserve">    авансы выданные</v>
      </c>
      <c r="B245" s="48"/>
      <c r="C245" s="88" t="str">
        <f ca="1">Проект!$C$524</f>
        <v>руб.</v>
      </c>
      <c r="D245" s="101" t="str">
        <f>Проект!$D$524</f>
        <v>int_end</v>
      </c>
      <c r="E245" s="48"/>
      <c r="F245" s="106">
        <f ca="1">Проект!$F$524</f>
        <v>0</v>
      </c>
      <c r="G245" s="106">
        <f ca="1">Проект!$G$524</f>
        <v>0</v>
      </c>
      <c r="H245" s="106">
        <f ca="1">Проект!$H$524</f>
        <v>0</v>
      </c>
      <c r="I245" s="106">
        <f ca="1">Проект!$I$524</f>
        <v>0</v>
      </c>
      <c r="J245" s="106">
        <f ca="1">Проект!$J$524</f>
        <v>0</v>
      </c>
      <c r="K245" s="106" t="e">
        <f>Проект!#REF!</f>
        <v>#REF!</v>
      </c>
      <c r="L245" s="106" t="e">
        <f>Проект!#REF!</f>
        <v>#REF!</v>
      </c>
      <c r="M245" s="106" t="e">
        <f>Проект!#REF!</f>
        <v>#REF!</v>
      </c>
      <c r="N245" s="106" t="e">
        <f>Проект!#REF!</f>
        <v>#REF!</v>
      </c>
      <c r="O245" s="106" t="e">
        <f>Проект!#REF!</f>
        <v>#REF!</v>
      </c>
      <c r="P245" s="106" t="e">
        <f>Проект!#REF!</f>
        <v>#REF!</v>
      </c>
      <c r="Q245" s="106">
        <f ca="1">Проект!$K$524</f>
        <v>0</v>
      </c>
      <c r="R245" s="106"/>
      <c r="S245" s="94"/>
    </row>
    <row r="246" spans="1:19" hidden="1" x14ac:dyDescent="0.2">
      <c r="A246" s="48" t="str">
        <f ca="1">Проект!$A$525</f>
        <v xml:space="preserve">    кредиторская задолженность</v>
      </c>
      <c r="B246" s="48"/>
      <c r="C246" s="88" t="str">
        <f ca="1">Проект!$C$525</f>
        <v>руб.</v>
      </c>
      <c r="D246" s="101" t="str">
        <f>Проект!$D$525</f>
        <v>int_end</v>
      </c>
      <c r="E246" s="48"/>
      <c r="F246" s="106">
        <f ca="1">Проект!$F$525</f>
        <v>0</v>
      </c>
      <c r="G246" s="106">
        <f ca="1">Проект!$G$525</f>
        <v>0</v>
      </c>
      <c r="H246" s="106">
        <f ca="1">Проект!$H$525</f>
        <v>0</v>
      </c>
      <c r="I246" s="106">
        <f ca="1">Проект!$I$525</f>
        <v>0</v>
      </c>
      <c r="J246" s="106">
        <f ca="1">Проект!$J$525</f>
        <v>0</v>
      </c>
      <c r="K246" s="106" t="e">
        <f>Проект!#REF!</f>
        <v>#REF!</v>
      </c>
      <c r="L246" s="106" t="e">
        <f>Проект!#REF!</f>
        <v>#REF!</v>
      </c>
      <c r="M246" s="106" t="e">
        <f>Проект!#REF!</f>
        <v>#REF!</v>
      </c>
      <c r="N246" s="106" t="e">
        <f>Проект!#REF!</f>
        <v>#REF!</v>
      </c>
      <c r="O246" s="106" t="e">
        <f>Проект!#REF!</f>
        <v>#REF!</v>
      </c>
      <c r="P246" s="106" t="e">
        <f>Проект!#REF!</f>
        <v>#REF!</v>
      </c>
      <c r="Q246" s="106">
        <f ca="1">Проект!$K$525</f>
        <v>0</v>
      </c>
      <c r="R246" s="106"/>
      <c r="S246" s="94"/>
    </row>
    <row r="247" spans="1:19" hidden="1" x14ac:dyDescent="0.2">
      <c r="A247" s="48" t="str">
        <f ca="1">Проект!$A$526</f>
        <v xml:space="preserve">    выплаченный НДС</v>
      </c>
      <c r="B247" s="48"/>
      <c r="C247" s="88" t="str">
        <f ca="1">Проект!$C$526</f>
        <v>руб.</v>
      </c>
      <c r="D247" s="48"/>
      <c r="E247" s="48"/>
      <c r="F247" s="106">
        <f>Проект!$F$526</f>
        <v>0</v>
      </c>
      <c r="G247" s="106">
        <f>Проект!$G$526</f>
        <v>0</v>
      </c>
      <c r="H247" s="106">
        <f>Проект!$H$526</f>
        <v>0</v>
      </c>
      <c r="I247" s="106">
        <f>Проект!$I$526</f>
        <v>0</v>
      </c>
      <c r="J247" s="106">
        <f>Проект!$J$526</f>
        <v>0</v>
      </c>
      <c r="K247" s="106" t="e">
        <f>Проект!#REF!</f>
        <v>#REF!</v>
      </c>
      <c r="L247" s="106" t="e">
        <f>Проект!#REF!</f>
        <v>#REF!</v>
      </c>
      <c r="M247" s="106" t="e">
        <f>Проект!#REF!</f>
        <v>#REF!</v>
      </c>
      <c r="N247" s="106" t="e">
        <f>Проект!#REF!</f>
        <v>#REF!</v>
      </c>
      <c r="O247" s="106" t="e">
        <f>Проект!#REF!</f>
        <v>#REF!</v>
      </c>
      <c r="P247" s="106" t="e">
        <f>Проект!#REF!</f>
        <v>#REF!</v>
      </c>
      <c r="Q247" s="106">
        <f>Проект!$K$526</f>
        <v>0</v>
      </c>
      <c r="R247" s="106"/>
      <c r="S247" s="94">
        <f>Проект!$M$526</f>
        <v>0</v>
      </c>
    </row>
    <row r="248" spans="1:19" hidden="1" x14ac:dyDescent="0.2">
      <c r="A248" s="48" t="str">
        <f ca="1">Проект!$A$527</f>
        <v xml:space="preserve">    зачет НДС</v>
      </c>
      <c r="B248" s="48"/>
      <c r="C248" s="88" t="str">
        <f ca="1">Проект!$C$527</f>
        <v>руб.</v>
      </c>
      <c r="D248" s="48"/>
      <c r="E248" s="48"/>
      <c r="F248" s="106">
        <f ca="1">Проект!$F$527</f>
        <v>0</v>
      </c>
      <c r="G248" s="106">
        <f ca="1">Проект!$G$527</f>
        <v>0</v>
      </c>
      <c r="H248" s="106">
        <f ca="1">Проект!$H$527</f>
        <v>0</v>
      </c>
      <c r="I248" s="106">
        <f ca="1">Проект!$I$527</f>
        <v>0</v>
      </c>
      <c r="J248" s="106">
        <f ca="1">Проект!$J$527</f>
        <v>0</v>
      </c>
      <c r="K248" s="106" t="e">
        <f>Проект!#REF!</f>
        <v>#REF!</v>
      </c>
      <c r="L248" s="106" t="e">
        <f>Проект!#REF!</f>
        <v>#REF!</v>
      </c>
      <c r="M248" s="106" t="e">
        <f>Проект!#REF!</f>
        <v>#REF!</v>
      </c>
      <c r="N248" s="106" t="e">
        <f>Проект!#REF!</f>
        <v>#REF!</v>
      </c>
      <c r="O248" s="106" t="e">
        <f>Проект!#REF!</f>
        <v>#REF!</v>
      </c>
      <c r="P248" s="106" t="e">
        <f>Проект!#REF!</f>
        <v>#REF!</v>
      </c>
      <c r="Q248" s="106">
        <f ca="1">Проект!$K$527</f>
        <v>0</v>
      </c>
      <c r="R248" s="106"/>
      <c r="S248" s="94">
        <f ca="1">Проект!$M$527</f>
        <v>0</v>
      </c>
    </row>
    <row r="249" spans="1:19" hidden="1" x14ac:dyDescent="0.2">
      <c r="A249" s="45" t="str">
        <f ca="1">Проект!$A$528</f>
        <v xml:space="preserve">    реализация актива (без НДС)</v>
      </c>
      <c r="B249" s="48"/>
      <c r="C249" s="88" t="str">
        <f ca="1">Проект!$C$528</f>
        <v>руб.</v>
      </c>
      <c r="D249" s="48"/>
      <c r="E249" s="48"/>
      <c r="F249" s="106">
        <f>Проект!$F$528</f>
        <v>0</v>
      </c>
      <c r="G249" s="106">
        <f>Проект!$G$528</f>
        <v>0</v>
      </c>
      <c r="H249" s="106">
        <f>Проект!$H$528</f>
        <v>0</v>
      </c>
      <c r="I249" s="106">
        <f>Проект!$I$528</f>
        <v>0</v>
      </c>
      <c r="J249" s="106">
        <f>Проект!$J$528</f>
        <v>0</v>
      </c>
      <c r="K249" s="106" t="e">
        <f>Проект!#REF!</f>
        <v>#REF!</v>
      </c>
      <c r="L249" s="106" t="e">
        <f>Проект!#REF!</f>
        <v>#REF!</v>
      </c>
      <c r="M249" s="106" t="e">
        <f>Проект!#REF!</f>
        <v>#REF!</v>
      </c>
      <c r="N249" s="106" t="e">
        <f>Проект!#REF!</f>
        <v>#REF!</v>
      </c>
      <c r="O249" s="106" t="e">
        <f>Проект!#REF!</f>
        <v>#REF!</v>
      </c>
      <c r="P249" s="106" t="e">
        <f>Проект!#REF!</f>
        <v>#REF!</v>
      </c>
      <c r="Q249" s="106">
        <f>Проект!$K$528</f>
        <v>0</v>
      </c>
      <c r="R249" s="106"/>
      <c r="S249" s="94">
        <f>Проект!$M$528</f>
        <v>0</v>
      </c>
    </row>
    <row r="250" spans="1:19" hidden="1" x14ac:dyDescent="0.2">
      <c r="A250" s="45" t="str">
        <f ca="1">Проект!$A$529</f>
        <v xml:space="preserve">    прибыль/убыток от реализации актива</v>
      </c>
      <c r="B250" s="48"/>
      <c r="C250" s="88" t="str">
        <f ca="1">Проект!$C$529</f>
        <v>руб.</v>
      </c>
      <c r="D250" s="48"/>
      <c r="E250" s="48"/>
      <c r="F250" s="106">
        <f>Проект!$F$529</f>
        <v>0</v>
      </c>
      <c r="G250" s="106">
        <f>Проект!$G$529</f>
        <v>0</v>
      </c>
      <c r="H250" s="106">
        <f>Проект!$H$529</f>
        <v>0</v>
      </c>
      <c r="I250" s="106">
        <f>Проект!$I$529</f>
        <v>0</v>
      </c>
      <c r="J250" s="106">
        <f>Проект!$J$529</f>
        <v>0</v>
      </c>
      <c r="K250" s="106" t="e">
        <f>Проект!#REF!</f>
        <v>#REF!</v>
      </c>
      <c r="L250" s="106" t="e">
        <f>Проект!#REF!</f>
        <v>#REF!</v>
      </c>
      <c r="M250" s="106" t="e">
        <f>Проект!#REF!</f>
        <v>#REF!</v>
      </c>
      <c r="N250" s="106" t="e">
        <f>Проект!#REF!</f>
        <v>#REF!</v>
      </c>
      <c r="O250" s="106" t="e">
        <f>Проект!#REF!</f>
        <v>#REF!</v>
      </c>
      <c r="P250" s="106" t="e">
        <f>Проект!#REF!</f>
        <v>#REF!</v>
      </c>
      <c r="Q250" s="106">
        <f>Проект!$K$529</f>
        <v>0</v>
      </c>
      <c r="R250" s="106"/>
      <c r="S250" s="94">
        <f>Проект!$M$529</f>
        <v>0</v>
      </c>
    </row>
    <row r="251" spans="1:19" hidden="1" x14ac:dyDescent="0.2">
      <c r="A251" s="48" t="str">
        <f ca="1">Проект!$A$530</f>
        <v xml:space="preserve">    НДС к выручке от реализации актива</v>
      </c>
      <c r="B251" s="48"/>
      <c r="C251" s="88" t="str">
        <f ca="1">Проект!$C$530</f>
        <v>руб.</v>
      </c>
      <c r="D251" s="48"/>
      <c r="E251" s="48"/>
      <c r="F251" s="106">
        <f>Проект!$F$530</f>
        <v>0</v>
      </c>
      <c r="G251" s="106">
        <f>Проект!$G$530</f>
        <v>0</v>
      </c>
      <c r="H251" s="106">
        <f>Проект!$H$530</f>
        <v>0</v>
      </c>
      <c r="I251" s="106">
        <f>Проект!$I$530</f>
        <v>0</v>
      </c>
      <c r="J251" s="106">
        <f>Проект!$J$530</f>
        <v>0</v>
      </c>
      <c r="K251" s="106" t="e">
        <f>Проект!#REF!</f>
        <v>#REF!</v>
      </c>
      <c r="L251" s="106" t="e">
        <f>Проект!#REF!</f>
        <v>#REF!</v>
      </c>
      <c r="M251" s="106" t="e">
        <f>Проект!#REF!</f>
        <v>#REF!</v>
      </c>
      <c r="N251" s="106" t="e">
        <f>Проект!#REF!</f>
        <v>#REF!</v>
      </c>
      <c r="O251" s="106" t="e">
        <f>Проект!#REF!</f>
        <v>#REF!</v>
      </c>
      <c r="P251" s="106" t="e">
        <f>Проект!#REF!</f>
        <v>#REF!</v>
      </c>
      <c r="Q251" s="106">
        <f>Проект!$K$530</f>
        <v>0</v>
      </c>
      <c r="R251" s="106"/>
      <c r="S251" s="94">
        <f>Проект!$M$530</f>
        <v>0</v>
      </c>
    </row>
    <row r="252" spans="1:19" ht="11.25" customHeight="1" x14ac:dyDescent="0.2">
      <c r="A252" s="130" t="str">
        <f>Проект!$A$531</f>
        <v xml:space="preserve"> = Итого: Расходы будущих периодов</v>
      </c>
      <c r="B252" s="130"/>
      <c r="C252" s="88" t="str">
        <f ca="1">Проект!$C$531</f>
        <v>руб.</v>
      </c>
      <c r="D252" s="130"/>
      <c r="E252" s="130"/>
      <c r="F252" s="160">
        <f>Проект!$F$531</f>
        <v>0</v>
      </c>
      <c r="G252" s="160">
        <f>Проект!$G$531</f>
        <v>0</v>
      </c>
      <c r="H252" s="160">
        <f>Проект!$H$531</f>
        <v>0</v>
      </c>
      <c r="I252" s="160">
        <f>Проект!$I$531</f>
        <v>0</v>
      </c>
      <c r="J252" s="160">
        <f>Проект!$J$531</f>
        <v>0</v>
      </c>
      <c r="K252" s="160" t="e">
        <f>Проект!#REF!</f>
        <v>#REF!</v>
      </c>
      <c r="L252" s="160" t="e">
        <f>Проект!#REF!</f>
        <v>#REF!</v>
      </c>
      <c r="M252" s="160" t="e">
        <f>Проект!#REF!</f>
        <v>#REF!</v>
      </c>
      <c r="N252" s="160" t="e">
        <f>Проект!#REF!</f>
        <v>#REF!</v>
      </c>
      <c r="O252" s="160" t="e">
        <f>Проект!#REF!</f>
        <v>#REF!</v>
      </c>
      <c r="P252" s="160" t="e">
        <f>Проект!#REF!</f>
        <v>#REF!</v>
      </c>
      <c r="Q252" s="160">
        <f>Проект!$K$531</f>
        <v>0</v>
      </c>
      <c r="R252" s="160"/>
      <c r="S252" s="95">
        <f>Проект!$M$531</f>
        <v>0</v>
      </c>
    </row>
    <row r="253" spans="1:19" hidden="1" x14ac:dyDescent="0.2">
      <c r="A253" s="48" t="str">
        <f ca="1">Проект!$A$532</f>
        <v xml:space="preserve">    сумма платежей без НДС</v>
      </c>
      <c r="B253" s="48"/>
      <c r="C253" s="88" t="str">
        <f ca="1">Проект!$C$532</f>
        <v>руб.</v>
      </c>
      <c r="D253" s="48"/>
      <c r="E253" s="48"/>
      <c r="F253" s="106">
        <f>Проект!$F$532</f>
        <v>0</v>
      </c>
      <c r="G253" s="106">
        <f>Проект!$G$532</f>
        <v>0</v>
      </c>
      <c r="H253" s="106">
        <f>Проект!$H$532</f>
        <v>0</v>
      </c>
      <c r="I253" s="106">
        <f>Проект!$I$532</f>
        <v>0</v>
      </c>
      <c r="J253" s="106">
        <f>Проект!$J$532</f>
        <v>0</v>
      </c>
      <c r="K253" s="106" t="e">
        <f>Проект!#REF!</f>
        <v>#REF!</v>
      </c>
      <c r="L253" s="106" t="e">
        <f>Проект!#REF!</f>
        <v>#REF!</v>
      </c>
      <c r="M253" s="106" t="e">
        <f>Проект!#REF!</f>
        <v>#REF!</v>
      </c>
      <c r="N253" s="106" t="e">
        <f>Проект!#REF!</f>
        <v>#REF!</v>
      </c>
      <c r="O253" s="106" t="e">
        <f>Проект!#REF!</f>
        <v>#REF!</v>
      </c>
      <c r="P253" s="106" t="e">
        <f>Проект!#REF!</f>
        <v>#REF!</v>
      </c>
      <c r="Q253" s="106">
        <f>Проект!$K$532</f>
        <v>0</v>
      </c>
      <c r="R253" s="106"/>
      <c r="S253" s="94">
        <f>Проект!$M$532</f>
        <v>0</v>
      </c>
    </row>
    <row r="254" spans="1:19" hidden="1" x14ac:dyDescent="0.2">
      <c r="A254" s="48" t="str">
        <f ca="1">Проект!$A$533</f>
        <v xml:space="preserve">    полная балансовая стоимость</v>
      </c>
      <c r="B254" s="48"/>
      <c r="C254" s="88" t="str">
        <f ca="1">Проект!$C$533</f>
        <v>руб.</v>
      </c>
      <c r="D254" s="101" t="str">
        <f>Проект!$D$533</f>
        <v>int_end</v>
      </c>
      <c r="E254" s="48"/>
      <c r="F254" s="106">
        <f ca="1">Проект!$F$533</f>
        <v>0</v>
      </c>
      <c r="G254" s="106">
        <f ca="1">Проект!$G$533</f>
        <v>0</v>
      </c>
      <c r="H254" s="106">
        <f ca="1">Проект!$H$533</f>
        <v>0</v>
      </c>
      <c r="I254" s="106">
        <f ca="1">Проект!$I$533</f>
        <v>0</v>
      </c>
      <c r="J254" s="106">
        <f ca="1">Проект!$J$533</f>
        <v>0</v>
      </c>
      <c r="K254" s="106" t="e">
        <f>Проект!#REF!</f>
        <v>#REF!</v>
      </c>
      <c r="L254" s="106" t="e">
        <f>Проект!#REF!</f>
        <v>#REF!</v>
      </c>
      <c r="M254" s="106" t="e">
        <f>Проект!#REF!</f>
        <v>#REF!</v>
      </c>
      <c r="N254" s="106" t="e">
        <f>Проект!#REF!</f>
        <v>#REF!</v>
      </c>
      <c r="O254" s="106" t="e">
        <f>Проект!#REF!</f>
        <v>#REF!</v>
      </c>
      <c r="P254" s="106" t="e">
        <f>Проект!#REF!</f>
        <v>#REF!</v>
      </c>
      <c r="Q254" s="106">
        <f ca="1">Проект!$K$533</f>
        <v>0</v>
      </c>
      <c r="R254" s="106"/>
      <c r="S254" s="94"/>
    </row>
    <row r="255" spans="1:19" hidden="1" x14ac:dyDescent="0.2">
      <c r="A255" s="48" t="str">
        <f ca="1">Проект!$A$534</f>
        <v xml:space="preserve">    авансы выданные</v>
      </c>
      <c r="B255" s="48"/>
      <c r="C255" s="88" t="str">
        <f ca="1">Проект!$C$534</f>
        <v>руб.</v>
      </c>
      <c r="D255" s="101" t="str">
        <f>Проект!$D$534</f>
        <v>int_end</v>
      </c>
      <c r="E255" s="48"/>
      <c r="F255" s="106">
        <f ca="1">Проект!$F$534</f>
        <v>0</v>
      </c>
      <c r="G255" s="106">
        <f ca="1">Проект!$G$534</f>
        <v>0</v>
      </c>
      <c r="H255" s="106">
        <f ca="1">Проект!$H$534</f>
        <v>0</v>
      </c>
      <c r="I255" s="106">
        <f ca="1">Проект!$I$534</f>
        <v>0</v>
      </c>
      <c r="J255" s="106">
        <f ca="1">Проект!$J$534</f>
        <v>0</v>
      </c>
      <c r="K255" s="106" t="e">
        <f>Проект!#REF!</f>
        <v>#REF!</v>
      </c>
      <c r="L255" s="106" t="e">
        <f>Проект!#REF!</f>
        <v>#REF!</v>
      </c>
      <c r="M255" s="106" t="e">
        <f>Проект!#REF!</f>
        <v>#REF!</v>
      </c>
      <c r="N255" s="106" t="e">
        <f>Проект!#REF!</f>
        <v>#REF!</v>
      </c>
      <c r="O255" s="106" t="e">
        <f>Проект!#REF!</f>
        <v>#REF!</v>
      </c>
      <c r="P255" s="106" t="e">
        <f>Проект!#REF!</f>
        <v>#REF!</v>
      </c>
      <c r="Q255" s="106">
        <f ca="1">Проект!$K$534</f>
        <v>0</v>
      </c>
      <c r="R255" s="106"/>
      <c r="S255" s="94"/>
    </row>
    <row r="256" spans="1:19" hidden="1" x14ac:dyDescent="0.2">
      <c r="A256" s="48" t="str">
        <f ca="1">Проект!$A$535</f>
        <v xml:space="preserve">    кредиторская задолженность</v>
      </c>
      <c r="B256" s="48"/>
      <c r="C256" s="88" t="str">
        <f ca="1">Проект!$C$535</f>
        <v>руб.</v>
      </c>
      <c r="D256" s="101" t="str">
        <f>Проект!$D$535</f>
        <v>int_end</v>
      </c>
      <c r="E256" s="48"/>
      <c r="F256" s="106">
        <f ca="1">Проект!$F$535</f>
        <v>0</v>
      </c>
      <c r="G256" s="106">
        <f ca="1">Проект!$G$535</f>
        <v>0</v>
      </c>
      <c r="H256" s="106">
        <f ca="1">Проект!$H$535</f>
        <v>0</v>
      </c>
      <c r="I256" s="106">
        <f ca="1">Проект!$I$535</f>
        <v>0</v>
      </c>
      <c r="J256" s="106">
        <f ca="1">Проект!$J$535</f>
        <v>0</v>
      </c>
      <c r="K256" s="106" t="e">
        <f>Проект!#REF!</f>
        <v>#REF!</v>
      </c>
      <c r="L256" s="106" t="e">
        <f>Проект!#REF!</f>
        <v>#REF!</v>
      </c>
      <c r="M256" s="106" t="e">
        <f>Проект!#REF!</f>
        <v>#REF!</v>
      </c>
      <c r="N256" s="106" t="e">
        <f>Проект!#REF!</f>
        <v>#REF!</v>
      </c>
      <c r="O256" s="106" t="e">
        <f>Проект!#REF!</f>
        <v>#REF!</v>
      </c>
      <c r="P256" s="106" t="e">
        <f>Проект!#REF!</f>
        <v>#REF!</v>
      </c>
      <c r="Q256" s="106">
        <f ca="1">Проект!$K$535</f>
        <v>0</v>
      </c>
      <c r="R256" s="106"/>
      <c r="S256" s="94"/>
    </row>
    <row r="257" spans="1:19" hidden="1" x14ac:dyDescent="0.2">
      <c r="A257" s="48" t="str">
        <f ca="1">Проект!$A$536</f>
        <v xml:space="preserve">    амортизация</v>
      </c>
      <c r="B257" s="48"/>
      <c r="C257" s="88" t="str">
        <f ca="1">Проект!$C$536</f>
        <v>руб.</v>
      </c>
      <c r="D257" s="48"/>
      <c r="E257" s="48"/>
      <c r="F257" s="106">
        <f ca="1">Проект!$F$536</f>
        <v>0</v>
      </c>
      <c r="G257" s="106">
        <f ca="1">Проект!$G$536</f>
        <v>0</v>
      </c>
      <c r="H257" s="106">
        <f ca="1">Проект!$H$536</f>
        <v>0</v>
      </c>
      <c r="I257" s="106">
        <f ca="1">Проект!$I$536</f>
        <v>0</v>
      </c>
      <c r="J257" s="106">
        <f ca="1">Проект!$J$536</f>
        <v>0</v>
      </c>
      <c r="K257" s="106" t="e">
        <f>Проект!#REF!</f>
        <v>#REF!</v>
      </c>
      <c r="L257" s="106" t="e">
        <f>Проект!#REF!</f>
        <v>#REF!</v>
      </c>
      <c r="M257" s="106" t="e">
        <f>Проект!#REF!</f>
        <v>#REF!</v>
      </c>
      <c r="N257" s="106" t="e">
        <f>Проект!#REF!</f>
        <v>#REF!</v>
      </c>
      <c r="O257" s="106" t="e">
        <f>Проект!#REF!</f>
        <v>#REF!</v>
      </c>
      <c r="P257" s="106" t="e">
        <f>Проект!#REF!</f>
        <v>#REF!</v>
      </c>
      <c r="Q257" s="106">
        <f ca="1">Проект!$K$536</f>
        <v>0</v>
      </c>
      <c r="R257" s="106"/>
      <c r="S257" s="94">
        <f ca="1">Проект!$M$536</f>
        <v>0</v>
      </c>
    </row>
    <row r="258" spans="1:19" hidden="1" x14ac:dyDescent="0.2">
      <c r="A258" s="48" t="str">
        <f ca="1">Проект!$A$537</f>
        <v xml:space="preserve">    остаточная стоимость</v>
      </c>
      <c r="B258" s="48"/>
      <c r="C258" s="88" t="str">
        <f ca="1">Проект!$C$537</f>
        <v>руб.</v>
      </c>
      <c r="D258" s="101" t="str">
        <f>Проект!$D$537</f>
        <v>int_end</v>
      </c>
      <c r="E258" s="48"/>
      <c r="F258" s="106">
        <f ca="1">Проект!$F$537</f>
        <v>0</v>
      </c>
      <c r="G258" s="106">
        <f ca="1">Проект!$G$537</f>
        <v>0</v>
      </c>
      <c r="H258" s="106">
        <f ca="1">Проект!$H$537</f>
        <v>0</v>
      </c>
      <c r="I258" s="106">
        <f ca="1">Проект!$I$537</f>
        <v>0</v>
      </c>
      <c r="J258" s="106">
        <f ca="1">Проект!$J$537</f>
        <v>0</v>
      </c>
      <c r="K258" s="106" t="e">
        <f>Проект!#REF!</f>
        <v>#REF!</v>
      </c>
      <c r="L258" s="106" t="e">
        <f>Проект!#REF!</f>
        <v>#REF!</v>
      </c>
      <c r="M258" s="106" t="e">
        <f>Проект!#REF!</f>
        <v>#REF!</v>
      </c>
      <c r="N258" s="106" t="e">
        <f>Проект!#REF!</f>
        <v>#REF!</v>
      </c>
      <c r="O258" s="106" t="e">
        <f>Проект!#REF!</f>
        <v>#REF!</v>
      </c>
      <c r="P258" s="106" t="e">
        <f>Проект!#REF!</f>
        <v>#REF!</v>
      </c>
      <c r="Q258" s="106">
        <f ca="1">Проект!$K$537</f>
        <v>0</v>
      </c>
      <c r="R258" s="106"/>
      <c r="S258" s="94"/>
    </row>
    <row r="259" spans="1:19" hidden="1" x14ac:dyDescent="0.2">
      <c r="A259" s="48" t="str">
        <f ca="1">Проект!$A$538</f>
        <v xml:space="preserve">    выплаченный НДС</v>
      </c>
      <c r="B259" s="48"/>
      <c r="C259" s="88" t="str">
        <f ca="1">Проект!$C$538</f>
        <v>руб.</v>
      </c>
      <c r="D259" s="48"/>
      <c r="E259" s="48"/>
      <c r="F259" s="106">
        <f>Проект!$F$538</f>
        <v>0</v>
      </c>
      <c r="G259" s="106">
        <f>Проект!$G$538</f>
        <v>0</v>
      </c>
      <c r="H259" s="106">
        <f>Проект!$H$538</f>
        <v>0</v>
      </c>
      <c r="I259" s="106">
        <f>Проект!$I$538</f>
        <v>0</v>
      </c>
      <c r="J259" s="106">
        <f>Проект!$J$538</f>
        <v>0</v>
      </c>
      <c r="K259" s="106" t="e">
        <f>Проект!#REF!</f>
        <v>#REF!</v>
      </c>
      <c r="L259" s="106" t="e">
        <f>Проект!#REF!</f>
        <v>#REF!</v>
      </c>
      <c r="M259" s="106" t="e">
        <f>Проект!#REF!</f>
        <v>#REF!</v>
      </c>
      <c r="N259" s="106" t="e">
        <f>Проект!#REF!</f>
        <v>#REF!</v>
      </c>
      <c r="O259" s="106" t="e">
        <f>Проект!#REF!</f>
        <v>#REF!</v>
      </c>
      <c r="P259" s="106" t="e">
        <f>Проект!#REF!</f>
        <v>#REF!</v>
      </c>
      <c r="Q259" s="106">
        <f>Проект!$K$538</f>
        <v>0</v>
      </c>
      <c r="R259" s="106"/>
      <c r="S259" s="94">
        <f>Проект!$M$538</f>
        <v>0</v>
      </c>
    </row>
    <row r="260" spans="1:19" hidden="1" x14ac:dyDescent="0.2">
      <c r="A260" s="48" t="str">
        <f ca="1">Проект!$A$539</f>
        <v xml:space="preserve">    зачет НДС</v>
      </c>
      <c r="B260" s="48"/>
      <c r="C260" s="88" t="str">
        <f ca="1">Проект!$C$539</f>
        <v>руб.</v>
      </c>
      <c r="D260" s="48"/>
      <c r="E260" s="48"/>
      <c r="F260" s="106">
        <f ca="1">Проект!$F$539</f>
        <v>0</v>
      </c>
      <c r="G260" s="106">
        <f ca="1">Проект!$G$539</f>
        <v>0</v>
      </c>
      <c r="H260" s="106">
        <f ca="1">Проект!$H$539</f>
        <v>0</v>
      </c>
      <c r="I260" s="106">
        <f ca="1">Проект!$I$539</f>
        <v>0</v>
      </c>
      <c r="J260" s="106">
        <f ca="1">Проект!$J$539</f>
        <v>0</v>
      </c>
      <c r="K260" s="106" t="e">
        <f>Проект!#REF!</f>
        <v>#REF!</v>
      </c>
      <c r="L260" s="106" t="e">
        <f>Проект!#REF!</f>
        <v>#REF!</v>
      </c>
      <c r="M260" s="106" t="e">
        <f>Проект!#REF!</f>
        <v>#REF!</v>
      </c>
      <c r="N260" s="106" t="e">
        <f>Проект!#REF!</f>
        <v>#REF!</v>
      </c>
      <c r="O260" s="106" t="e">
        <f>Проект!#REF!</f>
        <v>#REF!</v>
      </c>
      <c r="P260" s="106" t="e">
        <f>Проект!#REF!</f>
        <v>#REF!</v>
      </c>
      <c r="Q260" s="106">
        <f ca="1">Проект!$K$539</f>
        <v>0</v>
      </c>
      <c r="R260" s="106"/>
      <c r="S260" s="94">
        <f ca="1">Проект!$M$539</f>
        <v>0</v>
      </c>
    </row>
    <row r="261" spans="1:19" ht="11.25" customHeight="1" x14ac:dyDescent="0.2">
      <c r="A261" s="130" t="str">
        <f ca="1">Проект!$A$540</f>
        <v xml:space="preserve"> = Итого: ВСЕ АКТИВЫ</v>
      </c>
      <c r="B261" s="130"/>
      <c r="C261" s="88" t="str">
        <f ca="1">Проект!$C$540</f>
        <v>руб.</v>
      </c>
      <c r="D261" s="130"/>
      <c r="E261" s="130"/>
      <c r="F261" s="160">
        <f>Проект!$F$540</f>
        <v>540000</v>
      </c>
      <c r="G261" s="160">
        <f>Проект!$G$540</f>
        <v>40000</v>
      </c>
      <c r="H261" s="160">
        <f>Проект!$H$540</f>
        <v>50000</v>
      </c>
      <c r="I261" s="160">
        <f>Проект!$I$540</f>
        <v>750000</v>
      </c>
      <c r="J261" s="160">
        <f>Проект!$J$540</f>
        <v>50000</v>
      </c>
      <c r="K261" s="160" t="e">
        <f>Проект!#REF!</f>
        <v>#REF!</v>
      </c>
      <c r="L261" s="160" t="e">
        <f>Проект!#REF!</f>
        <v>#REF!</v>
      </c>
      <c r="M261" s="160" t="e">
        <f>Проект!#REF!</f>
        <v>#REF!</v>
      </c>
      <c r="N261" s="160" t="e">
        <f>Проект!#REF!</f>
        <v>#REF!</v>
      </c>
      <c r="O261" s="160" t="e">
        <f>Проект!#REF!</f>
        <v>#REF!</v>
      </c>
      <c r="P261" s="160" t="e">
        <f>Проект!#REF!</f>
        <v>#REF!</v>
      </c>
      <c r="Q261" s="160">
        <f>Проект!$K$540</f>
        <v>50000</v>
      </c>
      <c r="R261" s="160"/>
      <c r="S261" s="95">
        <f>Проект!$M$540</f>
        <v>1480000</v>
      </c>
    </row>
    <row r="264" spans="1:19" ht="15.9" customHeight="1" thickBot="1" x14ac:dyDescent="0.25">
      <c r="A264" s="166" t="str">
        <f ca="1">Проект!$A$583</f>
        <v xml:space="preserve">         ПЛАН РЕАЛИЗАЦИИ</v>
      </c>
      <c r="B264" s="166"/>
      <c r="C264" s="166"/>
      <c r="D264" s="166">
        <f>Проект!$D$583</f>
        <v>1</v>
      </c>
      <c r="E264" s="166"/>
      <c r="F264" s="178" t="str">
        <f>Проект!$F$583</f>
        <v>4/ 2020</v>
      </c>
      <c r="G264" s="178" t="str">
        <f>Проект!$G$583</f>
        <v>5/ 2020</v>
      </c>
      <c r="H264" s="178" t="str">
        <f>Проект!$H$583</f>
        <v>6/ 2020</v>
      </c>
      <c r="I264" s="178" t="str">
        <f>Проект!$I$583</f>
        <v>7/ 2020</v>
      </c>
      <c r="J264" s="178" t="str">
        <f>Проект!$J$583</f>
        <v>8/ 2020</v>
      </c>
      <c r="K264" s="178" t="e">
        <f>Проект!#REF!</f>
        <v>#REF!</v>
      </c>
      <c r="L264" s="178" t="e">
        <f>Проект!#REF!</f>
        <v>#REF!</v>
      </c>
      <c r="M264" s="178" t="e">
        <f>Проект!#REF!</f>
        <v>#REF!</v>
      </c>
      <c r="N264" s="178" t="e">
        <f>Проект!#REF!</f>
        <v>#REF!</v>
      </c>
      <c r="O264" s="178" t="e">
        <f>Проект!#REF!</f>
        <v>#REF!</v>
      </c>
      <c r="P264" s="178" t="e">
        <f>Проект!#REF!</f>
        <v>#REF!</v>
      </c>
      <c r="Q264" s="178" t="str">
        <f>Проект!$K$583</f>
        <v>9/ 2020</v>
      </c>
      <c r="R264" s="166"/>
      <c r="S264" s="195" t="str">
        <f ca="1">Проект!$M$583</f>
        <v>ИТОГО</v>
      </c>
    </row>
    <row r="265" spans="1:19" ht="12" customHeight="1" thickTop="1" x14ac:dyDescent="0.2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1"/>
    </row>
    <row r="266" spans="1:19" ht="11.25" customHeight="1" x14ac:dyDescent="0.2">
      <c r="A266" s="48"/>
      <c r="B266" s="198" t="str">
        <f ca="1">Проект!$B$585</f>
        <v>Номинальный объем</v>
      </c>
      <c r="C266" s="48"/>
      <c r="D266" s="48">
        <f>Проект!$D$585</f>
        <v>2</v>
      </c>
      <c r="E266" s="48">
        <f>Проект!$E$585</f>
        <v>1</v>
      </c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1"/>
    </row>
    <row r="267" spans="1:19" ht="11.25" customHeight="1" x14ac:dyDescent="0.2">
      <c r="A267" s="333" t="str">
        <f>Проект!$A$586</f>
        <v>Наименование товара</v>
      </c>
      <c r="B267" s="350">
        <f>Проект!$B$586</f>
        <v>0</v>
      </c>
      <c r="C267" s="334" t="str">
        <f>Проект!$C$586</f>
        <v>шт</v>
      </c>
      <c r="D267" s="74" t="str">
        <f>Проект!$D$586</f>
        <v>int_avg</v>
      </c>
      <c r="E267" s="48"/>
      <c r="F267" s="351">
        <f>Проект!$F$586</f>
        <v>0</v>
      </c>
      <c r="G267" s="351">
        <f>Проект!$G$586</f>
        <v>0</v>
      </c>
      <c r="H267" s="351">
        <f>Проект!$H$586</f>
        <v>0.01</v>
      </c>
      <c r="I267" s="351">
        <f>Проект!$I$586</f>
        <v>0.05</v>
      </c>
      <c r="J267" s="351">
        <f>Проект!$J$586</f>
        <v>0.1</v>
      </c>
      <c r="K267" s="351" t="e">
        <f>Проект!#REF!</f>
        <v>#REF!</v>
      </c>
      <c r="L267" s="351" t="e">
        <f>Проект!#REF!</f>
        <v>#REF!</v>
      </c>
      <c r="M267" s="351" t="e">
        <f>Проект!#REF!</f>
        <v>#REF!</v>
      </c>
      <c r="N267" s="351" t="e">
        <f>Проект!#REF!</f>
        <v>#REF!</v>
      </c>
      <c r="O267" s="351" t="e">
        <f>Проект!#REF!</f>
        <v>#REF!</v>
      </c>
      <c r="P267" s="351" t="e">
        <f>Проект!#REF!</f>
        <v>#REF!</v>
      </c>
      <c r="Q267" s="351">
        <f>Проект!$K$586</f>
        <v>0.1</v>
      </c>
      <c r="R267" s="48"/>
      <c r="S267" s="41"/>
    </row>
    <row r="268" spans="1:19" ht="11.25" customHeight="1" x14ac:dyDescent="0.2">
      <c r="A268" s="333" t="e">
        <f>Проект!#REF!</f>
        <v>#REF!</v>
      </c>
      <c r="B268" s="350" t="e">
        <f>Проект!#REF!</f>
        <v>#REF!</v>
      </c>
      <c r="C268" s="334" t="e">
        <f>Проект!#REF!</f>
        <v>#REF!</v>
      </c>
      <c r="D268" s="74" t="e">
        <f>Проект!#REF!</f>
        <v>#REF!</v>
      </c>
      <c r="E268" s="48"/>
      <c r="F268" s="351" t="e">
        <f>Проект!#REF!</f>
        <v>#REF!</v>
      </c>
      <c r="G268" s="351" t="e">
        <f>Проект!#REF!</f>
        <v>#REF!</v>
      </c>
      <c r="H268" s="351" t="e">
        <f>Проект!#REF!</f>
        <v>#REF!</v>
      </c>
      <c r="I268" s="351" t="e">
        <f>Проект!#REF!</f>
        <v>#REF!</v>
      </c>
      <c r="J268" s="351" t="e">
        <f>Проект!#REF!</f>
        <v>#REF!</v>
      </c>
      <c r="K268" s="351" t="e">
        <f>Проект!#REF!</f>
        <v>#REF!</v>
      </c>
      <c r="L268" s="351" t="e">
        <f>Проект!#REF!</f>
        <v>#REF!</v>
      </c>
      <c r="M268" s="351" t="e">
        <f>Проект!#REF!</f>
        <v>#REF!</v>
      </c>
      <c r="N268" s="351" t="e">
        <f>Проект!#REF!</f>
        <v>#REF!</v>
      </c>
      <c r="O268" s="351" t="e">
        <f>Проект!#REF!</f>
        <v>#REF!</v>
      </c>
      <c r="P268" s="351" t="e">
        <f>Проект!#REF!</f>
        <v>#REF!</v>
      </c>
      <c r="Q268" s="351" t="e">
        <f>Проект!#REF!</f>
        <v>#REF!</v>
      </c>
      <c r="R268" s="48"/>
      <c r="S268" s="41"/>
    </row>
    <row r="269" spans="1:19" ht="11.25" customHeight="1" x14ac:dyDescent="0.2">
      <c r="A269" s="333" t="e">
        <f>Проект!#REF!</f>
        <v>#REF!</v>
      </c>
      <c r="B269" s="350" t="e">
        <f>Проект!#REF!</f>
        <v>#REF!</v>
      </c>
      <c r="C269" s="334" t="e">
        <f>Проект!#REF!</f>
        <v>#REF!</v>
      </c>
      <c r="D269" s="74" t="e">
        <f>Проект!#REF!</f>
        <v>#REF!</v>
      </c>
      <c r="E269" s="48"/>
      <c r="F269" s="351" t="e">
        <f>Проект!#REF!</f>
        <v>#REF!</v>
      </c>
      <c r="G269" s="351" t="e">
        <f>Проект!#REF!</f>
        <v>#REF!</v>
      </c>
      <c r="H269" s="351" t="e">
        <f>Проект!#REF!</f>
        <v>#REF!</v>
      </c>
      <c r="I269" s="351" t="e">
        <f>Проект!#REF!</f>
        <v>#REF!</v>
      </c>
      <c r="J269" s="351" t="e">
        <f>Проект!#REF!</f>
        <v>#REF!</v>
      </c>
      <c r="K269" s="351" t="e">
        <f>Проект!#REF!</f>
        <v>#REF!</v>
      </c>
      <c r="L269" s="351" t="e">
        <f>Проект!#REF!</f>
        <v>#REF!</v>
      </c>
      <c r="M269" s="351" t="e">
        <f>Проект!#REF!</f>
        <v>#REF!</v>
      </c>
      <c r="N269" s="351" t="e">
        <f>Проект!#REF!</f>
        <v>#REF!</v>
      </c>
      <c r="O269" s="351" t="e">
        <f>Проект!#REF!</f>
        <v>#REF!</v>
      </c>
      <c r="P269" s="351" t="e">
        <f>Проект!#REF!</f>
        <v>#REF!</v>
      </c>
      <c r="Q269" s="351" t="e">
        <f>Проект!#REF!</f>
        <v>#REF!</v>
      </c>
      <c r="R269" s="48"/>
      <c r="S269" s="41"/>
    </row>
    <row r="270" spans="1:19" ht="11.25" customHeight="1" x14ac:dyDescent="0.2">
      <c r="A270" s="333" t="e">
        <f>Проект!#REF!</f>
        <v>#REF!</v>
      </c>
      <c r="B270" s="350" t="e">
        <f>Проект!#REF!</f>
        <v>#REF!</v>
      </c>
      <c r="C270" s="334" t="e">
        <f>Проект!#REF!</f>
        <v>#REF!</v>
      </c>
      <c r="D270" s="74" t="e">
        <f>Проект!#REF!</f>
        <v>#REF!</v>
      </c>
      <c r="E270" s="48"/>
      <c r="F270" s="351" t="e">
        <f>Проект!#REF!</f>
        <v>#REF!</v>
      </c>
      <c r="G270" s="351" t="e">
        <f>Проект!#REF!</f>
        <v>#REF!</v>
      </c>
      <c r="H270" s="351" t="e">
        <f>Проект!#REF!</f>
        <v>#REF!</v>
      </c>
      <c r="I270" s="351" t="e">
        <f>Проект!#REF!</f>
        <v>#REF!</v>
      </c>
      <c r="J270" s="351" t="e">
        <f>Проект!#REF!</f>
        <v>#REF!</v>
      </c>
      <c r="K270" s="351" t="e">
        <f>Проект!#REF!</f>
        <v>#REF!</v>
      </c>
      <c r="L270" s="351" t="e">
        <f>Проект!#REF!</f>
        <v>#REF!</v>
      </c>
      <c r="M270" s="351" t="e">
        <f>Проект!#REF!</f>
        <v>#REF!</v>
      </c>
      <c r="N270" s="351" t="e">
        <f>Проект!#REF!</f>
        <v>#REF!</v>
      </c>
      <c r="O270" s="351" t="e">
        <f>Проект!#REF!</f>
        <v>#REF!</v>
      </c>
      <c r="P270" s="351" t="e">
        <f>Проект!#REF!</f>
        <v>#REF!</v>
      </c>
      <c r="Q270" s="351" t="e">
        <f>Проект!#REF!</f>
        <v>#REF!</v>
      </c>
      <c r="R270" s="48"/>
      <c r="S270" s="41"/>
    </row>
    <row r="271" spans="1:19" ht="11.25" customHeight="1" x14ac:dyDescent="0.2">
      <c r="A271" s="333" t="e">
        <f>Проект!#REF!</f>
        <v>#REF!</v>
      </c>
      <c r="B271" s="350" t="e">
        <f>Проект!#REF!</f>
        <v>#REF!</v>
      </c>
      <c r="C271" s="334" t="e">
        <f>Проект!#REF!</f>
        <v>#REF!</v>
      </c>
      <c r="D271" s="74" t="e">
        <f>Проект!#REF!</f>
        <v>#REF!</v>
      </c>
      <c r="E271" s="48"/>
      <c r="F271" s="351" t="e">
        <f>Проект!#REF!</f>
        <v>#REF!</v>
      </c>
      <c r="G271" s="351" t="e">
        <f>Проект!#REF!</f>
        <v>#REF!</v>
      </c>
      <c r="H271" s="351" t="e">
        <f>Проект!#REF!</f>
        <v>#REF!</v>
      </c>
      <c r="I271" s="351" t="e">
        <f>Проект!#REF!</f>
        <v>#REF!</v>
      </c>
      <c r="J271" s="351" t="e">
        <f>Проект!#REF!</f>
        <v>#REF!</v>
      </c>
      <c r="K271" s="351" t="e">
        <f>Проект!#REF!</f>
        <v>#REF!</v>
      </c>
      <c r="L271" s="351" t="e">
        <f>Проект!#REF!</f>
        <v>#REF!</v>
      </c>
      <c r="M271" s="351" t="e">
        <f>Проект!#REF!</f>
        <v>#REF!</v>
      </c>
      <c r="N271" s="351" t="e">
        <f>Проект!#REF!</f>
        <v>#REF!</v>
      </c>
      <c r="O271" s="351" t="e">
        <f>Проект!#REF!</f>
        <v>#REF!</v>
      </c>
      <c r="P271" s="351" t="e">
        <f>Проект!#REF!</f>
        <v>#REF!</v>
      </c>
      <c r="Q271" s="351" t="e">
        <f>Проект!#REF!</f>
        <v>#REF!</v>
      </c>
      <c r="R271" s="48"/>
      <c r="S271" s="41"/>
    </row>
    <row r="272" spans="1:19" ht="11.25" customHeight="1" x14ac:dyDescent="0.2">
      <c r="A272" s="333" t="e">
        <f>Проект!#REF!</f>
        <v>#REF!</v>
      </c>
      <c r="B272" s="350" t="e">
        <f>Проект!#REF!</f>
        <v>#REF!</v>
      </c>
      <c r="C272" s="334" t="e">
        <f>Проект!#REF!</f>
        <v>#REF!</v>
      </c>
      <c r="D272" s="74" t="e">
        <f>Проект!#REF!</f>
        <v>#REF!</v>
      </c>
      <c r="E272" s="48"/>
      <c r="F272" s="351" t="e">
        <f>Проект!#REF!</f>
        <v>#REF!</v>
      </c>
      <c r="G272" s="351" t="e">
        <f>Проект!#REF!</f>
        <v>#REF!</v>
      </c>
      <c r="H272" s="351" t="e">
        <f>Проект!#REF!</f>
        <v>#REF!</v>
      </c>
      <c r="I272" s="351" t="e">
        <f>Проект!#REF!</f>
        <v>#REF!</v>
      </c>
      <c r="J272" s="351" t="e">
        <f>Проект!#REF!</f>
        <v>#REF!</v>
      </c>
      <c r="K272" s="351" t="e">
        <f>Проект!#REF!</f>
        <v>#REF!</v>
      </c>
      <c r="L272" s="351" t="e">
        <f>Проект!#REF!</f>
        <v>#REF!</v>
      </c>
      <c r="M272" s="351" t="e">
        <f>Проект!#REF!</f>
        <v>#REF!</v>
      </c>
      <c r="N272" s="351" t="e">
        <f>Проект!#REF!</f>
        <v>#REF!</v>
      </c>
      <c r="O272" s="351" t="e">
        <f>Проект!#REF!</f>
        <v>#REF!</v>
      </c>
      <c r="P272" s="351" t="e">
        <f>Проект!#REF!</f>
        <v>#REF!</v>
      </c>
      <c r="Q272" s="351" t="e">
        <f>Проект!#REF!</f>
        <v>#REF!</v>
      </c>
      <c r="R272" s="48"/>
      <c r="S272" s="41"/>
    </row>
    <row r="273" spans="1:19" ht="11.25" customHeight="1" x14ac:dyDescent="0.2">
      <c r="A273" s="333" t="e">
        <f>Проект!#REF!</f>
        <v>#REF!</v>
      </c>
      <c r="B273" s="350" t="e">
        <f>Проект!#REF!</f>
        <v>#REF!</v>
      </c>
      <c r="C273" s="334" t="e">
        <f>Проект!#REF!</f>
        <v>#REF!</v>
      </c>
      <c r="D273" s="74" t="e">
        <f>Проект!#REF!</f>
        <v>#REF!</v>
      </c>
      <c r="E273" s="48"/>
      <c r="F273" s="351" t="e">
        <f>Проект!#REF!</f>
        <v>#REF!</v>
      </c>
      <c r="G273" s="351" t="e">
        <f>Проект!#REF!</f>
        <v>#REF!</v>
      </c>
      <c r="H273" s="351" t="e">
        <f>Проект!#REF!</f>
        <v>#REF!</v>
      </c>
      <c r="I273" s="351" t="e">
        <f>Проект!#REF!</f>
        <v>#REF!</v>
      </c>
      <c r="J273" s="351" t="e">
        <f>Проект!#REF!</f>
        <v>#REF!</v>
      </c>
      <c r="K273" s="351" t="e">
        <f>Проект!#REF!</f>
        <v>#REF!</v>
      </c>
      <c r="L273" s="351" t="e">
        <f>Проект!#REF!</f>
        <v>#REF!</v>
      </c>
      <c r="M273" s="351" t="e">
        <f>Проект!#REF!</f>
        <v>#REF!</v>
      </c>
      <c r="N273" s="351" t="e">
        <f>Проект!#REF!</f>
        <v>#REF!</v>
      </c>
      <c r="O273" s="351" t="e">
        <f>Проект!#REF!</f>
        <v>#REF!</v>
      </c>
      <c r="P273" s="351" t="e">
        <f>Проект!#REF!</f>
        <v>#REF!</v>
      </c>
      <c r="Q273" s="351" t="e">
        <f>Проект!#REF!</f>
        <v>#REF!</v>
      </c>
      <c r="R273" s="48"/>
      <c r="S273" s="41"/>
    </row>
    <row r="274" spans="1:19" ht="11.25" customHeight="1" x14ac:dyDescent="0.2">
      <c r="A274" s="333" t="e">
        <f>Проект!#REF!</f>
        <v>#REF!</v>
      </c>
      <c r="B274" s="350" t="e">
        <f>Проект!#REF!</f>
        <v>#REF!</v>
      </c>
      <c r="C274" s="334" t="e">
        <f>Проект!#REF!</f>
        <v>#REF!</v>
      </c>
      <c r="D274" s="74" t="e">
        <f>Проект!#REF!</f>
        <v>#REF!</v>
      </c>
      <c r="E274" s="48"/>
      <c r="F274" s="351" t="e">
        <f>Проект!#REF!</f>
        <v>#REF!</v>
      </c>
      <c r="G274" s="351" t="e">
        <f>Проект!#REF!</f>
        <v>#REF!</v>
      </c>
      <c r="H274" s="351" t="e">
        <f>Проект!#REF!</f>
        <v>#REF!</v>
      </c>
      <c r="I274" s="351" t="e">
        <f>Проект!#REF!</f>
        <v>#REF!</v>
      </c>
      <c r="J274" s="351" t="e">
        <f>Проект!#REF!</f>
        <v>#REF!</v>
      </c>
      <c r="K274" s="351" t="e">
        <f>Проект!#REF!</f>
        <v>#REF!</v>
      </c>
      <c r="L274" s="351" t="e">
        <f>Проект!#REF!</f>
        <v>#REF!</v>
      </c>
      <c r="M274" s="351" t="e">
        <f>Проект!#REF!</f>
        <v>#REF!</v>
      </c>
      <c r="N274" s="351" t="e">
        <f>Проект!#REF!</f>
        <v>#REF!</v>
      </c>
      <c r="O274" s="351" t="e">
        <f>Проект!#REF!</f>
        <v>#REF!</v>
      </c>
      <c r="P274" s="351" t="e">
        <f>Проект!#REF!</f>
        <v>#REF!</v>
      </c>
      <c r="Q274" s="351" t="e">
        <f>Проект!#REF!</f>
        <v>#REF!</v>
      </c>
      <c r="R274" s="48"/>
      <c r="S274" s="41"/>
    </row>
    <row r="275" spans="1:19" ht="11.25" customHeight="1" x14ac:dyDescent="0.2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1"/>
    </row>
    <row r="278" spans="1:19" ht="15.9" customHeight="1" thickBot="1" x14ac:dyDescent="0.25">
      <c r="A278" s="166" t="str">
        <f ca="1">Проект!$A$591</f>
        <v xml:space="preserve">         ОБЪЕМЫ РЕАЛИЗАЦИИ (в единицах)</v>
      </c>
      <c r="B278" s="166"/>
      <c r="C278" s="166"/>
      <c r="D278" s="166"/>
      <c r="E278" s="166"/>
      <c r="F278" s="178" t="str">
        <f>Проект!$F$591</f>
        <v>4/ 2020</v>
      </c>
      <c r="G278" s="178" t="str">
        <f>Проект!$G$591</f>
        <v>5/ 2020</v>
      </c>
      <c r="H278" s="178" t="str">
        <f>Проект!$H$591</f>
        <v>6/ 2020</v>
      </c>
      <c r="I278" s="178" t="str">
        <f>Проект!$I$591</f>
        <v>7/ 2020</v>
      </c>
      <c r="J278" s="178" t="str">
        <f>Проект!$J$591</f>
        <v>8/ 2020</v>
      </c>
      <c r="K278" s="178" t="e">
        <f>Проект!#REF!</f>
        <v>#REF!</v>
      </c>
      <c r="L278" s="178" t="e">
        <f>Проект!#REF!</f>
        <v>#REF!</v>
      </c>
      <c r="M278" s="178" t="e">
        <f>Проект!#REF!</f>
        <v>#REF!</v>
      </c>
      <c r="N278" s="178" t="e">
        <f>Проект!#REF!</f>
        <v>#REF!</v>
      </c>
      <c r="O278" s="178" t="e">
        <f>Проект!#REF!</f>
        <v>#REF!</v>
      </c>
      <c r="P278" s="178" t="e">
        <f>Проект!#REF!</f>
        <v>#REF!</v>
      </c>
      <c r="Q278" s="178" t="str">
        <f>Проект!$K$591</f>
        <v>9/ 2020</v>
      </c>
      <c r="R278" s="166"/>
      <c r="S278" s="195" t="str">
        <f ca="1">Проект!$M$591</f>
        <v>ИТОГО</v>
      </c>
    </row>
    <row r="279" spans="1:19" ht="12" customHeight="1" thickTop="1" x14ac:dyDescent="0.2">
      <c r="A279" s="48"/>
      <c r="B279" s="48"/>
      <c r="C279" s="48"/>
      <c r="D279" s="48">
        <f>Проект!$D$592</f>
        <v>0</v>
      </c>
      <c r="E279" s="48">
        <f>Проект!$E$592</f>
        <v>1</v>
      </c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1"/>
    </row>
    <row r="280" spans="1:19" ht="11.25" customHeight="1" x14ac:dyDescent="0.2">
      <c r="A280" s="48" t="str">
        <f>Проект!$A$593</f>
        <v>Наименование товара</v>
      </c>
      <c r="B280" s="330"/>
      <c r="C280" s="73" t="str">
        <f>Проект!$C$593</f>
        <v>шт</v>
      </c>
      <c r="D280" s="48"/>
      <c r="E280" s="48"/>
      <c r="F280" s="352">
        <f>Проект!$F$593</f>
        <v>0</v>
      </c>
      <c r="G280" s="352">
        <f>Проект!$G$593</f>
        <v>0</v>
      </c>
      <c r="H280" s="352">
        <f>Проект!$H$593</f>
        <v>0</v>
      </c>
      <c r="I280" s="352">
        <f>Проект!$I$593</f>
        <v>0</v>
      </c>
      <c r="J280" s="352">
        <f>Проект!$J$593</f>
        <v>0</v>
      </c>
      <c r="K280" s="352" t="e">
        <f>Проект!#REF!</f>
        <v>#REF!</v>
      </c>
      <c r="L280" s="352" t="e">
        <f>Проект!#REF!</f>
        <v>#REF!</v>
      </c>
      <c r="M280" s="352" t="e">
        <f>Проект!#REF!</f>
        <v>#REF!</v>
      </c>
      <c r="N280" s="352" t="e">
        <f>Проект!#REF!</f>
        <v>#REF!</v>
      </c>
      <c r="O280" s="352" t="e">
        <f>Проект!#REF!</f>
        <v>#REF!</v>
      </c>
      <c r="P280" s="352" t="e">
        <f>Проект!#REF!</f>
        <v>#REF!</v>
      </c>
      <c r="Q280" s="352">
        <f>Проект!$K$593</f>
        <v>0</v>
      </c>
      <c r="R280" s="106"/>
      <c r="S280" s="95">
        <f>Проект!$M$593</f>
        <v>0</v>
      </c>
    </row>
    <row r="281" spans="1:19" ht="11.25" customHeight="1" x14ac:dyDescent="0.2">
      <c r="A281" s="48" t="e">
        <f>Проект!#REF!</f>
        <v>#REF!</v>
      </c>
      <c r="B281" s="330"/>
      <c r="C281" s="73" t="e">
        <f>Проект!#REF!</f>
        <v>#REF!</v>
      </c>
      <c r="D281" s="48"/>
      <c r="E281" s="48"/>
      <c r="F281" s="352" t="e">
        <f>Проект!#REF!</f>
        <v>#REF!</v>
      </c>
      <c r="G281" s="352" t="e">
        <f>Проект!#REF!</f>
        <v>#REF!</v>
      </c>
      <c r="H281" s="352" t="e">
        <f>Проект!#REF!</f>
        <v>#REF!</v>
      </c>
      <c r="I281" s="352" t="e">
        <f>Проект!#REF!</f>
        <v>#REF!</v>
      </c>
      <c r="J281" s="352" t="e">
        <f>Проект!#REF!</f>
        <v>#REF!</v>
      </c>
      <c r="K281" s="352" t="e">
        <f>Проект!#REF!</f>
        <v>#REF!</v>
      </c>
      <c r="L281" s="352" t="e">
        <f>Проект!#REF!</f>
        <v>#REF!</v>
      </c>
      <c r="M281" s="352" t="e">
        <f>Проект!#REF!</f>
        <v>#REF!</v>
      </c>
      <c r="N281" s="352" t="e">
        <f>Проект!#REF!</f>
        <v>#REF!</v>
      </c>
      <c r="O281" s="352" t="e">
        <f>Проект!#REF!</f>
        <v>#REF!</v>
      </c>
      <c r="P281" s="352" t="e">
        <f>Проект!#REF!</f>
        <v>#REF!</v>
      </c>
      <c r="Q281" s="352" t="e">
        <f>Проект!#REF!</f>
        <v>#REF!</v>
      </c>
      <c r="R281" s="106"/>
      <c r="S281" s="95" t="e">
        <f>Проект!#REF!</f>
        <v>#REF!</v>
      </c>
    </row>
    <row r="282" spans="1:19" ht="11.25" customHeight="1" x14ac:dyDescent="0.2">
      <c r="A282" s="48" t="e">
        <f>Проект!#REF!</f>
        <v>#REF!</v>
      </c>
      <c r="B282" s="330"/>
      <c r="C282" s="73" t="e">
        <f>Проект!#REF!</f>
        <v>#REF!</v>
      </c>
      <c r="D282" s="48"/>
      <c r="E282" s="48"/>
      <c r="F282" s="352" t="e">
        <f>Проект!#REF!</f>
        <v>#REF!</v>
      </c>
      <c r="G282" s="352" t="e">
        <f>Проект!#REF!</f>
        <v>#REF!</v>
      </c>
      <c r="H282" s="352" t="e">
        <f>Проект!#REF!</f>
        <v>#REF!</v>
      </c>
      <c r="I282" s="352" t="e">
        <f>Проект!#REF!</f>
        <v>#REF!</v>
      </c>
      <c r="J282" s="352" t="e">
        <f>Проект!#REF!</f>
        <v>#REF!</v>
      </c>
      <c r="K282" s="352" t="e">
        <f>Проект!#REF!</f>
        <v>#REF!</v>
      </c>
      <c r="L282" s="352" t="e">
        <f>Проект!#REF!</f>
        <v>#REF!</v>
      </c>
      <c r="M282" s="352" t="e">
        <f>Проект!#REF!</f>
        <v>#REF!</v>
      </c>
      <c r="N282" s="352" t="e">
        <f>Проект!#REF!</f>
        <v>#REF!</v>
      </c>
      <c r="O282" s="352" t="e">
        <f>Проект!#REF!</f>
        <v>#REF!</v>
      </c>
      <c r="P282" s="352" t="e">
        <f>Проект!#REF!</f>
        <v>#REF!</v>
      </c>
      <c r="Q282" s="352" t="e">
        <f>Проект!#REF!</f>
        <v>#REF!</v>
      </c>
      <c r="R282" s="106"/>
      <c r="S282" s="95" t="e">
        <f>Проект!#REF!</f>
        <v>#REF!</v>
      </c>
    </row>
    <row r="283" spans="1:19" ht="11.25" customHeight="1" x14ac:dyDescent="0.2">
      <c r="A283" s="48" t="e">
        <f>Проект!#REF!</f>
        <v>#REF!</v>
      </c>
      <c r="B283" s="330"/>
      <c r="C283" s="73" t="e">
        <f>Проект!#REF!</f>
        <v>#REF!</v>
      </c>
      <c r="D283" s="48"/>
      <c r="E283" s="48"/>
      <c r="F283" s="352" t="e">
        <f>Проект!#REF!</f>
        <v>#REF!</v>
      </c>
      <c r="G283" s="352" t="e">
        <f>Проект!#REF!</f>
        <v>#REF!</v>
      </c>
      <c r="H283" s="352" t="e">
        <f>Проект!#REF!</f>
        <v>#REF!</v>
      </c>
      <c r="I283" s="352" t="e">
        <f>Проект!#REF!</f>
        <v>#REF!</v>
      </c>
      <c r="J283" s="352" t="e">
        <f>Проект!#REF!</f>
        <v>#REF!</v>
      </c>
      <c r="K283" s="352" t="e">
        <f>Проект!#REF!</f>
        <v>#REF!</v>
      </c>
      <c r="L283" s="352" t="e">
        <f>Проект!#REF!</f>
        <v>#REF!</v>
      </c>
      <c r="M283" s="352" t="e">
        <f>Проект!#REF!</f>
        <v>#REF!</v>
      </c>
      <c r="N283" s="352" t="e">
        <f>Проект!#REF!</f>
        <v>#REF!</v>
      </c>
      <c r="O283" s="352" t="e">
        <f>Проект!#REF!</f>
        <v>#REF!</v>
      </c>
      <c r="P283" s="352" t="e">
        <f>Проект!#REF!</f>
        <v>#REF!</v>
      </c>
      <c r="Q283" s="352" t="e">
        <f>Проект!#REF!</f>
        <v>#REF!</v>
      </c>
      <c r="R283" s="106"/>
      <c r="S283" s="95" t="e">
        <f>Проект!#REF!</f>
        <v>#REF!</v>
      </c>
    </row>
    <row r="284" spans="1:19" ht="11.25" customHeight="1" x14ac:dyDescent="0.2">
      <c r="A284" s="48" t="e">
        <f>Проект!#REF!</f>
        <v>#REF!</v>
      </c>
      <c r="B284" s="330"/>
      <c r="C284" s="73" t="e">
        <f>Проект!#REF!</f>
        <v>#REF!</v>
      </c>
      <c r="D284" s="48"/>
      <c r="E284" s="48"/>
      <c r="F284" s="352" t="e">
        <f>Проект!#REF!</f>
        <v>#REF!</v>
      </c>
      <c r="G284" s="352" t="e">
        <f>Проект!#REF!</f>
        <v>#REF!</v>
      </c>
      <c r="H284" s="352" t="e">
        <f>Проект!#REF!</f>
        <v>#REF!</v>
      </c>
      <c r="I284" s="352" t="e">
        <f>Проект!#REF!</f>
        <v>#REF!</v>
      </c>
      <c r="J284" s="352" t="e">
        <f>Проект!#REF!</f>
        <v>#REF!</v>
      </c>
      <c r="K284" s="352" t="e">
        <f>Проект!#REF!</f>
        <v>#REF!</v>
      </c>
      <c r="L284" s="352" t="e">
        <f>Проект!#REF!</f>
        <v>#REF!</v>
      </c>
      <c r="M284" s="352" t="e">
        <f>Проект!#REF!</f>
        <v>#REF!</v>
      </c>
      <c r="N284" s="352" t="e">
        <f>Проект!#REF!</f>
        <v>#REF!</v>
      </c>
      <c r="O284" s="352" t="e">
        <f>Проект!#REF!</f>
        <v>#REF!</v>
      </c>
      <c r="P284" s="352" t="e">
        <f>Проект!#REF!</f>
        <v>#REF!</v>
      </c>
      <c r="Q284" s="352" t="e">
        <f>Проект!#REF!</f>
        <v>#REF!</v>
      </c>
      <c r="R284" s="106"/>
      <c r="S284" s="95" t="e">
        <f>Проект!#REF!</f>
        <v>#REF!</v>
      </c>
    </row>
    <row r="285" spans="1:19" ht="11.25" customHeight="1" x14ac:dyDescent="0.2">
      <c r="A285" s="48" t="e">
        <f>Проект!#REF!</f>
        <v>#REF!</v>
      </c>
      <c r="B285" s="330"/>
      <c r="C285" s="73" t="e">
        <f>Проект!#REF!</f>
        <v>#REF!</v>
      </c>
      <c r="D285" s="48"/>
      <c r="E285" s="48"/>
      <c r="F285" s="352" t="e">
        <f>Проект!#REF!</f>
        <v>#REF!</v>
      </c>
      <c r="G285" s="352" t="e">
        <f>Проект!#REF!</f>
        <v>#REF!</v>
      </c>
      <c r="H285" s="352" t="e">
        <f>Проект!#REF!</f>
        <v>#REF!</v>
      </c>
      <c r="I285" s="352" t="e">
        <f>Проект!#REF!</f>
        <v>#REF!</v>
      </c>
      <c r="J285" s="352" t="e">
        <f>Проект!#REF!</f>
        <v>#REF!</v>
      </c>
      <c r="K285" s="352" t="e">
        <f>Проект!#REF!</f>
        <v>#REF!</v>
      </c>
      <c r="L285" s="352" t="e">
        <f>Проект!#REF!</f>
        <v>#REF!</v>
      </c>
      <c r="M285" s="352" t="e">
        <f>Проект!#REF!</f>
        <v>#REF!</v>
      </c>
      <c r="N285" s="352" t="e">
        <f>Проект!#REF!</f>
        <v>#REF!</v>
      </c>
      <c r="O285" s="352" t="e">
        <f>Проект!#REF!</f>
        <v>#REF!</v>
      </c>
      <c r="P285" s="352" t="e">
        <f>Проект!#REF!</f>
        <v>#REF!</v>
      </c>
      <c r="Q285" s="352" t="e">
        <f>Проект!#REF!</f>
        <v>#REF!</v>
      </c>
      <c r="R285" s="106"/>
      <c r="S285" s="95" t="e">
        <f>Проект!#REF!</f>
        <v>#REF!</v>
      </c>
    </row>
    <row r="286" spans="1:19" ht="11.25" customHeight="1" x14ac:dyDescent="0.2">
      <c r="A286" s="48" t="e">
        <f>Проект!#REF!</f>
        <v>#REF!</v>
      </c>
      <c r="B286" s="330"/>
      <c r="C286" s="73" t="e">
        <f>Проект!#REF!</f>
        <v>#REF!</v>
      </c>
      <c r="D286" s="48"/>
      <c r="E286" s="48"/>
      <c r="F286" s="352" t="e">
        <f>Проект!#REF!</f>
        <v>#REF!</v>
      </c>
      <c r="G286" s="352" t="e">
        <f>Проект!#REF!</f>
        <v>#REF!</v>
      </c>
      <c r="H286" s="352" t="e">
        <f>Проект!#REF!</f>
        <v>#REF!</v>
      </c>
      <c r="I286" s="352" t="e">
        <f>Проект!#REF!</f>
        <v>#REF!</v>
      </c>
      <c r="J286" s="352" t="e">
        <f>Проект!#REF!</f>
        <v>#REF!</v>
      </c>
      <c r="K286" s="352" t="e">
        <f>Проект!#REF!</f>
        <v>#REF!</v>
      </c>
      <c r="L286" s="352" t="e">
        <f>Проект!#REF!</f>
        <v>#REF!</v>
      </c>
      <c r="M286" s="352" t="e">
        <f>Проект!#REF!</f>
        <v>#REF!</v>
      </c>
      <c r="N286" s="352" t="e">
        <f>Проект!#REF!</f>
        <v>#REF!</v>
      </c>
      <c r="O286" s="352" t="e">
        <f>Проект!#REF!</f>
        <v>#REF!</v>
      </c>
      <c r="P286" s="352" t="e">
        <f>Проект!#REF!</f>
        <v>#REF!</v>
      </c>
      <c r="Q286" s="352" t="e">
        <f>Проект!#REF!</f>
        <v>#REF!</v>
      </c>
      <c r="R286" s="106"/>
      <c r="S286" s="95" t="e">
        <f>Проект!#REF!</f>
        <v>#REF!</v>
      </c>
    </row>
    <row r="287" spans="1:19" ht="11.25" customHeight="1" x14ac:dyDescent="0.2">
      <c r="A287" s="48" t="e">
        <f>Проект!#REF!</f>
        <v>#REF!</v>
      </c>
      <c r="B287" s="330"/>
      <c r="C287" s="73" t="e">
        <f>Проект!#REF!</f>
        <v>#REF!</v>
      </c>
      <c r="D287" s="48"/>
      <c r="E287" s="48"/>
      <c r="F287" s="352" t="e">
        <f>Проект!#REF!</f>
        <v>#REF!</v>
      </c>
      <c r="G287" s="352" t="e">
        <f>Проект!#REF!</f>
        <v>#REF!</v>
      </c>
      <c r="H287" s="352" t="e">
        <f>Проект!#REF!</f>
        <v>#REF!</v>
      </c>
      <c r="I287" s="352" t="e">
        <f>Проект!#REF!</f>
        <v>#REF!</v>
      </c>
      <c r="J287" s="352" t="e">
        <f>Проект!#REF!</f>
        <v>#REF!</v>
      </c>
      <c r="K287" s="352" t="e">
        <f>Проект!#REF!</f>
        <v>#REF!</v>
      </c>
      <c r="L287" s="352" t="e">
        <f>Проект!#REF!</f>
        <v>#REF!</v>
      </c>
      <c r="M287" s="352" t="e">
        <f>Проект!#REF!</f>
        <v>#REF!</v>
      </c>
      <c r="N287" s="352" t="e">
        <f>Проект!#REF!</f>
        <v>#REF!</v>
      </c>
      <c r="O287" s="352" t="e">
        <f>Проект!#REF!</f>
        <v>#REF!</v>
      </c>
      <c r="P287" s="352" t="e">
        <f>Проект!#REF!</f>
        <v>#REF!</v>
      </c>
      <c r="Q287" s="352" t="e">
        <f>Проект!#REF!</f>
        <v>#REF!</v>
      </c>
      <c r="R287" s="106"/>
      <c r="S287" s="95" t="e">
        <f>Проект!#REF!</f>
        <v>#REF!</v>
      </c>
    </row>
    <row r="288" spans="1:19" ht="11.25" customHeight="1" x14ac:dyDescent="0.2">
      <c r="A288" s="41"/>
      <c r="B288" s="72"/>
      <c r="C288" s="73"/>
      <c r="D288" s="74"/>
      <c r="E288" s="48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48"/>
      <c r="S288" s="41"/>
    </row>
    <row r="291" spans="1:19" ht="15.9" customHeight="1" thickBot="1" x14ac:dyDescent="0.25">
      <c r="A291" s="166" t="str">
        <f ca="1">Проект!$A$617</f>
        <v xml:space="preserve">         ДОХОДЫ ОТ ПРОДАЖ</v>
      </c>
      <c r="B291" s="166"/>
      <c r="C291" s="166"/>
      <c r="D291" s="166"/>
      <c r="E291" s="166"/>
      <c r="F291" s="178" t="str">
        <f>Проект!$F$617</f>
        <v>4/ 2020</v>
      </c>
      <c r="G291" s="178" t="str">
        <f>Проект!$G$617</f>
        <v>5/ 2020</v>
      </c>
      <c r="H291" s="178" t="str">
        <f>Проект!$H$617</f>
        <v>6/ 2020</v>
      </c>
      <c r="I291" s="178" t="str">
        <f>Проект!$I$617</f>
        <v>7/ 2020</v>
      </c>
      <c r="J291" s="178" t="str">
        <f>Проект!$J$617</f>
        <v>8/ 2020</v>
      </c>
      <c r="K291" s="178" t="e">
        <f>Проект!#REF!</f>
        <v>#REF!</v>
      </c>
      <c r="L291" s="178" t="e">
        <f>Проект!#REF!</f>
        <v>#REF!</v>
      </c>
      <c r="M291" s="178" t="e">
        <f>Проект!#REF!</f>
        <v>#REF!</v>
      </c>
      <c r="N291" s="178" t="e">
        <f>Проект!#REF!</f>
        <v>#REF!</v>
      </c>
      <c r="O291" s="178" t="e">
        <f>Проект!#REF!</f>
        <v>#REF!</v>
      </c>
      <c r="P291" s="178" t="e">
        <f>Проект!#REF!</f>
        <v>#REF!</v>
      </c>
      <c r="Q291" s="178" t="str">
        <f>Проект!$K$617</f>
        <v>9/ 2020</v>
      </c>
      <c r="R291" s="166"/>
      <c r="S291" s="195" t="str">
        <f ca="1">Проект!$M$617</f>
        <v>ИТОГО</v>
      </c>
    </row>
    <row r="292" spans="1:19" ht="12" customHeight="1" thickTop="1" x14ac:dyDescent="0.2">
      <c r="A292" s="48"/>
      <c r="B292" s="48"/>
      <c r="C292" s="48"/>
      <c r="D292" s="48">
        <f>Проект!$D$618</f>
        <v>0</v>
      </c>
      <c r="E292" s="48">
        <f>Проект!$E$618</f>
        <v>8</v>
      </c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1"/>
    </row>
    <row r="293" spans="1:19" ht="11.25" customHeight="1" x14ac:dyDescent="0.2">
      <c r="A293" s="48" t="str">
        <f>Проект!$A$619</f>
        <v>Наименование товара</v>
      </c>
      <c r="B293" s="48"/>
      <c r="C293" s="73" t="str">
        <f ca="1">Проект!$C$619</f>
        <v>руб.</v>
      </c>
      <c r="D293" s="74" t="str">
        <f>Проект!$D$619</f>
        <v>1_01</v>
      </c>
      <c r="E293" s="48"/>
      <c r="F293" s="83">
        <f>Проект!$F$619</f>
        <v>0</v>
      </c>
      <c r="G293" s="83">
        <f>Проект!$G$619</f>
        <v>0</v>
      </c>
      <c r="H293" s="83">
        <f>Проект!$H$619</f>
        <v>0</v>
      </c>
      <c r="I293" s="83">
        <f>Проект!$I$619</f>
        <v>0</v>
      </c>
      <c r="J293" s="83">
        <f>Проект!$J$619</f>
        <v>0</v>
      </c>
      <c r="K293" s="83" t="e">
        <f>Проект!#REF!</f>
        <v>#REF!</v>
      </c>
      <c r="L293" s="83" t="e">
        <f>Проект!#REF!</f>
        <v>#REF!</v>
      </c>
      <c r="M293" s="83" t="e">
        <f>Проект!#REF!</f>
        <v>#REF!</v>
      </c>
      <c r="N293" s="83" t="e">
        <f>Проект!#REF!</f>
        <v>#REF!</v>
      </c>
      <c r="O293" s="83" t="e">
        <f>Проект!#REF!</f>
        <v>#REF!</v>
      </c>
      <c r="P293" s="83" t="e">
        <f>Проект!#REF!</f>
        <v>#REF!</v>
      </c>
      <c r="Q293" s="83">
        <f>Проект!$K$619</f>
        <v>0</v>
      </c>
      <c r="R293" s="48"/>
      <c r="S293" s="95">
        <f>Проект!$M$619</f>
        <v>0</v>
      </c>
    </row>
    <row r="294" spans="1:19" hidden="1" x14ac:dyDescent="0.2">
      <c r="A294" s="48" t="str">
        <f ca="1">Проект!$A$620</f>
        <v xml:space="preserve">    к оплате от покупателей (без НДС)</v>
      </c>
      <c r="B294" s="48"/>
      <c r="C294" s="73" t="str">
        <f ca="1">Проект!$C$620</f>
        <v>руб.</v>
      </c>
      <c r="D294" s="48" t="str">
        <f>Проект!$D$620</f>
        <v>1_02</v>
      </c>
      <c r="E294" s="48"/>
      <c r="F294" s="84">
        <f>Проект!$F$620</f>
        <v>0</v>
      </c>
      <c r="G294" s="84">
        <f>Проект!$G$620</f>
        <v>0</v>
      </c>
      <c r="H294" s="84">
        <f>Проект!$H$620</f>
        <v>0</v>
      </c>
      <c r="I294" s="84">
        <f>Проект!$I$620</f>
        <v>0</v>
      </c>
      <c r="J294" s="84">
        <f>Проект!$J$620</f>
        <v>0</v>
      </c>
      <c r="K294" s="84" t="e">
        <f>Проект!#REF!</f>
        <v>#REF!</v>
      </c>
      <c r="L294" s="84" t="e">
        <f>Проект!#REF!</f>
        <v>#REF!</v>
      </c>
      <c r="M294" s="84" t="e">
        <f>Проект!#REF!</f>
        <v>#REF!</v>
      </c>
      <c r="N294" s="84" t="e">
        <f>Проект!#REF!</f>
        <v>#REF!</v>
      </c>
      <c r="O294" s="84" t="e">
        <f>Проект!#REF!</f>
        <v>#REF!</v>
      </c>
      <c r="P294" s="84" t="e">
        <f>Проект!#REF!</f>
        <v>#REF!</v>
      </c>
      <c r="Q294" s="84">
        <f>Проект!$K$620</f>
        <v>0</v>
      </c>
      <c r="R294" s="48"/>
      <c r="S294" s="94">
        <f>Проект!$M$620</f>
        <v>0</v>
      </c>
    </row>
    <row r="295" spans="1:19" hidden="1" x14ac:dyDescent="0.2">
      <c r="A295" s="48" t="str">
        <f ca="1">Проект!$A$621</f>
        <v xml:space="preserve">    в т.ч. акцизов, налогов и пошлин</v>
      </c>
      <c r="B295" s="48"/>
      <c r="C295" s="73" t="str">
        <f ca="1">Проект!$C$621</f>
        <v>руб.</v>
      </c>
      <c r="D295" s="48" t="str">
        <f>Проект!$D$621</f>
        <v>1_03</v>
      </c>
      <c r="E295" s="48"/>
      <c r="F295" s="84">
        <f>Проект!$F$621</f>
        <v>0</v>
      </c>
      <c r="G295" s="84">
        <f>Проект!$G$621</f>
        <v>0</v>
      </c>
      <c r="H295" s="84">
        <f>Проект!$H$621</f>
        <v>0</v>
      </c>
      <c r="I295" s="84">
        <f>Проект!$I$621</f>
        <v>0</v>
      </c>
      <c r="J295" s="84">
        <f>Проект!$J$621</f>
        <v>0</v>
      </c>
      <c r="K295" s="84" t="e">
        <f>Проект!#REF!</f>
        <v>#REF!</v>
      </c>
      <c r="L295" s="84" t="e">
        <f>Проект!#REF!</f>
        <v>#REF!</v>
      </c>
      <c r="M295" s="84" t="e">
        <f>Проект!#REF!</f>
        <v>#REF!</v>
      </c>
      <c r="N295" s="84" t="e">
        <f>Проект!#REF!</f>
        <v>#REF!</v>
      </c>
      <c r="O295" s="84" t="e">
        <f>Проект!#REF!</f>
        <v>#REF!</v>
      </c>
      <c r="P295" s="84" t="e">
        <f>Проект!#REF!</f>
        <v>#REF!</v>
      </c>
      <c r="Q295" s="84">
        <f>Проект!$K$621</f>
        <v>0</v>
      </c>
      <c r="R295" s="48"/>
      <c r="S295" s="94">
        <f>Проект!$M$621</f>
        <v>0</v>
      </c>
    </row>
    <row r="296" spans="1:19" hidden="1" x14ac:dyDescent="0.2">
      <c r="A296" s="48" t="str">
        <f ca="1">Проект!$A$622</f>
        <v xml:space="preserve">    НДС на поставленную продукцию</v>
      </c>
      <c r="B296" s="48"/>
      <c r="C296" s="73" t="str">
        <f ca="1">Проект!$C$622</f>
        <v>руб.</v>
      </c>
      <c r="D296" s="48" t="str">
        <f>Проект!$D$622</f>
        <v>1_08</v>
      </c>
      <c r="E296" s="48"/>
      <c r="F296" s="84">
        <f>Проект!$F$622</f>
        <v>0</v>
      </c>
      <c r="G296" s="84">
        <f>Проект!$G$622</f>
        <v>0</v>
      </c>
      <c r="H296" s="84">
        <f>Проект!$H$622</f>
        <v>0</v>
      </c>
      <c r="I296" s="84">
        <f>Проект!$I$622</f>
        <v>0</v>
      </c>
      <c r="J296" s="84">
        <f>Проект!$J$622</f>
        <v>0</v>
      </c>
      <c r="K296" s="84" t="e">
        <f>Проект!#REF!</f>
        <v>#REF!</v>
      </c>
      <c r="L296" s="84" t="e">
        <f>Проект!#REF!</f>
        <v>#REF!</v>
      </c>
      <c r="M296" s="84" t="e">
        <f>Проект!#REF!</f>
        <v>#REF!</v>
      </c>
      <c r="N296" s="84" t="e">
        <f>Проект!#REF!</f>
        <v>#REF!</v>
      </c>
      <c r="O296" s="84" t="e">
        <f>Проект!#REF!</f>
        <v>#REF!</v>
      </c>
      <c r="P296" s="84" t="e">
        <f>Проект!#REF!</f>
        <v>#REF!</v>
      </c>
      <c r="Q296" s="84">
        <f>Проект!$K$622</f>
        <v>0</v>
      </c>
      <c r="R296" s="48"/>
      <c r="S296" s="94">
        <f>Проект!$M$622</f>
        <v>0</v>
      </c>
    </row>
    <row r="297" spans="1:19" hidden="1" x14ac:dyDescent="0.2">
      <c r="A297" s="48" t="str">
        <f ca="1">Проект!$A$623</f>
        <v xml:space="preserve">    график оплаты (без НДС)</v>
      </c>
      <c r="B297" s="48"/>
      <c r="C297" s="73" t="str">
        <f ca="1">Проект!$C$623</f>
        <v>руб.</v>
      </c>
      <c r="D297" s="48" t="str">
        <f>Проект!$D$623</f>
        <v>1_04</v>
      </c>
      <c r="E297" s="48"/>
      <c r="F297" s="341">
        <f>Проект!$F$623</f>
        <v>0</v>
      </c>
      <c r="G297" s="341">
        <f>Проект!$G$623</f>
        <v>0</v>
      </c>
      <c r="H297" s="341">
        <f>Проект!$H$623</f>
        <v>0</v>
      </c>
      <c r="I297" s="341">
        <f>Проект!$I$623</f>
        <v>0</v>
      </c>
      <c r="J297" s="341">
        <f>Проект!$J$623</f>
        <v>0</v>
      </c>
      <c r="K297" s="341" t="e">
        <f>Проект!#REF!</f>
        <v>#REF!</v>
      </c>
      <c r="L297" s="341" t="e">
        <f>Проект!#REF!</f>
        <v>#REF!</v>
      </c>
      <c r="M297" s="341" t="e">
        <f>Проект!#REF!</f>
        <v>#REF!</v>
      </c>
      <c r="N297" s="341" t="e">
        <f>Проект!#REF!</f>
        <v>#REF!</v>
      </c>
      <c r="O297" s="341" t="e">
        <f>Проект!#REF!</f>
        <v>#REF!</v>
      </c>
      <c r="P297" s="341" t="e">
        <f>Проект!#REF!</f>
        <v>#REF!</v>
      </c>
      <c r="Q297" s="341">
        <f>Проект!$K$623</f>
        <v>0</v>
      </c>
      <c r="R297" s="48"/>
      <c r="S297" s="94">
        <f>Проект!$M$623</f>
        <v>0</v>
      </c>
    </row>
    <row r="298" spans="1:19" hidden="1" x14ac:dyDescent="0.2">
      <c r="A298" s="48" t="str">
        <f ca="1">Проект!$A$624</f>
        <v xml:space="preserve">    полученный НДС</v>
      </c>
      <c r="B298" s="48"/>
      <c r="C298" s="73" t="str">
        <f ca="1">Проект!$C$624</f>
        <v>руб.</v>
      </c>
      <c r="D298" s="48" t="str">
        <f>Проект!$D$624</f>
        <v>1_05</v>
      </c>
      <c r="E298" s="48"/>
      <c r="F298" s="84">
        <f>Проект!$F$624</f>
        <v>0</v>
      </c>
      <c r="G298" s="84">
        <f>Проект!$G$624</f>
        <v>0</v>
      </c>
      <c r="H298" s="84">
        <f>Проект!$H$624</f>
        <v>0</v>
      </c>
      <c r="I298" s="84">
        <f>Проект!$I$624</f>
        <v>0</v>
      </c>
      <c r="J298" s="84">
        <f>Проект!$J$624</f>
        <v>0</v>
      </c>
      <c r="K298" s="84" t="e">
        <f>Проект!#REF!</f>
        <v>#REF!</v>
      </c>
      <c r="L298" s="84" t="e">
        <f>Проект!#REF!</f>
        <v>#REF!</v>
      </c>
      <c r="M298" s="84" t="e">
        <f>Проект!#REF!</f>
        <v>#REF!</v>
      </c>
      <c r="N298" s="84" t="e">
        <f>Проект!#REF!</f>
        <v>#REF!</v>
      </c>
      <c r="O298" s="84" t="e">
        <f>Проект!#REF!</f>
        <v>#REF!</v>
      </c>
      <c r="P298" s="84" t="e">
        <f>Проект!#REF!</f>
        <v>#REF!</v>
      </c>
      <c r="Q298" s="84">
        <f>Проект!$K$624</f>
        <v>0</v>
      </c>
      <c r="R298" s="48"/>
      <c r="S298" s="94">
        <f>Проект!$M$624</f>
        <v>0</v>
      </c>
    </row>
    <row r="299" spans="1:19" hidden="1" x14ac:dyDescent="0.2">
      <c r="A299" s="48" t="str">
        <f ca="1">Проект!$A$625</f>
        <v xml:space="preserve">    дебиторская задолженность</v>
      </c>
      <c r="B299" s="48"/>
      <c r="C299" s="73" t="str">
        <f ca="1">Проект!$C$625</f>
        <v>руб.</v>
      </c>
      <c r="D299" s="48" t="str">
        <f>Проект!$D$625</f>
        <v>1_06;int_end</v>
      </c>
      <c r="E299" s="48"/>
      <c r="F299" s="84">
        <f>Проект!$F$625</f>
        <v>0</v>
      </c>
      <c r="G299" s="84">
        <f>Проект!$G$625</f>
        <v>0</v>
      </c>
      <c r="H299" s="84">
        <f>Проект!$H$625</f>
        <v>0</v>
      </c>
      <c r="I299" s="84">
        <f>Проект!$I$625</f>
        <v>0</v>
      </c>
      <c r="J299" s="84">
        <f>Проект!$J$625</f>
        <v>0</v>
      </c>
      <c r="K299" s="84" t="e">
        <f>Проект!#REF!</f>
        <v>#REF!</v>
      </c>
      <c r="L299" s="84" t="e">
        <f>Проект!#REF!</f>
        <v>#REF!</v>
      </c>
      <c r="M299" s="84" t="e">
        <f>Проект!#REF!</f>
        <v>#REF!</v>
      </c>
      <c r="N299" s="84" t="e">
        <f>Проект!#REF!</f>
        <v>#REF!</v>
      </c>
      <c r="O299" s="84" t="e">
        <f>Проект!#REF!</f>
        <v>#REF!</v>
      </c>
      <c r="P299" s="84" t="e">
        <f>Проект!#REF!</f>
        <v>#REF!</v>
      </c>
      <c r="Q299" s="84">
        <f>Проект!$K$625</f>
        <v>0</v>
      </c>
      <c r="R299" s="48"/>
      <c r="S299" s="41"/>
    </row>
    <row r="300" spans="1:19" hidden="1" x14ac:dyDescent="0.2">
      <c r="A300" s="48" t="str">
        <f ca="1">Проект!$A$626</f>
        <v xml:space="preserve">    полученные авансы</v>
      </c>
      <c r="B300" s="48"/>
      <c r="C300" s="73" t="str">
        <f ca="1">Проект!$C$626</f>
        <v>руб.</v>
      </c>
      <c r="D300" s="48" t="str">
        <f>Проект!$D$626</f>
        <v>1_07;int_end</v>
      </c>
      <c r="E300" s="48"/>
      <c r="F300" s="84">
        <f>Проект!$F$626</f>
        <v>0</v>
      </c>
      <c r="G300" s="84">
        <f>Проект!$G$626</f>
        <v>0</v>
      </c>
      <c r="H300" s="84">
        <f>Проект!$H$626</f>
        <v>0</v>
      </c>
      <c r="I300" s="84">
        <f>Проект!$I$626</f>
        <v>0</v>
      </c>
      <c r="J300" s="84">
        <f>Проект!$J$626</f>
        <v>0</v>
      </c>
      <c r="K300" s="84" t="e">
        <f>Проект!#REF!</f>
        <v>#REF!</v>
      </c>
      <c r="L300" s="84" t="e">
        <f>Проект!#REF!</f>
        <v>#REF!</v>
      </c>
      <c r="M300" s="84" t="e">
        <f>Проект!#REF!</f>
        <v>#REF!</v>
      </c>
      <c r="N300" s="84" t="e">
        <f>Проект!#REF!</f>
        <v>#REF!</v>
      </c>
      <c r="O300" s="84" t="e">
        <f>Проект!#REF!</f>
        <v>#REF!</v>
      </c>
      <c r="P300" s="84" t="e">
        <f>Проект!#REF!</f>
        <v>#REF!</v>
      </c>
      <c r="Q300" s="84">
        <f>Проект!$K$626</f>
        <v>0</v>
      </c>
      <c r="R300" s="48"/>
      <c r="S300" s="41"/>
    </row>
    <row r="301" spans="1:19" ht="11.25" customHeight="1" x14ac:dyDescent="0.2">
      <c r="A301" s="48" t="e">
        <f>Проект!#REF!</f>
        <v>#REF!</v>
      </c>
      <c r="B301" s="48"/>
      <c r="C301" s="73" t="e">
        <f>Проект!#REF!</f>
        <v>#REF!</v>
      </c>
      <c r="D301" s="74" t="e">
        <f>Проект!#REF!</f>
        <v>#REF!</v>
      </c>
      <c r="E301" s="48"/>
      <c r="F301" s="83" t="e">
        <f>Проект!#REF!</f>
        <v>#REF!</v>
      </c>
      <c r="G301" s="83" t="e">
        <f>Проект!#REF!</f>
        <v>#REF!</v>
      </c>
      <c r="H301" s="83" t="e">
        <f>Проект!#REF!</f>
        <v>#REF!</v>
      </c>
      <c r="I301" s="83" t="e">
        <f>Проект!#REF!</f>
        <v>#REF!</v>
      </c>
      <c r="J301" s="83" t="e">
        <f>Проект!#REF!</f>
        <v>#REF!</v>
      </c>
      <c r="K301" s="83" t="e">
        <f>Проект!#REF!</f>
        <v>#REF!</v>
      </c>
      <c r="L301" s="83" t="e">
        <f>Проект!#REF!</f>
        <v>#REF!</v>
      </c>
      <c r="M301" s="83" t="e">
        <f>Проект!#REF!</f>
        <v>#REF!</v>
      </c>
      <c r="N301" s="83" t="e">
        <f>Проект!#REF!</f>
        <v>#REF!</v>
      </c>
      <c r="O301" s="83" t="e">
        <f>Проект!#REF!</f>
        <v>#REF!</v>
      </c>
      <c r="P301" s="83" t="e">
        <f>Проект!#REF!</f>
        <v>#REF!</v>
      </c>
      <c r="Q301" s="83" t="e">
        <f>Проект!#REF!</f>
        <v>#REF!</v>
      </c>
      <c r="R301" s="48"/>
      <c r="S301" s="95" t="e">
        <f>Проект!#REF!</f>
        <v>#REF!</v>
      </c>
    </row>
    <row r="302" spans="1:19" hidden="1" x14ac:dyDescent="0.2">
      <c r="A302" s="48" t="e">
        <f>Проект!#REF!</f>
        <v>#REF!</v>
      </c>
      <c r="B302" s="48"/>
      <c r="C302" s="73" t="e">
        <f>Проект!#REF!</f>
        <v>#REF!</v>
      </c>
      <c r="D302" s="48" t="e">
        <f>Проект!#REF!</f>
        <v>#REF!</v>
      </c>
      <c r="E302" s="48"/>
      <c r="F302" s="84" t="e">
        <f>Проект!#REF!</f>
        <v>#REF!</v>
      </c>
      <c r="G302" s="84" t="e">
        <f>Проект!#REF!</f>
        <v>#REF!</v>
      </c>
      <c r="H302" s="84" t="e">
        <f>Проект!#REF!</f>
        <v>#REF!</v>
      </c>
      <c r="I302" s="84" t="e">
        <f>Проект!#REF!</f>
        <v>#REF!</v>
      </c>
      <c r="J302" s="84" t="e">
        <f>Проект!#REF!</f>
        <v>#REF!</v>
      </c>
      <c r="K302" s="84" t="e">
        <f>Проект!#REF!</f>
        <v>#REF!</v>
      </c>
      <c r="L302" s="84" t="e">
        <f>Проект!#REF!</f>
        <v>#REF!</v>
      </c>
      <c r="M302" s="84" t="e">
        <f>Проект!#REF!</f>
        <v>#REF!</v>
      </c>
      <c r="N302" s="84" t="e">
        <f>Проект!#REF!</f>
        <v>#REF!</v>
      </c>
      <c r="O302" s="84" t="e">
        <f>Проект!#REF!</f>
        <v>#REF!</v>
      </c>
      <c r="P302" s="84" t="e">
        <f>Проект!#REF!</f>
        <v>#REF!</v>
      </c>
      <c r="Q302" s="84" t="e">
        <f>Проект!#REF!</f>
        <v>#REF!</v>
      </c>
      <c r="R302" s="48"/>
      <c r="S302" s="94" t="e">
        <f>Проект!#REF!</f>
        <v>#REF!</v>
      </c>
    </row>
    <row r="303" spans="1:19" hidden="1" x14ac:dyDescent="0.2">
      <c r="A303" s="48" t="e">
        <f>Проект!#REF!</f>
        <v>#REF!</v>
      </c>
      <c r="B303" s="48"/>
      <c r="C303" s="73" t="e">
        <f>Проект!#REF!</f>
        <v>#REF!</v>
      </c>
      <c r="D303" s="48" t="e">
        <f>Проект!#REF!</f>
        <v>#REF!</v>
      </c>
      <c r="E303" s="48"/>
      <c r="F303" s="84" t="e">
        <f>Проект!#REF!</f>
        <v>#REF!</v>
      </c>
      <c r="G303" s="84" t="e">
        <f>Проект!#REF!</f>
        <v>#REF!</v>
      </c>
      <c r="H303" s="84" t="e">
        <f>Проект!#REF!</f>
        <v>#REF!</v>
      </c>
      <c r="I303" s="84" t="e">
        <f>Проект!#REF!</f>
        <v>#REF!</v>
      </c>
      <c r="J303" s="84" t="e">
        <f>Проект!#REF!</f>
        <v>#REF!</v>
      </c>
      <c r="K303" s="84" t="e">
        <f>Проект!#REF!</f>
        <v>#REF!</v>
      </c>
      <c r="L303" s="84" t="e">
        <f>Проект!#REF!</f>
        <v>#REF!</v>
      </c>
      <c r="M303" s="84" t="e">
        <f>Проект!#REF!</f>
        <v>#REF!</v>
      </c>
      <c r="N303" s="84" t="e">
        <f>Проект!#REF!</f>
        <v>#REF!</v>
      </c>
      <c r="O303" s="84" t="e">
        <f>Проект!#REF!</f>
        <v>#REF!</v>
      </c>
      <c r="P303" s="84" t="e">
        <f>Проект!#REF!</f>
        <v>#REF!</v>
      </c>
      <c r="Q303" s="84" t="e">
        <f>Проект!#REF!</f>
        <v>#REF!</v>
      </c>
      <c r="R303" s="48"/>
      <c r="S303" s="94" t="e">
        <f>Проект!#REF!</f>
        <v>#REF!</v>
      </c>
    </row>
    <row r="304" spans="1:19" hidden="1" x14ac:dyDescent="0.2">
      <c r="A304" s="48" t="e">
        <f>Проект!#REF!</f>
        <v>#REF!</v>
      </c>
      <c r="B304" s="48"/>
      <c r="C304" s="73" t="e">
        <f>Проект!#REF!</f>
        <v>#REF!</v>
      </c>
      <c r="D304" s="48" t="e">
        <f>Проект!#REF!</f>
        <v>#REF!</v>
      </c>
      <c r="E304" s="48"/>
      <c r="F304" s="84" t="e">
        <f>Проект!#REF!</f>
        <v>#REF!</v>
      </c>
      <c r="G304" s="84" t="e">
        <f>Проект!#REF!</f>
        <v>#REF!</v>
      </c>
      <c r="H304" s="84" t="e">
        <f>Проект!#REF!</f>
        <v>#REF!</v>
      </c>
      <c r="I304" s="84" t="e">
        <f>Проект!#REF!</f>
        <v>#REF!</v>
      </c>
      <c r="J304" s="84" t="e">
        <f>Проект!#REF!</f>
        <v>#REF!</v>
      </c>
      <c r="K304" s="84" t="e">
        <f>Проект!#REF!</f>
        <v>#REF!</v>
      </c>
      <c r="L304" s="84" t="e">
        <f>Проект!#REF!</f>
        <v>#REF!</v>
      </c>
      <c r="M304" s="84" t="e">
        <f>Проект!#REF!</f>
        <v>#REF!</v>
      </c>
      <c r="N304" s="84" t="e">
        <f>Проект!#REF!</f>
        <v>#REF!</v>
      </c>
      <c r="O304" s="84" t="e">
        <f>Проект!#REF!</f>
        <v>#REF!</v>
      </c>
      <c r="P304" s="84" t="e">
        <f>Проект!#REF!</f>
        <v>#REF!</v>
      </c>
      <c r="Q304" s="84" t="e">
        <f>Проект!#REF!</f>
        <v>#REF!</v>
      </c>
      <c r="R304" s="48"/>
      <c r="S304" s="94" t="e">
        <f>Проект!#REF!</f>
        <v>#REF!</v>
      </c>
    </row>
    <row r="305" spans="1:19" hidden="1" x14ac:dyDescent="0.2">
      <c r="A305" s="48" t="e">
        <f>Проект!#REF!</f>
        <v>#REF!</v>
      </c>
      <c r="B305" s="48"/>
      <c r="C305" s="73" t="e">
        <f>Проект!#REF!</f>
        <v>#REF!</v>
      </c>
      <c r="D305" s="48" t="e">
        <f>Проект!#REF!</f>
        <v>#REF!</v>
      </c>
      <c r="E305" s="48"/>
      <c r="F305" s="341" t="e">
        <f>Проект!#REF!</f>
        <v>#REF!</v>
      </c>
      <c r="G305" s="341" t="e">
        <f>Проект!#REF!</f>
        <v>#REF!</v>
      </c>
      <c r="H305" s="341" t="e">
        <f>Проект!#REF!</f>
        <v>#REF!</v>
      </c>
      <c r="I305" s="341" t="e">
        <f>Проект!#REF!</f>
        <v>#REF!</v>
      </c>
      <c r="J305" s="341" t="e">
        <f>Проект!#REF!</f>
        <v>#REF!</v>
      </c>
      <c r="K305" s="341" t="e">
        <f>Проект!#REF!</f>
        <v>#REF!</v>
      </c>
      <c r="L305" s="341" t="e">
        <f>Проект!#REF!</f>
        <v>#REF!</v>
      </c>
      <c r="M305" s="341" t="e">
        <f>Проект!#REF!</f>
        <v>#REF!</v>
      </c>
      <c r="N305" s="341" t="e">
        <f>Проект!#REF!</f>
        <v>#REF!</v>
      </c>
      <c r="O305" s="341" t="e">
        <f>Проект!#REF!</f>
        <v>#REF!</v>
      </c>
      <c r="P305" s="341" t="e">
        <f>Проект!#REF!</f>
        <v>#REF!</v>
      </c>
      <c r="Q305" s="341" t="e">
        <f>Проект!#REF!</f>
        <v>#REF!</v>
      </c>
      <c r="R305" s="48"/>
      <c r="S305" s="94" t="e">
        <f>Проект!#REF!</f>
        <v>#REF!</v>
      </c>
    </row>
    <row r="306" spans="1:19" hidden="1" x14ac:dyDescent="0.2">
      <c r="A306" s="48" t="e">
        <f>Проект!#REF!</f>
        <v>#REF!</v>
      </c>
      <c r="B306" s="48"/>
      <c r="C306" s="73" t="e">
        <f>Проект!#REF!</f>
        <v>#REF!</v>
      </c>
      <c r="D306" s="48" t="e">
        <f>Проект!#REF!</f>
        <v>#REF!</v>
      </c>
      <c r="E306" s="48"/>
      <c r="F306" s="84" t="e">
        <f>Проект!#REF!</f>
        <v>#REF!</v>
      </c>
      <c r="G306" s="84" t="e">
        <f>Проект!#REF!</f>
        <v>#REF!</v>
      </c>
      <c r="H306" s="84" t="e">
        <f>Проект!#REF!</f>
        <v>#REF!</v>
      </c>
      <c r="I306" s="84" t="e">
        <f>Проект!#REF!</f>
        <v>#REF!</v>
      </c>
      <c r="J306" s="84" t="e">
        <f>Проект!#REF!</f>
        <v>#REF!</v>
      </c>
      <c r="K306" s="84" t="e">
        <f>Проект!#REF!</f>
        <v>#REF!</v>
      </c>
      <c r="L306" s="84" t="e">
        <f>Проект!#REF!</f>
        <v>#REF!</v>
      </c>
      <c r="M306" s="84" t="e">
        <f>Проект!#REF!</f>
        <v>#REF!</v>
      </c>
      <c r="N306" s="84" t="e">
        <f>Проект!#REF!</f>
        <v>#REF!</v>
      </c>
      <c r="O306" s="84" t="e">
        <f>Проект!#REF!</f>
        <v>#REF!</v>
      </c>
      <c r="P306" s="84" t="e">
        <f>Проект!#REF!</f>
        <v>#REF!</v>
      </c>
      <c r="Q306" s="84" t="e">
        <f>Проект!#REF!</f>
        <v>#REF!</v>
      </c>
      <c r="R306" s="48"/>
      <c r="S306" s="94" t="e">
        <f>Проект!#REF!</f>
        <v>#REF!</v>
      </c>
    </row>
    <row r="307" spans="1:19" hidden="1" x14ac:dyDescent="0.2">
      <c r="A307" s="48" t="e">
        <f>Проект!#REF!</f>
        <v>#REF!</v>
      </c>
      <c r="B307" s="48"/>
      <c r="C307" s="73" t="e">
        <f>Проект!#REF!</f>
        <v>#REF!</v>
      </c>
      <c r="D307" s="48" t="e">
        <f>Проект!#REF!</f>
        <v>#REF!</v>
      </c>
      <c r="E307" s="48"/>
      <c r="F307" s="84" t="e">
        <f>Проект!#REF!</f>
        <v>#REF!</v>
      </c>
      <c r="G307" s="84" t="e">
        <f>Проект!#REF!</f>
        <v>#REF!</v>
      </c>
      <c r="H307" s="84" t="e">
        <f>Проект!#REF!</f>
        <v>#REF!</v>
      </c>
      <c r="I307" s="84" t="e">
        <f>Проект!#REF!</f>
        <v>#REF!</v>
      </c>
      <c r="J307" s="84" t="e">
        <f>Проект!#REF!</f>
        <v>#REF!</v>
      </c>
      <c r="K307" s="84" t="e">
        <f>Проект!#REF!</f>
        <v>#REF!</v>
      </c>
      <c r="L307" s="84" t="e">
        <f>Проект!#REF!</f>
        <v>#REF!</v>
      </c>
      <c r="M307" s="84" t="e">
        <f>Проект!#REF!</f>
        <v>#REF!</v>
      </c>
      <c r="N307" s="84" t="e">
        <f>Проект!#REF!</f>
        <v>#REF!</v>
      </c>
      <c r="O307" s="84" t="e">
        <f>Проект!#REF!</f>
        <v>#REF!</v>
      </c>
      <c r="P307" s="84" t="e">
        <f>Проект!#REF!</f>
        <v>#REF!</v>
      </c>
      <c r="Q307" s="84" t="e">
        <f>Проект!#REF!</f>
        <v>#REF!</v>
      </c>
      <c r="R307" s="48"/>
      <c r="S307" s="41"/>
    </row>
    <row r="308" spans="1:19" hidden="1" x14ac:dyDescent="0.2">
      <c r="A308" s="48" t="e">
        <f>Проект!#REF!</f>
        <v>#REF!</v>
      </c>
      <c r="B308" s="48"/>
      <c r="C308" s="73" t="e">
        <f>Проект!#REF!</f>
        <v>#REF!</v>
      </c>
      <c r="D308" s="48" t="e">
        <f>Проект!#REF!</f>
        <v>#REF!</v>
      </c>
      <c r="E308" s="48"/>
      <c r="F308" s="84" t="e">
        <f>Проект!#REF!</f>
        <v>#REF!</v>
      </c>
      <c r="G308" s="84" t="e">
        <f>Проект!#REF!</f>
        <v>#REF!</v>
      </c>
      <c r="H308" s="84" t="e">
        <f>Проект!#REF!</f>
        <v>#REF!</v>
      </c>
      <c r="I308" s="84" t="e">
        <f>Проект!#REF!</f>
        <v>#REF!</v>
      </c>
      <c r="J308" s="84" t="e">
        <f>Проект!#REF!</f>
        <v>#REF!</v>
      </c>
      <c r="K308" s="84" t="e">
        <f>Проект!#REF!</f>
        <v>#REF!</v>
      </c>
      <c r="L308" s="84" t="e">
        <f>Проект!#REF!</f>
        <v>#REF!</v>
      </c>
      <c r="M308" s="84" t="e">
        <f>Проект!#REF!</f>
        <v>#REF!</v>
      </c>
      <c r="N308" s="84" t="e">
        <f>Проект!#REF!</f>
        <v>#REF!</v>
      </c>
      <c r="O308" s="84" t="e">
        <f>Проект!#REF!</f>
        <v>#REF!</v>
      </c>
      <c r="P308" s="84" t="e">
        <f>Проект!#REF!</f>
        <v>#REF!</v>
      </c>
      <c r="Q308" s="84" t="e">
        <f>Проект!#REF!</f>
        <v>#REF!</v>
      </c>
      <c r="R308" s="48"/>
      <c r="S308" s="41"/>
    </row>
    <row r="309" spans="1:19" ht="11.25" customHeight="1" x14ac:dyDescent="0.2">
      <c r="A309" s="48" t="e">
        <f>Проект!#REF!</f>
        <v>#REF!</v>
      </c>
      <c r="B309" s="48"/>
      <c r="C309" s="73" t="e">
        <f>Проект!#REF!</f>
        <v>#REF!</v>
      </c>
      <c r="D309" s="74" t="e">
        <f>Проект!#REF!</f>
        <v>#REF!</v>
      </c>
      <c r="E309" s="48"/>
      <c r="F309" s="83" t="e">
        <f>Проект!#REF!</f>
        <v>#REF!</v>
      </c>
      <c r="G309" s="83" t="e">
        <f>Проект!#REF!</f>
        <v>#REF!</v>
      </c>
      <c r="H309" s="83" t="e">
        <f>Проект!#REF!</f>
        <v>#REF!</v>
      </c>
      <c r="I309" s="83" t="e">
        <f>Проект!#REF!</f>
        <v>#REF!</v>
      </c>
      <c r="J309" s="83" t="e">
        <f>Проект!#REF!</f>
        <v>#REF!</v>
      </c>
      <c r="K309" s="83" t="e">
        <f>Проект!#REF!</f>
        <v>#REF!</v>
      </c>
      <c r="L309" s="83" t="e">
        <f>Проект!#REF!</f>
        <v>#REF!</v>
      </c>
      <c r="M309" s="83" t="e">
        <f>Проект!#REF!</f>
        <v>#REF!</v>
      </c>
      <c r="N309" s="83" t="e">
        <f>Проект!#REF!</f>
        <v>#REF!</v>
      </c>
      <c r="O309" s="83" t="e">
        <f>Проект!#REF!</f>
        <v>#REF!</v>
      </c>
      <c r="P309" s="83" t="e">
        <f>Проект!#REF!</f>
        <v>#REF!</v>
      </c>
      <c r="Q309" s="83" t="e">
        <f>Проект!#REF!</f>
        <v>#REF!</v>
      </c>
      <c r="R309" s="48"/>
      <c r="S309" s="95" t="e">
        <f>Проект!#REF!</f>
        <v>#REF!</v>
      </c>
    </row>
    <row r="310" spans="1:19" hidden="1" x14ac:dyDescent="0.2">
      <c r="A310" s="48" t="e">
        <f>Проект!#REF!</f>
        <v>#REF!</v>
      </c>
      <c r="B310" s="48"/>
      <c r="C310" s="73" t="e">
        <f>Проект!#REF!</f>
        <v>#REF!</v>
      </c>
      <c r="D310" s="48" t="e">
        <f>Проект!#REF!</f>
        <v>#REF!</v>
      </c>
      <c r="E310" s="48"/>
      <c r="F310" s="84" t="e">
        <f>Проект!#REF!</f>
        <v>#REF!</v>
      </c>
      <c r="G310" s="84" t="e">
        <f>Проект!#REF!</f>
        <v>#REF!</v>
      </c>
      <c r="H310" s="84" t="e">
        <f>Проект!#REF!</f>
        <v>#REF!</v>
      </c>
      <c r="I310" s="84" t="e">
        <f>Проект!#REF!</f>
        <v>#REF!</v>
      </c>
      <c r="J310" s="84" t="e">
        <f>Проект!#REF!</f>
        <v>#REF!</v>
      </c>
      <c r="K310" s="84" t="e">
        <f>Проект!#REF!</f>
        <v>#REF!</v>
      </c>
      <c r="L310" s="84" t="e">
        <f>Проект!#REF!</f>
        <v>#REF!</v>
      </c>
      <c r="M310" s="84" t="e">
        <f>Проект!#REF!</f>
        <v>#REF!</v>
      </c>
      <c r="N310" s="84" t="e">
        <f>Проект!#REF!</f>
        <v>#REF!</v>
      </c>
      <c r="O310" s="84" t="e">
        <f>Проект!#REF!</f>
        <v>#REF!</v>
      </c>
      <c r="P310" s="84" t="e">
        <f>Проект!#REF!</f>
        <v>#REF!</v>
      </c>
      <c r="Q310" s="84" t="e">
        <f>Проект!#REF!</f>
        <v>#REF!</v>
      </c>
      <c r="R310" s="48"/>
      <c r="S310" s="94" t="e">
        <f>Проект!#REF!</f>
        <v>#REF!</v>
      </c>
    </row>
    <row r="311" spans="1:19" hidden="1" x14ac:dyDescent="0.2">
      <c r="A311" s="48" t="e">
        <f>Проект!#REF!</f>
        <v>#REF!</v>
      </c>
      <c r="B311" s="48"/>
      <c r="C311" s="73" t="e">
        <f>Проект!#REF!</f>
        <v>#REF!</v>
      </c>
      <c r="D311" s="48" t="e">
        <f>Проект!#REF!</f>
        <v>#REF!</v>
      </c>
      <c r="E311" s="48"/>
      <c r="F311" s="84" t="e">
        <f>Проект!#REF!</f>
        <v>#REF!</v>
      </c>
      <c r="G311" s="84" t="e">
        <f>Проект!#REF!</f>
        <v>#REF!</v>
      </c>
      <c r="H311" s="84" t="e">
        <f>Проект!#REF!</f>
        <v>#REF!</v>
      </c>
      <c r="I311" s="84" t="e">
        <f>Проект!#REF!</f>
        <v>#REF!</v>
      </c>
      <c r="J311" s="84" t="e">
        <f>Проект!#REF!</f>
        <v>#REF!</v>
      </c>
      <c r="K311" s="84" t="e">
        <f>Проект!#REF!</f>
        <v>#REF!</v>
      </c>
      <c r="L311" s="84" t="e">
        <f>Проект!#REF!</f>
        <v>#REF!</v>
      </c>
      <c r="M311" s="84" t="e">
        <f>Проект!#REF!</f>
        <v>#REF!</v>
      </c>
      <c r="N311" s="84" t="e">
        <f>Проект!#REF!</f>
        <v>#REF!</v>
      </c>
      <c r="O311" s="84" t="e">
        <f>Проект!#REF!</f>
        <v>#REF!</v>
      </c>
      <c r="P311" s="84" t="e">
        <f>Проект!#REF!</f>
        <v>#REF!</v>
      </c>
      <c r="Q311" s="84" t="e">
        <f>Проект!#REF!</f>
        <v>#REF!</v>
      </c>
      <c r="R311" s="48"/>
      <c r="S311" s="94" t="e">
        <f>Проект!#REF!</f>
        <v>#REF!</v>
      </c>
    </row>
    <row r="312" spans="1:19" hidden="1" x14ac:dyDescent="0.2">
      <c r="A312" s="48" t="e">
        <f>Проект!#REF!</f>
        <v>#REF!</v>
      </c>
      <c r="B312" s="48"/>
      <c r="C312" s="73" t="e">
        <f>Проект!#REF!</f>
        <v>#REF!</v>
      </c>
      <c r="D312" s="48" t="e">
        <f>Проект!#REF!</f>
        <v>#REF!</v>
      </c>
      <c r="E312" s="48"/>
      <c r="F312" s="84" t="e">
        <f>Проект!#REF!</f>
        <v>#REF!</v>
      </c>
      <c r="G312" s="84" t="e">
        <f>Проект!#REF!</f>
        <v>#REF!</v>
      </c>
      <c r="H312" s="84" t="e">
        <f>Проект!#REF!</f>
        <v>#REF!</v>
      </c>
      <c r="I312" s="84" t="e">
        <f>Проект!#REF!</f>
        <v>#REF!</v>
      </c>
      <c r="J312" s="84" t="e">
        <f>Проект!#REF!</f>
        <v>#REF!</v>
      </c>
      <c r="K312" s="84" t="e">
        <f>Проект!#REF!</f>
        <v>#REF!</v>
      </c>
      <c r="L312" s="84" t="e">
        <f>Проект!#REF!</f>
        <v>#REF!</v>
      </c>
      <c r="M312" s="84" t="e">
        <f>Проект!#REF!</f>
        <v>#REF!</v>
      </c>
      <c r="N312" s="84" t="e">
        <f>Проект!#REF!</f>
        <v>#REF!</v>
      </c>
      <c r="O312" s="84" t="e">
        <f>Проект!#REF!</f>
        <v>#REF!</v>
      </c>
      <c r="P312" s="84" t="e">
        <f>Проект!#REF!</f>
        <v>#REF!</v>
      </c>
      <c r="Q312" s="84" t="e">
        <f>Проект!#REF!</f>
        <v>#REF!</v>
      </c>
      <c r="R312" s="48"/>
      <c r="S312" s="94" t="e">
        <f>Проект!#REF!</f>
        <v>#REF!</v>
      </c>
    </row>
    <row r="313" spans="1:19" hidden="1" x14ac:dyDescent="0.2">
      <c r="A313" s="48" t="e">
        <f>Проект!#REF!</f>
        <v>#REF!</v>
      </c>
      <c r="B313" s="48"/>
      <c r="C313" s="73" t="e">
        <f>Проект!#REF!</f>
        <v>#REF!</v>
      </c>
      <c r="D313" s="48" t="e">
        <f>Проект!#REF!</f>
        <v>#REF!</v>
      </c>
      <c r="E313" s="48"/>
      <c r="F313" s="341" t="e">
        <f>Проект!#REF!</f>
        <v>#REF!</v>
      </c>
      <c r="G313" s="341" t="e">
        <f>Проект!#REF!</f>
        <v>#REF!</v>
      </c>
      <c r="H313" s="341" t="e">
        <f>Проект!#REF!</f>
        <v>#REF!</v>
      </c>
      <c r="I313" s="341" t="e">
        <f>Проект!#REF!</f>
        <v>#REF!</v>
      </c>
      <c r="J313" s="341" t="e">
        <f>Проект!#REF!</f>
        <v>#REF!</v>
      </c>
      <c r="K313" s="341" t="e">
        <f>Проект!#REF!</f>
        <v>#REF!</v>
      </c>
      <c r="L313" s="341" t="e">
        <f>Проект!#REF!</f>
        <v>#REF!</v>
      </c>
      <c r="M313" s="341" t="e">
        <f>Проект!#REF!</f>
        <v>#REF!</v>
      </c>
      <c r="N313" s="341" t="e">
        <f>Проект!#REF!</f>
        <v>#REF!</v>
      </c>
      <c r="O313" s="341" t="e">
        <f>Проект!#REF!</f>
        <v>#REF!</v>
      </c>
      <c r="P313" s="341" t="e">
        <f>Проект!#REF!</f>
        <v>#REF!</v>
      </c>
      <c r="Q313" s="341" t="e">
        <f>Проект!#REF!</f>
        <v>#REF!</v>
      </c>
      <c r="R313" s="48"/>
      <c r="S313" s="94" t="e">
        <f>Проект!#REF!</f>
        <v>#REF!</v>
      </c>
    </row>
    <row r="314" spans="1:19" hidden="1" x14ac:dyDescent="0.2">
      <c r="A314" s="48" t="e">
        <f>Проект!#REF!</f>
        <v>#REF!</v>
      </c>
      <c r="B314" s="48"/>
      <c r="C314" s="73" t="e">
        <f>Проект!#REF!</f>
        <v>#REF!</v>
      </c>
      <c r="D314" s="48" t="e">
        <f>Проект!#REF!</f>
        <v>#REF!</v>
      </c>
      <c r="E314" s="48"/>
      <c r="F314" s="84" t="e">
        <f>Проект!#REF!</f>
        <v>#REF!</v>
      </c>
      <c r="G314" s="84" t="e">
        <f>Проект!#REF!</f>
        <v>#REF!</v>
      </c>
      <c r="H314" s="84" t="e">
        <f>Проект!#REF!</f>
        <v>#REF!</v>
      </c>
      <c r="I314" s="84" t="e">
        <f>Проект!#REF!</f>
        <v>#REF!</v>
      </c>
      <c r="J314" s="84" t="e">
        <f>Проект!#REF!</f>
        <v>#REF!</v>
      </c>
      <c r="K314" s="84" t="e">
        <f>Проект!#REF!</f>
        <v>#REF!</v>
      </c>
      <c r="L314" s="84" t="e">
        <f>Проект!#REF!</f>
        <v>#REF!</v>
      </c>
      <c r="M314" s="84" t="e">
        <f>Проект!#REF!</f>
        <v>#REF!</v>
      </c>
      <c r="N314" s="84" t="e">
        <f>Проект!#REF!</f>
        <v>#REF!</v>
      </c>
      <c r="O314" s="84" t="e">
        <f>Проект!#REF!</f>
        <v>#REF!</v>
      </c>
      <c r="P314" s="84" t="e">
        <f>Проект!#REF!</f>
        <v>#REF!</v>
      </c>
      <c r="Q314" s="84" t="e">
        <f>Проект!#REF!</f>
        <v>#REF!</v>
      </c>
      <c r="R314" s="48"/>
      <c r="S314" s="94" t="e">
        <f>Проект!#REF!</f>
        <v>#REF!</v>
      </c>
    </row>
    <row r="315" spans="1:19" hidden="1" x14ac:dyDescent="0.2">
      <c r="A315" s="48" t="e">
        <f>Проект!#REF!</f>
        <v>#REF!</v>
      </c>
      <c r="B315" s="48"/>
      <c r="C315" s="73" t="e">
        <f>Проект!#REF!</f>
        <v>#REF!</v>
      </c>
      <c r="D315" s="48" t="e">
        <f>Проект!#REF!</f>
        <v>#REF!</v>
      </c>
      <c r="E315" s="48"/>
      <c r="F315" s="84" t="e">
        <f>Проект!#REF!</f>
        <v>#REF!</v>
      </c>
      <c r="G315" s="84" t="e">
        <f>Проект!#REF!</f>
        <v>#REF!</v>
      </c>
      <c r="H315" s="84" t="e">
        <f>Проект!#REF!</f>
        <v>#REF!</v>
      </c>
      <c r="I315" s="84" t="e">
        <f>Проект!#REF!</f>
        <v>#REF!</v>
      </c>
      <c r="J315" s="84" t="e">
        <f>Проект!#REF!</f>
        <v>#REF!</v>
      </c>
      <c r="K315" s="84" t="e">
        <f>Проект!#REF!</f>
        <v>#REF!</v>
      </c>
      <c r="L315" s="84" t="e">
        <f>Проект!#REF!</f>
        <v>#REF!</v>
      </c>
      <c r="M315" s="84" t="e">
        <f>Проект!#REF!</f>
        <v>#REF!</v>
      </c>
      <c r="N315" s="84" t="e">
        <f>Проект!#REF!</f>
        <v>#REF!</v>
      </c>
      <c r="O315" s="84" t="e">
        <f>Проект!#REF!</f>
        <v>#REF!</v>
      </c>
      <c r="P315" s="84" t="e">
        <f>Проект!#REF!</f>
        <v>#REF!</v>
      </c>
      <c r="Q315" s="84" t="e">
        <f>Проект!#REF!</f>
        <v>#REF!</v>
      </c>
      <c r="R315" s="48"/>
      <c r="S315" s="41"/>
    </row>
    <row r="316" spans="1:19" hidden="1" x14ac:dyDescent="0.2">
      <c r="A316" s="48" t="e">
        <f>Проект!#REF!</f>
        <v>#REF!</v>
      </c>
      <c r="B316" s="48"/>
      <c r="C316" s="73" t="e">
        <f>Проект!#REF!</f>
        <v>#REF!</v>
      </c>
      <c r="D316" s="48" t="e">
        <f>Проект!#REF!</f>
        <v>#REF!</v>
      </c>
      <c r="E316" s="48"/>
      <c r="F316" s="84" t="e">
        <f>Проект!#REF!</f>
        <v>#REF!</v>
      </c>
      <c r="G316" s="84" t="e">
        <f>Проект!#REF!</f>
        <v>#REF!</v>
      </c>
      <c r="H316" s="84" t="e">
        <f>Проект!#REF!</f>
        <v>#REF!</v>
      </c>
      <c r="I316" s="84" t="e">
        <f>Проект!#REF!</f>
        <v>#REF!</v>
      </c>
      <c r="J316" s="84" t="e">
        <f>Проект!#REF!</f>
        <v>#REF!</v>
      </c>
      <c r="K316" s="84" t="e">
        <f>Проект!#REF!</f>
        <v>#REF!</v>
      </c>
      <c r="L316" s="84" t="e">
        <f>Проект!#REF!</f>
        <v>#REF!</v>
      </c>
      <c r="M316" s="84" t="e">
        <f>Проект!#REF!</f>
        <v>#REF!</v>
      </c>
      <c r="N316" s="84" t="e">
        <f>Проект!#REF!</f>
        <v>#REF!</v>
      </c>
      <c r="O316" s="84" t="e">
        <f>Проект!#REF!</f>
        <v>#REF!</v>
      </c>
      <c r="P316" s="84" t="e">
        <f>Проект!#REF!</f>
        <v>#REF!</v>
      </c>
      <c r="Q316" s="84" t="e">
        <f>Проект!#REF!</f>
        <v>#REF!</v>
      </c>
      <c r="R316" s="48"/>
      <c r="S316" s="41"/>
    </row>
    <row r="317" spans="1:19" ht="11.25" customHeight="1" x14ac:dyDescent="0.2">
      <c r="A317" s="48" t="e">
        <f>Проект!#REF!</f>
        <v>#REF!</v>
      </c>
      <c r="B317" s="48"/>
      <c r="C317" s="73" t="e">
        <f>Проект!#REF!</f>
        <v>#REF!</v>
      </c>
      <c r="D317" s="74" t="e">
        <f>Проект!#REF!</f>
        <v>#REF!</v>
      </c>
      <c r="E317" s="48"/>
      <c r="F317" s="83" t="e">
        <f>Проект!#REF!</f>
        <v>#REF!</v>
      </c>
      <c r="G317" s="83" t="e">
        <f>Проект!#REF!</f>
        <v>#REF!</v>
      </c>
      <c r="H317" s="83" t="e">
        <f>Проект!#REF!</f>
        <v>#REF!</v>
      </c>
      <c r="I317" s="83" t="e">
        <f>Проект!#REF!</f>
        <v>#REF!</v>
      </c>
      <c r="J317" s="83" t="e">
        <f>Проект!#REF!</f>
        <v>#REF!</v>
      </c>
      <c r="K317" s="83" t="e">
        <f>Проект!#REF!</f>
        <v>#REF!</v>
      </c>
      <c r="L317" s="83" t="e">
        <f>Проект!#REF!</f>
        <v>#REF!</v>
      </c>
      <c r="M317" s="83" t="e">
        <f>Проект!#REF!</f>
        <v>#REF!</v>
      </c>
      <c r="N317" s="83" t="e">
        <f>Проект!#REF!</f>
        <v>#REF!</v>
      </c>
      <c r="O317" s="83" t="e">
        <f>Проект!#REF!</f>
        <v>#REF!</v>
      </c>
      <c r="P317" s="83" t="e">
        <f>Проект!#REF!</f>
        <v>#REF!</v>
      </c>
      <c r="Q317" s="83" t="e">
        <f>Проект!#REF!</f>
        <v>#REF!</v>
      </c>
      <c r="R317" s="48"/>
      <c r="S317" s="95" t="e">
        <f>Проект!#REF!</f>
        <v>#REF!</v>
      </c>
    </row>
    <row r="318" spans="1:19" hidden="1" x14ac:dyDescent="0.2">
      <c r="A318" s="48" t="e">
        <f>Проект!#REF!</f>
        <v>#REF!</v>
      </c>
      <c r="B318" s="48"/>
      <c r="C318" s="73" t="e">
        <f>Проект!#REF!</f>
        <v>#REF!</v>
      </c>
      <c r="D318" s="48" t="e">
        <f>Проект!#REF!</f>
        <v>#REF!</v>
      </c>
      <c r="E318" s="48"/>
      <c r="F318" s="84" t="e">
        <f>Проект!#REF!</f>
        <v>#REF!</v>
      </c>
      <c r="G318" s="84" t="e">
        <f>Проект!#REF!</f>
        <v>#REF!</v>
      </c>
      <c r="H318" s="84" t="e">
        <f>Проект!#REF!</f>
        <v>#REF!</v>
      </c>
      <c r="I318" s="84" t="e">
        <f>Проект!#REF!</f>
        <v>#REF!</v>
      </c>
      <c r="J318" s="84" t="e">
        <f>Проект!#REF!</f>
        <v>#REF!</v>
      </c>
      <c r="K318" s="84" t="e">
        <f>Проект!#REF!</f>
        <v>#REF!</v>
      </c>
      <c r="L318" s="84" t="e">
        <f>Проект!#REF!</f>
        <v>#REF!</v>
      </c>
      <c r="M318" s="84" t="e">
        <f>Проект!#REF!</f>
        <v>#REF!</v>
      </c>
      <c r="N318" s="84" t="e">
        <f>Проект!#REF!</f>
        <v>#REF!</v>
      </c>
      <c r="O318" s="84" t="e">
        <f>Проект!#REF!</f>
        <v>#REF!</v>
      </c>
      <c r="P318" s="84" t="e">
        <f>Проект!#REF!</f>
        <v>#REF!</v>
      </c>
      <c r="Q318" s="84" t="e">
        <f>Проект!#REF!</f>
        <v>#REF!</v>
      </c>
      <c r="R318" s="48"/>
      <c r="S318" s="94" t="e">
        <f>Проект!#REF!</f>
        <v>#REF!</v>
      </c>
    </row>
    <row r="319" spans="1:19" hidden="1" x14ac:dyDescent="0.2">
      <c r="A319" s="48" t="e">
        <f>Проект!#REF!</f>
        <v>#REF!</v>
      </c>
      <c r="B319" s="48"/>
      <c r="C319" s="73" t="e">
        <f>Проект!#REF!</f>
        <v>#REF!</v>
      </c>
      <c r="D319" s="48" t="e">
        <f>Проект!#REF!</f>
        <v>#REF!</v>
      </c>
      <c r="E319" s="48"/>
      <c r="F319" s="84" t="e">
        <f>Проект!#REF!</f>
        <v>#REF!</v>
      </c>
      <c r="G319" s="84" t="e">
        <f>Проект!#REF!</f>
        <v>#REF!</v>
      </c>
      <c r="H319" s="84" t="e">
        <f>Проект!#REF!</f>
        <v>#REF!</v>
      </c>
      <c r="I319" s="84" t="e">
        <f>Проект!#REF!</f>
        <v>#REF!</v>
      </c>
      <c r="J319" s="84" t="e">
        <f>Проект!#REF!</f>
        <v>#REF!</v>
      </c>
      <c r="K319" s="84" t="e">
        <f>Проект!#REF!</f>
        <v>#REF!</v>
      </c>
      <c r="L319" s="84" t="e">
        <f>Проект!#REF!</f>
        <v>#REF!</v>
      </c>
      <c r="M319" s="84" t="e">
        <f>Проект!#REF!</f>
        <v>#REF!</v>
      </c>
      <c r="N319" s="84" t="e">
        <f>Проект!#REF!</f>
        <v>#REF!</v>
      </c>
      <c r="O319" s="84" t="e">
        <f>Проект!#REF!</f>
        <v>#REF!</v>
      </c>
      <c r="P319" s="84" t="e">
        <f>Проект!#REF!</f>
        <v>#REF!</v>
      </c>
      <c r="Q319" s="84" t="e">
        <f>Проект!#REF!</f>
        <v>#REF!</v>
      </c>
      <c r="R319" s="48"/>
      <c r="S319" s="94" t="e">
        <f>Проект!#REF!</f>
        <v>#REF!</v>
      </c>
    </row>
    <row r="320" spans="1:19" hidden="1" x14ac:dyDescent="0.2">
      <c r="A320" s="48" t="e">
        <f>Проект!#REF!</f>
        <v>#REF!</v>
      </c>
      <c r="B320" s="48"/>
      <c r="C320" s="73" t="e">
        <f>Проект!#REF!</f>
        <v>#REF!</v>
      </c>
      <c r="D320" s="48" t="e">
        <f>Проект!#REF!</f>
        <v>#REF!</v>
      </c>
      <c r="E320" s="48"/>
      <c r="F320" s="84" t="e">
        <f>Проект!#REF!</f>
        <v>#REF!</v>
      </c>
      <c r="G320" s="84" t="e">
        <f>Проект!#REF!</f>
        <v>#REF!</v>
      </c>
      <c r="H320" s="84" t="e">
        <f>Проект!#REF!</f>
        <v>#REF!</v>
      </c>
      <c r="I320" s="84" t="e">
        <f>Проект!#REF!</f>
        <v>#REF!</v>
      </c>
      <c r="J320" s="84" t="e">
        <f>Проект!#REF!</f>
        <v>#REF!</v>
      </c>
      <c r="K320" s="84" t="e">
        <f>Проект!#REF!</f>
        <v>#REF!</v>
      </c>
      <c r="L320" s="84" t="e">
        <f>Проект!#REF!</f>
        <v>#REF!</v>
      </c>
      <c r="M320" s="84" t="e">
        <f>Проект!#REF!</f>
        <v>#REF!</v>
      </c>
      <c r="N320" s="84" t="e">
        <f>Проект!#REF!</f>
        <v>#REF!</v>
      </c>
      <c r="O320" s="84" t="e">
        <f>Проект!#REF!</f>
        <v>#REF!</v>
      </c>
      <c r="P320" s="84" t="e">
        <f>Проект!#REF!</f>
        <v>#REF!</v>
      </c>
      <c r="Q320" s="84" t="e">
        <f>Проект!#REF!</f>
        <v>#REF!</v>
      </c>
      <c r="R320" s="48"/>
      <c r="S320" s="94" t="e">
        <f>Проект!#REF!</f>
        <v>#REF!</v>
      </c>
    </row>
    <row r="321" spans="1:19" hidden="1" x14ac:dyDescent="0.2">
      <c r="A321" s="48" t="e">
        <f>Проект!#REF!</f>
        <v>#REF!</v>
      </c>
      <c r="B321" s="48"/>
      <c r="C321" s="73" t="e">
        <f>Проект!#REF!</f>
        <v>#REF!</v>
      </c>
      <c r="D321" s="48" t="e">
        <f>Проект!#REF!</f>
        <v>#REF!</v>
      </c>
      <c r="E321" s="48"/>
      <c r="F321" s="341" t="e">
        <f>Проект!#REF!</f>
        <v>#REF!</v>
      </c>
      <c r="G321" s="341" t="e">
        <f>Проект!#REF!</f>
        <v>#REF!</v>
      </c>
      <c r="H321" s="341" t="e">
        <f>Проект!#REF!</f>
        <v>#REF!</v>
      </c>
      <c r="I321" s="341" t="e">
        <f>Проект!#REF!</f>
        <v>#REF!</v>
      </c>
      <c r="J321" s="341" t="e">
        <f>Проект!#REF!</f>
        <v>#REF!</v>
      </c>
      <c r="K321" s="341" t="e">
        <f>Проект!#REF!</f>
        <v>#REF!</v>
      </c>
      <c r="L321" s="341" t="e">
        <f>Проект!#REF!</f>
        <v>#REF!</v>
      </c>
      <c r="M321" s="341" t="e">
        <f>Проект!#REF!</f>
        <v>#REF!</v>
      </c>
      <c r="N321" s="341" t="e">
        <f>Проект!#REF!</f>
        <v>#REF!</v>
      </c>
      <c r="O321" s="341" t="e">
        <f>Проект!#REF!</f>
        <v>#REF!</v>
      </c>
      <c r="P321" s="341" t="e">
        <f>Проект!#REF!</f>
        <v>#REF!</v>
      </c>
      <c r="Q321" s="341" t="e">
        <f>Проект!#REF!</f>
        <v>#REF!</v>
      </c>
      <c r="R321" s="48"/>
      <c r="S321" s="94" t="e">
        <f>Проект!#REF!</f>
        <v>#REF!</v>
      </c>
    </row>
    <row r="322" spans="1:19" hidden="1" x14ac:dyDescent="0.2">
      <c r="A322" s="48" t="e">
        <f>Проект!#REF!</f>
        <v>#REF!</v>
      </c>
      <c r="B322" s="48"/>
      <c r="C322" s="73" t="e">
        <f>Проект!#REF!</f>
        <v>#REF!</v>
      </c>
      <c r="D322" s="48" t="e">
        <f>Проект!#REF!</f>
        <v>#REF!</v>
      </c>
      <c r="E322" s="48"/>
      <c r="F322" s="84" t="e">
        <f>Проект!#REF!</f>
        <v>#REF!</v>
      </c>
      <c r="G322" s="84" t="e">
        <f>Проект!#REF!</f>
        <v>#REF!</v>
      </c>
      <c r="H322" s="84" t="e">
        <f>Проект!#REF!</f>
        <v>#REF!</v>
      </c>
      <c r="I322" s="84" t="e">
        <f>Проект!#REF!</f>
        <v>#REF!</v>
      </c>
      <c r="J322" s="84" t="e">
        <f>Проект!#REF!</f>
        <v>#REF!</v>
      </c>
      <c r="K322" s="84" t="e">
        <f>Проект!#REF!</f>
        <v>#REF!</v>
      </c>
      <c r="L322" s="84" t="e">
        <f>Проект!#REF!</f>
        <v>#REF!</v>
      </c>
      <c r="M322" s="84" t="e">
        <f>Проект!#REF!</f>
        <v>#REF!</v>
      </c>
      <c r="N322" s="84" t="e">
        <f>Проект!#REF!</f>
        <v>#REF!</v>
      </c>
      <c r="O322" s="84" t="e">
        <f>Проект!#REF!</f>
        <v>#REF!</v>
      </c>
      <c r="P322" s="84" t="e">
        <f>Проект!#REF!</f>
        <v>#REF!</v>
      </c>
      <c r="Q322" s="84" t="e">
        <f>Проект!#REF!</f>
        <v>#REF!</v>
      </c>
      <c r="R322" s="48"/>
      <c r="S322" s="94" t="e">
        <f>Проект!#REF!</f>
        <v>#REF!</v>
      </c>
    </row>
    <row r="323" spans="1:19" hidden="1" x14ac:dyDescent="0.2">
      <c r="A323" s="48" t="e">
        <f>Проект!#REF!</f>
        <v>#REF!</v>
      </c>
      <c r="B323" s="48"/>
      <c r="C323" s="73" t="e">
        <f>Проект!#REF!</f>
        <v>#REF!</v>
      </c>
      <c r="D323" s="48" t="e">
        <f>Проект!#REF!</f>
        <v>#REF!</v>
      </c>
      <c r="E323" s="48"/>
      <c r="F323" s="84" t="e">
        <f>Проект!#REF!</f>
        <v>#REF!</v>
      </c>
      <c r="G323" s="84" t="e">
        <f>Проект!#REF!</f>
        <v>#REF!</v>
      </c>
      <c r="H323" s="84" t="e">
        <f>Проект!#REF!</f>
        <v>#REF!</v>
      </c>
      <c r="I323" s="84" t="e">
        <f>Проект!#REF!</f>
        <v>#REF!</v>
      </c>
      <c r="J323" s="84" t="e">
        <f>Проект!#REF!</f>
        <v>#REF!</v>
      </c>
      <c r="K323" s="84" t="e">
        <f>Проект!#REF!</f>
        <v>#REF!</v>
      </c>
      <c r="L323" s="84" t="e">
        <f>Проект!#REF!</f>
        <v>#REF!</v>
      </c>
      <c r="M323" s="84" t="e">
        <f>Проект!#REF!</f>
        <v>#REF!</v>
      </c>
      <c r="N323" s="84" t="e">
        <f>Проект!#REF!</f>
        <v>#REF!</v>
      </c>
      <c r="O323" s="84" t="e">
        <f>Проект!#REF!</f>
        <v>#REF!</v>
      </c>
      <c r="P323" s="84" t="e">
        <f>Проект!#REF!</f>
        <v>#REF!</v>
      </c>
      <c r="Q323" s="84" t="e">
        <f>Проект!#REF!</f>
        <v>#REF!</v>
      </c>
      <c r="R323" s="48"/>
      <c r="S323" s="41"/>
    </row>
    <row r="324" spans="1:19" hidden="1" x14ac:dyDescent="0.2">
      <c r="A324" s="48" t="e">
        <f>Проект!#REF!</f>
        <v>#REF!</v>
      </c>
      <c r="B324" s="48"/>
      <c r="C324" s="73" t="e">
        <f>Проект!#REF!</f>
        <v>#REF!</v>
      </c>
      <c r="D324" s="48" t="e">
        <f>Проект!#REF!</f>
        <v>#REF!</v>
      </c>
      <c r="E324" s="48"/>
      <c r="F324" s="84" t="e">
        <f>Проект!#REF!</f>
        <v>#REF!</v>
      </c>
      <c r="G324" s="84" t="e">
        <f>Проект!#REF!</f>
        <v>#REF!</v>
      </c>
      <c r="H324" s="84" t="e">
        <f>Проект!#REF!</f>
        <v>#REF!</v>
      </c>
      <c r="I324" s="84" t="e">
        <f>Проект!#REF!</f>
        <v>#REF!</v>
      </c>
      <c r="J324" s="84" t="e">
        <f>Проект!#REF!</f>
        <v>#REF!</v>
      </c>
      <c r="K324" s="84" t="e">
        <f>Проект!#REF!</f>
        <v>#REF!</v>
      </c>
      <c r="L324" s="84" t="e">
        <f>Проект!#REF!</f>
        <v>#REF!</v>
      </c>
      <c r="M324" s="84" t="e">
        <f>Проект!#REF!</f>
        <v>#REF!</v>
      </c>
      <c r="N324" s="84" t="e">
        <f>Проект!#REF!</f>
        <v>#REF!</v>
      </c>
      <c r="O324" s="84" t="e">
        <f>Проект!#REF!</f>
        <v>#REF!</v>
      </c>
      <c r="P324" s="84" t="e">
        <f>Проект!#REF!</f>
        <v>#REF!</v>
      </c>
      <c r="Q324" s="84" t="e">
        <f>Проект!#REF!</f>
        <v>#REF!</v>
      </c>
      <c r="R324" s="48"/>
      <c r="S324" s="41"/>
    </row>
    <row r="325" spans="1:19" ht="11.25" customHeight="1" x14ac:dyDescent="0.2">
      <c r="A325" s="48" t="e">
        <f>Проект!#REF!</f>
        <v>#REF!</v>
      </c>
      <c r="B325" s="48"/>
      <c r="C325" s="73" t="e">
        <f>Проект!#REF!</f>
        <v>#REF!</v>
      </c>
      <c r="D325" s="74" t="e">
        <f>Проект!#REF!</f>
        <v>#REF!</v>
      </c>
      <c r="E325" s="48"/>
      <c r="F325" s="83" t="e">
        <f>Проект!#REF!</f>
        <v>#REF!</v>
      </c>
      <c r="G325" s="83" t="e">
        <f>Проект!#REF!</f>
        <v>#REF!</v>
      </c>
      <c r="H325" s="83" t="e">
        <f>Проект!#REF!</f>
        <v>#REF!</v>
      </c>
      <c r="I325" s="83" t="e">
        <f>Проект!#REF!</f>
        <v>#REF!</v>
      </c>
      <c r="J325" s="83" t="e">
        <f>Проект!#REF!</f>
        <v>#REF!</v>
      </c>
      <c r="K325" s="83" t="e">
        <f>Проект!#REF!</f>
        <v>#REF!</v>
      </c>
      <c r="L325" s="83" t="e">
        <f>Проект!#REF!</f>
        <v>#REF!</v>
      </c>
      <c r="M325" s="83" t="e">
        <f>Проект!#REF!</f>
        <v>#REF!</v>
      </c>
      <c r="N325" s="83" t="e">
        <f>Проект!#REF!</f>
        <v>#REF!</v>
      </c>
      <c r="O325" s="83" t="e">
        <f>Проект!#REF!</f>
        <v>#REF!</v>
      </c>
      <c r="P325" s="83" t="e">
        <f>Проект!#REF!</f>
        <v>#REF!</v>
      </c>
      <c r="Q325" s="83" t="e">
        <f>Проект!#REF!</f>
        <v>#REF!</v>
      </c>
      <c r="R325" s="48"/>
      <c r="S325" s="95" t="e">
        <f>Проект!#REF!</f>
        <v>#REF!</v>
      </c>
    </row>
    <row r="326" spans="1:19" hidden="1" x14ac:dyDescent="0.2">
      <c r="A326" s="48" t="e">
        <f>Проект!#REF!</f>
        <v>#REF!</v>
      </c>
      <c r="B326" s="48"/>
      <c r="C326" s="73" t="e">
        <f>Проект!#REF!</f>
        <v>#REF!</v>
      </c>
      <c r="D326" s="48" t="e">
        <f>Проект!#REF!</f>
        <v>#REF!</v>
      </c>
      <c r="E326" s="48"/>
      <c r="F326" s="84" t="e">
        <f>Проект!#REF!</f>
        <v>#REF!</v>
      </c>
      <c r="G326" s="84" t="e">
        <f>Проект!#REF!</f>
        <v>#REF!</v>
      </c>
      <c r="H326" s="84" t="e">
        <f>Проект!#REF!</f>
        <v>#REF!</v>
      </c>
      <c r="I326" s="84" t="e">
        <f>Проект!#REF!</f>
        <v>#REF!</v>
      </c>
      <c r="J326" s="84" t="e">
        <f>Проект!#REF!</f>
        <v>#REF!</v>
      </c>
      <c r="K326" s="84" t="e">
        <f>Проект!#REF!</f>
        <v>#REF!</v>
      </c>
      <c r="L326" s="84" t="e">
        <f>Проект!#REF!</f>
        <v>#REF!</v>
      </c>
      <c r="M326" s="84" t="e">
        <f>Проект!#REF!</f>
        <v>#REF!</v>
      </c>
      <c r="N326" s="84" t="e">
        <f>Проект!#REF!</f>
        <v>#REF!</v>
      </c>
      <c r="O326" s="84" t="e">
        <f>Проект!#REF!</f>
        <v>#REF!</v>
      </c>
      <c r="P326" s="84" t="e">
        <f>Проект!#REF!</f>
        <v>#REF!</v>
      </c>
      <c r="Q326" s="84" t="e">
        <f>Проект!#REF!</f>
        <v>#REF!</v>
      </c>
      <c r="R326" s="48"/>
      <c r="S326" s="94" t="e">
        <f>Проект!#REF!</f>
        <v>#REF!</v>
      </c>
    </row>
    <row r="327" spans="1:19" hidden="1" x14ac:dyDescent="0.2">
      <c r="A327" s="48" t="e">
        <f>Проект!#REF!</f>
        <v>#REF!</v>
      </c>
      <c r="B327" s="48"/>
      <c r="C327" s="73" t="e">
        <f>Проект!#REF!</f>
        <v>#REF!</v>
      </c>
      <c r="D327" s="48" t="e">
        <f>Проект!#REF!</f>
        <v>#REF!</v>
      </c>
      <c r="E327" s="48"/>
      <c r="F327" s="84" t="e">
        <f>Проект!#REF!</f>
        <v>#REF!</v>
      </c>
      <c r="G327" s="84" t="e">
        <f>Проект!#REF!</f>
        <v>#REF!</v>
      </c>
      <c r="H327" s="84" t="e">
        <f>Проект!#REF!</f>
        <v>#REF!</v>
      </c>
      <c r="I327" s="84" t="e">
        <f>Проект!#REF!</f>
        <v>#REF!</v>
      </c>
      <c r="J327" s="84" t="e">
        <f>Проект!#REF!</f>
        <v>#REF!</v>
      </c>
      <c r="K327" s="84" t="e">
        <f>Проект!#REF!</f>
        <v>#REF!</v>
      </c>
      <c r="L327" s="84" t="e">
        <f>Проект!#REF!</f>
        <v>#REF!</v>
      </c>
      <c r="M327" s="84" t="e">
        <f>Проект!#REF!</f>
        <v>#REF!</v>
      </c>
      <c r="N327" s="84" t="e">
        <f>Проект!#REF!</f>
        <v>#REF!</v>
      </c>
      <c r="O327" s="84" t="e">
        <f>Проект!#REF!</f>
        <v>#REF!</v>
      </c>
      <c r="P327" s="84" t="e">
        <f>Проект!#REF!</f>
        <v>#REF!</v>
      </c>
      <c r="Q327" s="84" t="e">
        <f>Проект!#REF!</f>
        <v>#REF!</v>
      </c>
      <c r="R327" s="48"/>
      <c r="S327" s="94" t="e">
        <f>Проект!#REF!</f>
        <v>#REF!</v>
      </c>
    </row>
    <row r="328" spans="1:19" hidden="1" x14ac:dyDescent="0.2">
      <c r="A328" s="48" t="e">
        <f>Проект!#REF!</f>
        <v>#REF!</v>
      </c>
      <c r="B328" s="48"/>
      <c r="C328" s="73" t="e">
        <f>Проект!#REF!</f>
        <v>#REF!</v>
      </c>
      <c r="D328" s="48" t="e">
        <f>Проект!#REF!</f>
        <v>#REF!</v>
      </c>
      <c r="E328" s="48"/>
      <c r="F328" s="84" t="e">
        <f>Проект!#REF!</f>
        <v>#REF!</v>
      </c>
      <c r="G328" s="84" t="e">
        <f>Проект!#REF!</f>
        <v>#REF!</v>
      </c>
      <c r="H328" s="84" t="e">
        <f>Проект!#REF!</f>
        <v>#REF!</v>
      </c>
      <c r="I328" s="84" t="e">
        <f>Проект!#REF!</f>
        <v>#REF!</v>
      </c>
      <c r="J328" s="84" t="e">
        <f>Проект!#REF!</f>
        <v>#REF!</v>
      </c>
      <c r="K328" s="84" t="e">
        <f>Проект!#REF!</f>
        <v>#REF!</v>
      </c>
      <c r="L328" s="84" t="e">
        <f>Проект!#REF!</f>
        <v>#REF!</v>
      </c>
      <c r="M328" s="84" t="e">
        <f>Проект!#REF!</f>
        <v>#REF!</v>
      </c>
      <c r="N328" s="84" t="e">
        <f>Проект!#REF!</f>
        <v>#REF!</v>
      </c>
      <c r="O328" s="84" t="e">
        <f>Проект!#REF!</f>
        <v>#REF!</v>
      </c>
      <c r="P328" s="84" t="e">
        <f>Проект!#REF!</f>
        <v>#REF!</v>
      </c>
      <c r="Q328" s="84" t="e">
        <f>Проект!#REF!</f>
        <v>#REF!</v>
      </c>
      <c r="R328" s="48"/>
      <c r="S328" s="94" t="e">
        <f>Проект!#REF!</f>
        <v>#REF!</v>
      </c>
    </row>
    <row r="329" spans="1:19" hidden="1" x14ac:dyDescent="0.2">
      <c r="A329" s="48" t="e">
        <f>Проект!#REF!</f>
        <v>#REF!</v>
      </c>
      <c r="B329" s="48"/>
      <c r="C329" s="73" t="e">
        <f>Проект!#REF!</f>
        <v>#REF!</v>
      </c>
      <c r="D329" s="48" t="e">
        <f>Проект!#REF!</f>
        <v>#REF!</v>
      </c>
      <c r="E329" s="48"/>
      <c r="F329" s="341" t="e">
        <f>Проект!#REF!</f>
        <v>#REF!</v>
      </c>
      <c r="G329" s="341" t="e">
        <f>Проект!#REF!</f>
        <v>#REF!</v>
      </c>
      <c r="H329" s="341" t="e">
        <f>Проект!#REF!</f>
        <v>#REF!</v>
      </c>
      <c r="I329" s="341" t="e">
        <f>Проект!#REF!</f>
        <v>#REF!</v>
      </c>
      <c r="J329" s="341" t="e">
        <f>Проект!#REF!</f>
        <v>#REF!</v>
      </c>
      <c r="K329" s="341" t="e">
        <f>Проект!#REF!</f>
        <v>#REF!</v>
      </c>
      <c r="L329" s="341" t="e">
        <f>Проект!#REF!</f>
        <v>#REF!</v>
      </c>
      <c r="M329" s="341" t="e">
        <f>Проект!#REF!</f>
        <v>#REF!</v>
      </c>
      <c r="N329" s="341" t="e">
        <f>Проект!#REF!</f>
        <v>#REF!</v>
      </c>
      <c r="O329" s="341" t="e">
        <f>Проект!#REF!</f>
        <v>#REF!</v>
      </c>
      <c r="P329" s="341" t="e">
        <f>Проект!#REF!</f>
        <v>#REF!</v>
      </c>
      <c r="Q329" s="341" t="e">
        <f>Проект!#REF!</f>
        <v>#REF!</v>
      </c>
      <c r="R329" s="48"/>
      <c r="S329" s="94" t="e">
        <f>Проект!#REF!</f>
        <v>#REF!</v>
      </c>
    </row>
    <row r="330" spans="1:19" hidden="1" x14ac:dyDescent="0.2">
      <c r="A330" s="48" t="e">
        <f>Проект!#REF!</f>
        <v>#REF!</v>
      </c>
      <c r="B330" s="48"/>
      <c r="C330" s="73" t="e">
        <f>Проект!#REF!</f>
        <v>#REF!</v>
      </c>
      <c r="D330" s="48" t="e">
        <f>Проект!#REF!</f>
        <v>#REF!</v>
      </c>
      <c r="E330" s="48"/>
      <c r="F330" s="84" t="e">
        <f>Проект!#REF!</f>
        <v>#REF!</v>
      </c>
      <c r="G330" s="84" t="e">
        <f>Проект!#REF!</f>
        <v>#REF!</v>
      </c>
      <c r="H330" s="84" t="e">
        <f>Проект!#REF!</f>
        <v>#REF!</v>
      </c>
      <c r="I330" s="84" t="e">
        <f>Проект!#REF!</f>
        <v>#REF!</v>
      </c>
      <c r="J330" s="84" t="e">
        <f>Проект!#REF!</f>
        <v>#REF!</v>
      </c>
      <c r="K330" s="84" t="e">
        <f>Проект!#REF!</f>
        <v>#REF!</v>
      </c>
      <c r="L330" s="84" t="e">
        <f>Проект!#REF!</f>
        <v>#REF!</v>
      </c>
      <c r="M330" s="84" t="e">
        <f>Проект!#REF!</f>
        <v>#REF!</v>
      </c>
      <c r="N330" s="84" t="e">
        <f>Проект!#REF!</f>
        <v>#REF!</v>
      </c>
      <c r="O330" s="84" t="e">
        <f>Проект!#REF!</f>
        <v>#REF!</v>
      </c>
      <c r="P330" s="84" t="e">
        <f>Проект!#REF!</f>
        <v>#REF!</v>
      </c>
      <c r="Q330" s="84" t="e">
        <f>Проект!#REF!</f>
        <v>#REF!</v>
      </c>
      <c r="R330" s="48"/>
      <c r="S330" s="94" t="e">
        <f>Проект!#REF!</f>
        <v>#REF!</v>
      </c>
    </row>
    <row r="331" spans="1:19" hidden="1" x14ac:dyDescent="0.2">
      <c r="A331" s="48" t="e">
        <f>Проект!#REF!</f>
        <v>#REF!</v>
      </c>
      <c r="B331" s="48"/>
      <c r="C331" s="73" t="e">
        <f>Проект!#REF!</f>
        <v>#REF!</v>
      </c>
      <c r="D331" s="48" t="e">
        <f>Проект!#REF!</f>
        <v>#REF!</v>
      </c>
      <c r="E331" s="48"/>
      <c r="F331" s="84" t="e">
        <f>Проект!#REF!</f>
        <v>#REF!</v>
      </c>
      <c r="G331" s="84" t="e">
        <f>Проект!#REF!</f>
        <v>#REF!</v>
      </c>
      <c r="H331" s="84" t="e">
        <f>Проект!#REF!</f>
        <v>#REF!</v>
      </c>
      <c r="I331" s="84" t="e">
        <f>Проект!#REF!</f>
        <v>#REF!</v>
      </c>
      <c r="J331" s="84" t="e">
        <f>Проект!#REF!</f>
        <v>#REF!</v>
      </c>
      <c r="K331" s="84" t="e">
        <f>Проект!#REF!</f>
        <v>#REF!</v>
      </c>
      <c r="L331" s="84" t="e">
        <f>Проект!#REF!</f>
        <v>#REF!</v>
      </c>
      <c r="M331" s="84" t="e">
        <f>Проект!#REF!</f>
        <v>#REF!</v>
      </c>
      <c r="N331" s="84" t="e">
        <f>Проект!#REF!</f>
        <v>#REF!</v>
      </c>
      <c r="O331" s="84" t="e">
        <f>Проект!#REF!</f>
        <v>#REF!</v>
      </c>
      <c r="P331" s="84" t="e">
        <f>Проект!#REF!</f>
        <v>#REF!</v>
      </c>
      <c r="Q331" s="84" t="e">
        <f>Проект!#REF!</f>
        <v>#REF!</v>
      </c>
      <c r="R331" s="48"/>
      <c r="S331" s="41"/>
    </row>
    <row r="332" spans="1:19" hidden="1" x14ac:dyDescent="0.2">
      <c r="A332" s="48" t="e">
        <f>Проект!#REF!</f>
        <v>#REF!</v>
      </c>
      <c r="B332" s="48"/>
      <c r="C332" s="73" t="e">
        <f>Проект!#REF!</f>
        <v>#REF!</v>
      </c>
      <c r="D332" s="48" t="e">
        <f>Проект!#REF!</f>
        <v>#REF!</v>
      </c>
      <c r="E332" s="48"/>
      <c r="F332" s="84" t="e">
        <f>Проект!#REF!</f>
        <v>#REF!</v>
      </c>
      <c r="G332" s="84" t="e">
        <f>Проект!#REF!</f>
        <v>#REF!</v>
      </c>
      <c r="H332" s="84" t="e">
        <f>Проект!#REF!</f>
        <v>#REF!</v>
      </c>
      <c r="I332" s="84" t="e">
        <f>Проект!#REF!</f>
        <v>#REF!</v>
      </c>
      <c r="J332" s="84" t="e">
        <f>Проект!#REF!</f>
        <v>#REF!</v>
      </c>
      <c r="K332" s="84" t="e">
        <f>Проект!#REF!</f>
        <v>#REF!</v>
      </c>
      <c r="L332" s="84" t="e">
        <f>Проект!#REF!</f>
        <v>#REF!</v>
      </c>
      <c r="M332" s="84" t="e">
        <f>Проект!#REF!</f>
        <v>#REF!</v>
      </c>
      <c r="N332" s="84" t="e">
        <f>Проект!#REF!</f>
        <v>#REF!</v>
      </c>
      <c r="O332" s="84" t="e">
        <f>Проект!#REF!</f>
        <v>#REF!</v>
      </c>
      <c r="P332" s="84" t="e">
        <f>Проект!#REF!</f>
        <v>#REF!</v>
      </c>
      <c r="Q332" s="84" t="e">
        <f>Проект!#REF!</f>
        <v>#REF!</v>
      </c>
      <c r="R332" s="48"/>
      <c r="S332" s="41"/>
    </row>
    <row r="333" spans="1:19" ht="11.25" customHeight="1" x14ac:dyDescent="0.2">
      <c r="A333" s="48" t="e">
        <f>Проект!#REF!</f>
        <v>#REF!</v>
      </c>
      <c r="B333" s="48"/>
      <c r="C333" s="73" t="e">
        <f>Проект!#REF!</f>
        <v>#REF!</v>
      </c>
      <c r="D333" s="74" t="e">
        <f>Проект!#REF!</f>
        <v>#REF!</v>
      </c>
      <c r="E333" s="48"/>
      <c r="F333" s="83" t="e">
        <f>Проект!#REF!</f>
        <v>#REF!</v>
      </c>
      <c r="G333" s="83" t="e">
        <f>Проект!#REF!</f>
        <v>#REF!</v>
      </c>
      <c r="H333" s="83" t="e">
        <f>Проект!#REF!</f>
        <v>#REF!</v>
      </c>
      <c r="I333" s="83" t="e">
        <f>Проект!#REF!</f>
        <v>#REF!</v>
      </c>
      <c r="J333" s="83" t="e">
        <f>Проект!#REF!</f>
        <v>#REF!</v>
      </c>
      <c r="K333" s="83" t="e">
        <f>Проект!#REF!</f>
        <v>#REF!</v>
      </c>
      <c r="L333" s="83" t="e">
        <f>Проект!#REF!</f>
        <v>#REF!</v>
      </c>
      <c r="M333" s="83" t="e">
        <f>Проект!#REF!</f>
        <v>#REF!</v>
      </c>
      <c r="N333" s="83" t="e">
        <f>Проект!#REF!</f>
        <v>#REF!</v>
      </c>
      <c r="O333" s="83" t="e">
        <f>Проект!#REF!</f>
        <v>#REF!</v>
      </c>
      <c r="P333" s="83" t="e">
        <f>Проект!#REF!</f>
        <v>#REF!</v>
      </c>
      <c r="Q333" s="83" t="e">
        <f>Проект!#REF!</f>
        <v>#REF!</v>
      </c>
      <c r="R333" s="48"/>
      <c r="S333" s="95" t="e">
        <f>Проект!#REF!</f>
        <v>#REF!</v>
      </c>
    </row>
    <row r="334" spans="1:19" hidden="1" x14ac:dyDescent="0.2">
      <c r="A334" s="48" t="e">
        <f>Проект!#REF!</f>
        <v>#REF!</v>
      </c>
      <c r="B334" s="48"/>
      <c r="C334" s="73" t="e">
        <f>Проект!#REF!</f>
        <v>#REF!</v>
      </c>
      <c r="D334" s="48" t="e">
        <f>Проект!#REF!</f>
        <v>#REF!</v>
      </c>
      <c r="E334" s="48"/>
      <c r="F334" s="84" t="e">
        <f>Проект!#REF!</f>
        <v>#REF!</v>
      </c>
      <c r="G334" s="84" t="e">
        <f>Проект!#REF!</f>
        <v>#REF!</v>
      </c>
      <c r="H334" s="84" t="e">
        <f>Проект!#REF!</f>
        <v>#REF!</v>
      </c>
      <c r="I334" s="84" t="e">
        <f>Проект!#REF!</f>
        <v>#REF!</v>
      </c>
      <c r="J334" s="84" t="e">
        <f>Проект!#REF!</f>
        <v>#REF!</v>
      </c>
      <c r="K334" s="84" t="e">
        <f>Проект!#REF!</f>
        <v>#REF!</v>
      </c>
      <c r="L334" s="84" t="e">
        <f>Проект!#REF!</f>
        <v>#REF!</v>
      </c>
      <c r="M334" s="84" t="e">
        <f>Проект!#REF!</f>
        <v>#REF!</v>
      </c>
      <c r="N334" s="84" t="e">
        <f>Проект!#REF!</f>
        <v>#REF!</v>
      </c>
      <c r="O334" s="84" t="e">
        <f>Проект!#REF!</f>
        <v>#REF!</v>
      </c>
      <c r="P334" s="84" t="e">
        <f>Проект!#REF!</f>
        <v>#REF!</v>
      </c>
      <c r="Q334" s="84" t="e">
        <f>Проект!#REF!</f>
        <v>#REF!</v>
      </c>
      <c r="R334" s="48"/>
      <c r="S334" s="94" t="e">
        <f>Проект!#REF!</f>
        <v>#REF!</v>
      </c>
    </row>
    <row r="335" spans="1:19" hidden="1" x14ac:dyDescent="0.2">
      <c r="A335" s="48" t="e">
        <f>Проект!#REF!</f>
        <v>#REF!</v>
      </c>
      <c r="B335" s="48"/>
      <c r="C335" s="73" t="e">
        <f>Проект!#REF!</f>
        <v>#REF!</v>
      </c>
      <c r="D335" s="48" t="e">
        <f>Проект!#REF!</f>
        <v>#REF!</v>
      </c>
      <c r="E335" s="48"/>
      <c r="F335" s="84" t="e">
        <f>Проект!#REF!</f>
        <v>#REF!</v>
      </c>
      <c r="G335" s="84" t="e">
        <f>Проект!#REF!</f>
        <v>#REF!</v>
      </c>
      <c r="H335" s="84" t="e">
        <f>Проект!#REF!</f>
        <v>#REF!</v>
      </c>
      <c r="I335" s="84" t="e">
        <f>Проект!#REF!</f>
        <v>#REF!</v>
      </c>
      <c r="J335" s="84" t="e">
        <f>Проект!#REF!</f>
        <v>#REF!</v>
      </c>
      <c r="K335" s="84" t="e">
        <f>Проект!#REF!</f>
        <v>#REF!</v>
      </c>
      <c r="L335" s="84" t="e">
        <f>Проект!#REF!</f>
        <v>#REF!</v>
      </c>
      <c r="M335" s="84" t="e">
        <f>Проект!#REF!</f>
        <v>#REF!</v>
      </c>
      <c r="N335" s="84" t="e">
        <f>Проект!#REF!</f>
        <v>#REF!</v>
      </c>
      <c r="O335" s="84" t="e">
        <f>Проект!#REF!</f>
        <v>#REF!</v>
      </c>
      <c r="P335" s="84" t="e">
        <f>Проект!#REF!</f>
        <v>#REF!</v>
      </c>
      <c r="Q335" s="84" t="e">
        <f>Проект!#REF!</f>
        <v>#REF!</v>
      </c>
      <c r="R335" s="48"/>
      <c r="S335" s="94" t="e">
        <f>Проект!#REF!</f>
        <v>#REF!</v>
      </c>
    </row>
    <row r="336" spans="1:19" hidden="1" x14ac:dyDescent="0.2">
      <c r="A336" s="48" t="e">
        <f>Проект!#REF!</f>
        <v>#REF!</v>
      </c>
      <c r="B336" s="48"/>
      <c r="C336" s="73" t="e">
        <f>Проект!#REF!</f>
        <v>#REF!</v>
      </c>
      <c r="D336" s="48" t="e">
        <f>Проект!#REF!</f>
        <v>#REF!</v>
      </c>
      <c r="E336" s="48"/>
      <c r="F336" s="84" t="e">
        <f>Проект!#REF!</f>
        <v>#REF!</v>
      </c>
      <c r="G336" s="84" t="e">
        <f>Проект!#REF!</f>
        <v>#REF!</v>
      </c>
      <c r="H336" s="84" t="e">
        <f>Проект!#REF!</f>
        <v>#REF!</v>
      </c>
      <c r="I336" s="84" t="e">
        <f>Проект!#REF!</f>
        <v>#REF!</v>
      </c>
      <c r="J336" s="84" t="e">
        <f>Проект!#REF!</f>
        <v>#REF!</v>
      </c>
      <c r="K336" s="84" t="e">
        <f>Проект!#REF!</f>
        <v>#REF!</v>
      </c>
      <c r="L336" s="84" t="e">
        <f>Проект!#REF!</f>
        <v>#REF!</v>
      </c>
      <c r="M336" s="84" t="e">
        <f>Проект!#REF!</f>
        <v>#REF!</v>
      </c>
      <c r="N336" s="84" t="e">
        <f>Проект!#REF!</f>
        <v>#REF!</v>
      </c>
      <c r="O336" s="84" t="e">
        <f>Проект!#REF!</f>
        <v>#REF!</v>
      </c>
      <c r="P336" s="84" t="e">
        <f>Проект!#REF!</f>
        <v>#REF!</v>
      </c>
      <c r="Q336" s="84" t="e">
        <f>Проект!#REF!</f>
        <v>#REF!</v>
      </c>
      <c r="R336" s="48"/>
      <c r="S336" s="94" t="e">
        <f>Проект!#REF!</f>
        <v>#REF!</v>
      </c>
    </row>
    <row r="337" spans="1:19" hidden="1" x14ac:dyDescent="0.2">
      <c r="A337" s="48" t="e">
        <f>Проект!#REF!</f>
        <v>#REF!</v>
      </c>
      <c r="B337" s="48"/>
      <c r="C337" s="73" t="e">
        <f>Проект!#REF!</f>
        <v>#REF!</v>
      </c>
      <c r="D337" s="48" t="e">
        <f>Проект!#REF!</f>
        <v>#REF!</v>
      </c>
      <c r="E337" s="48"/>
      <c r="F337" s="341" t="e">
        <f>Проект!#REF!</f>
        <v>#REF!</v>
      </c>
      <c r="G337" s="341" t="e">
        <f>Проект!#REF!</f>
        <v>#REF!</v>
      </c>
      <c r="H337" s="341" t="e">
        <f>Проект!#REF!</f>
        <v>#REF!</v>
      </c>
      <c r="I337" s="341" t="e">
        <f>Проект!#REF!</f>
        <v>#REF!</v>
      </c>
      <c r="J337" s="341" t="e">
        <f>Проект!#REF!</f>
        <v>#REF!</v>
      </c>
      <c r="K337" s="341" t="e">
        <f>Проект!#REF!</f>
        <v>#REF!</v>
      </c>
      <c r="L337" s="341" t="e">
        <f>Проект!#REF!</f>
        <v>#REF!</v>
      </c>
      <c r="M337" s="341" t="e">
        <f>Проект!#REF!</f>
        <v>#REF!</v>
      </c>
      <c r="N337" s="341" t="e">
        <f>Проект!#REF!</f>
        <v>#REF!</v>
      </c>
      <c r="O337" s="341" t="e">
        <f>Проект!#REF!</f>
        <v>#REF!</v>
      </c>
      <c r="P337" s="341" t="e">
        <f>Проект!#REF!</f>
        <v>#REF!</v>
      </c>
      <c r="Q337" s="341" t="e">
        <f>Проект!#REF!</f>
        <v>#REF!</v>
      </c>
      <c r="R337" s="48"/>
      <c r="S337" s="94" t="e">
        <f>Проект!#REF!</f>
        <v>#REF!</v>
      </c>
    </row>
    <row r="338" spans="1:19" hidden="1" x14ac:dyDescent="0.2">
      <c r="A338" s="48" t="e">
        <f>Проект!#REF!</f>
        <v>#REF!</v>
      </c>
      <c r="B338" s="48"/>
      <c r="C338" s="73" t="e">
        <f>Проект!#REF!</f>
        <v>#REF!</v>
      </c>
      <c r="D338" s="48" t="e">
        <f>Проект!#REF!</f>
        <v>#REF!</v>
      </c>
      <c r="E338" s="48"/>
      <c r="F338" s="84" t="e">
        <f>Проект!#REF!</f>
        <v>#REF!</v>
      </c>
      <c r="G338" s="84" t="e">
        <f>Проект!#REF!</f>
        <v>#REF!</v>
      </c>
      <c r="H338" s="84" t="e">
        <f>Проект!#REF!</f>
        <v>#REF!</v>
      </c>
      <c r="I338" s="84" t="e">
        <f>Проект!#REF!</f>
        <v>#REF!</v>
      </c>
      <c r="J338" s="84" t="e">
        <f>Проект!#REF!</f>
        <v>#REF!</v>
      </c>
      <c r="K338" s="84" t="e">
        <f>Проект!#REF!</f>
        <v>#REF!</v>
      </c>
      <c r="L338" s="84" t="e">
        <f>Проект!#REF!</f>
        <v>#REF!</v>
      </c>
      <c r="M338" s="84" t="e">
        <f>Проект!#REF!</f>
        <v>#REF!</v>
      </c>
      <c r="N338" s="84" t="e">
        <f>Проект!#REF!</f>
        <v>#REF!</v>
      </c>
      <c r="O338" s="84" t="e">
        <f>Проект!#REF!</f>
        <v>#REF!</v>
      </c>
      <c r="P338" s="84" t="e">
        <f>Проект!#REF!</f>
        <v>#REF!</v>
      </c>
      <c r="Q338" s="84" t="e">
        <f>Проект!#REF!</f>
        <v>#REF!</v>
      </c>
      <c r="R338" s="48"/>
      <c r="S338" s="94" t="e">
        <f>Проект!#REF!</f>
        <v>#REF!</v>
      </c>
    </row>
    <row r="339" spans="1:19" hidden="1" x14ac:dyDescent="0.2">
      <c r="A339" s="48" t="e">
        <f>Проект!#REF!</f>
        <v>#REF!</v>
      </c>
      <c r="B339" s="48"/>
      <c r="C339" s="73" t="e">
        <f>Проект!#REF!</f>
        <v>#REF!</v>
      </c>
      <c r="D339" s="48" t="e">
        <f>Проект!#REF!</f>
        <v>#REF!</v>
      </c>
      <c r="E339" s="48"/>
      <c r="F339" s="84" t="e">
        <f>Проект!#REF!</f>
        <v>#REF!</v>
      </c>
      <c r="G339" s="84" t="e">
        <f>Проект!#REF!</f>
        <v>#REF!</v>
      </c>
      <c r="H339" s="84" t="e">
        <f>Проект!#REF!</f>
        <v>#REF!</v>
      </c>
      <c r="I339" s="84" t="e">
        <f>Проект!#REF!</f>
        <v>#REF!</v>
      </c>
      <c r="J339" s="84" t="e">
        <f>Проект!#REF!</f>
        <v>#REF!</v>
      </c>
      <c r="K339" s="84" t="e">
        <f>Проект!#REF!</f>
        <v>#REF!</v>
      </c>
      <c r="L339" s="84" t="e">
        <f>Проект!#REF!</f>
        <v>#REF!</v>
      </c>
      <c r="M339" s="84" t="e">
        <f>Проект!#REF!</f>
        <v>#REF!</v>
      </c>
      <c r="N339" s="84" t="e">
        <f>Проект!#REF!</f>
        <v>#REF!</v>
      </c>
      <c r="O339" s="84" t="e">
        <f>Проект!#REF!</f>
        <v>#REF!</v>
      </c>
      <c r="P339" s="84" t="e">
        <f>Проект!#REF!</f>
        <v>#REF!</v>
      </c>
      <c r="Q339" s="84" t="e">
        <f>Проект!#REF!</f>
        <v>#REF!</v>
      </c>
      <c r="R339" s="48"/>
      <c r="S339" s="41"/>
    </row>
    <row r="340" spans="1:19" hidden="1" x14ac:dyDescent="0.2">
      <c r="A340" s="48" t="e">
        <f>Проект!#REF!</f>
        <v>#REF!</v>
      </c>
      <c r="B340" s="48"/>
      <c r="C340" s="73" t="e">
        <f>Проект!#REF!</f>
        <v>#REF!</v>
      </c>
      <c r="D340" s="48" t="e">
        <f>Проект!#REF!</f>
        <v>#REF!</v>
      </c>
      <c r="E340" s="48"/>
      <c r="F340" s="84" t="e">
        <f>Проект!#REF!</f>
        <v>#REF!</v>
      </c>
      <c r="G340" s="84" t="e">
        <f>Проект!#REF!</f>
        <v>#REF!</v>
      </c>
      <c r="H340" s="84" t="e">
        <f>Проект!#REF!</f>
        <v>#REF!</v>
      </c>
      <c r="I340" s="84" t="e">
        <f>Проект!#REF!</f>
        <v>#REF!</v>
      </c>
      <c r="J340" s="84" t="e">
        <f>Проект!#REF!</f>
        <v>#REF!</v>
      </c>
      <c r="K340" s="84" t="e">
        <f>Проект!#REF!</f>
        <v>#REF!</v>
      </c>
      <c r="L340" s="84" t="e">
        <f>Проект!#REF!</f>
        <v>#REF!</v>
      </c>
      <c r="M340" s="84" t="e">
        <f>Проект!#REF!</f>
        <v>#REF!</v>
      </c>
      <c r="N340" s="84" t="e">
        <f>Проект!#REF!</f>
        <v>#REF!</v>
      </c>
      <c r="O340" s="84" t="e">
        <f>Проект!#REF!</f>
        <v>#REF!</v>
      </c>
      <c r="P340" s="84" t="e">
        <f>Проект!#REF!</f>
        <v>#REF!</v>
      </c>
      <c r="Q340" s="84" t="e">
        <f>Проект!#REF!</f>
        <v>#REF!</v>
      </c>
      <c r="R340" s="48"/>
      <c r="S340" s="41"/>
    </row>
    <row r="341" spans="1:19" ht="11.25" customHeight="1" x14ac:dyDescent="0.2">
      <c r="A341" s="48" t="e">
        <f>Проект!#REF!</f>
        <v>#REF!</v>
      </c>
      <c r="B341" s="48"/>
      <c r="C341" s="73" t="e">
        <f>Проект!#REF!</f>
        <v>#REF!</v>
      </c>
      <c r="D341" s="74" t="e">
        <f>Проект!#REF!</f>
        <v>#REF!</v>
      </c>
      <c r="E341" s="48"/>
      <c r="F341" s="83" t="e">
        <f>Проект!#REF!</f>
        <v>#REF!</v>
      </c>
      <c r="G341" s="83" t="e">
        <f>Проект!#REF!</f>
        <v>#REF!</v>
      </c>
      <c r="H341" s="83" t="e">
        <f>Проект!#REF!</f>
        <v>#REF!</v>
      </c>
      <c r="I341" s="83" t="e">
        <f>Проект!#REF!</f>
        <v>#REF!</v>
      </c>
      <c r="J341" s="83" t="e">
        <f>Проект!#REF!</f>
        <v>#REF!</v>
      </c>
      <c r="K341" s="83" t="e">
        <f>Проект!#REF!</f>
        <v>#REF!</v>
      </c>
      <c r="L341" s="83" t="e">
        <f>Проект!#REF!</f>
        <v>#REF!</v>
      </c>
      <c r="M341" s="83" t="e">
        <f>Проект!#REF!</f>
        <v>#REF!</v>
      </c>
      <c r="N341" s="83" t="e">
        <f>Проект!#REF!</f>
        <v>#REF!</v>
      </c>
      <c r="O341" s="83" t="e">
        <f>Проект!#REF!</f>
        <v>#REF!</v>
      </c>
      <c r="P341" s="83" t="e">
        <f>Проект!#REF!</f>
        <v>#REF!</v>
      </c>
      <c r="Q341" s="83" t="e">
        <f>Проект!#REF!</f>
        <v>#REF!</v>
      </c>
      <c r="R341" s="48"/>
      <c r="S341" s="95" t="e">
        <f>Проект!#REF!</f>
        <v>#REF!</v>
      </c>
    </row>
    <row r="342" spans="1:19" hidden="1" x14ac:dyDescent="0.2">
      <c r="A342" s="48" t="e">
        <f>Проект!#REF!</f>
        <v>#REF!</v>
      </c>
      <c r="B342" s="48"/>
      <c r="C342" s="73" t="e">
        <f>Проект!#REF!</f>
        <v>#REF!</v>
      </c>
      <c r="D342" s="48" t="e">
        <f>Проект!#REF!</f>
        <v>#REF!</v>
      </c>
      <c r="E342" s="48"/>
      <c r="F342" s="84" t="e">
        <f>Проект!#REF!</f>
        <v>#REF!</v>
      </c>
      <c r="G342" s="84" t="e">
        <f>Проект!#REF!</f>
        <v>#REF!</v>
      </c>
      <c r="H342" s="84" t="e">
        <f>Проект!#REF!</f>
        <v>#REF!</v>
      </c>
      <c r="I342" s="84" t="e">
        <f>Проект!#REF!</f>
        <v>#REF!</v>
      </c>
      <c r="J342" s="84" t="e">
        <f>Проект!#REF!</f>
        <v>#REF!</v>
      </c>
      <c r="K342" s="84" t="e">
        <f>Проект!#REF!</f>
        <v>#REF!</v>
      </c>
      <c r="L342" s="84" t="e">
        <f>Проект!#REF!</f>
        <v>#REF!</v>
      </c>
      <c r="M342" s="84" t="e">
        <f>Проект!#REF!</f>
        <v>#REF!</v>
      </c>
      <c r="N342" s="84" t="e">
        <f>Проект!#REF!</f>
        <v>#REF!</v>
      </c>
      <c r="O342" s="84" t="e">
        <f>Проект!#REF!</f>
        <v>#REF!</v>
      </c>
      <c r="P342" s="84" t="e">
        <f>Проект!#REF!</f>
        <v>#REF!</v>
      </c>
      <c r="Q342" s="84" t="e">
        <f>Проект!#REF!</f>
        <v>#REF!</v>
      </c>
      <c r="R342" s="48"/>
      <c r="S342" s="94" t="e">
        <f>Проект!#REF!</f>
        <v>#REF!</v>
      </c>
    </row>
    <row r="343" spans="1:19" hidden="1" x14ac:dyDescent="0.2">
      <c r="A343" s="48" t="e">
        <f>Проект!#REF!</f>
        <v>#REF!</v>
      </c>
      <c r="B343" s="48"/>
      <c r="C343" s="73" t="e">
        <f>Проект!#REF!</f>
        <v>#REF!</v>
      </c>
      <c r="D343" s="48" t="e">
        <f>Проект!#REF!</f>
        <v>#REF!</v>
      </c>
      <c r="E343" s="48"/>
      <c r="F343" s="84" t="e">
        <f>Проект!#REF!</f>
        <v>#REF!</v>
      </c>
      <c r="G343" s="84" t="e">
        <f>Проект!#REF!</f>
        <v>#REF!</v>
      </c>
      <c r="H343" s="84" t="e">
        <f>Проект!#REF!</f>
        <v>#REF!</v>
      </c>
      <c r="I343" s="84" t="e">
        <f>Проект!#REF!</f>
        <v>#REF!</v>
      </c>
      <c r="J343" s="84" t="e">
        <f>Проект!#REF!</f>
        <v>#REF!</v>
      </c>
      <c r="K343" s="84" t="e">
        <f>Проект!#REF!</f>
        <v>#REF!</v>
      </c>
      <c r="L343" s="84" t="e">
        <f>Проект!#REF!</f>
        <v>#REF!</v>
      </c>
      <c r="M343" s="84" t="e">
        <f>Проект!#REF!</f>
        <v>#REF!</v>
      </c>
      <c r="N343" s="84" t="e">
        <f>Проект!#REF!</f>
        <v>#REF!</v>
      </c>
      <c r="O343" s="84" t="e">
        <f>Проект!#REF!</f>
        <v>#REF!</v>
      </c>
      <c r="P343" s="84" t="e">
        <f>Проект!#REF!</f>
        <v>#REF!</v>
      </c>
      <c r="Q343" s="84" t="e">
        <f>Проект!#REF!</f>
        <v>#REF!</v>
      </c>
      <c r="R343" s="48"/>
      <c r="S343" s="94" t="e">
        <f>Проект!#REF!</f>
        <v>#REF!</v>
      </c>
    </row>
    <row r="344" spans="1:19" hidden="1" x14ac:dyDescent="0.2">
      <c r="A344" s="48" t="e">
        <f>Проект!#REF!</f>
        <v>#REF!</v>
      </c>
      <c r="B344" s="48"/>
      <c r="C344" s="73" t="e">
        <f>Проект!#REF!</f>
        <v>#REF!</v>
      </c>
      <c r="D344" s="48" t="e">
        <f>Проект!#REF!</f>
        <v>#REF!</v>
      </c>
      <c r="E344" s="48"/>
      <c r="F344" s="84" t="e">
        <f>Проект!#REF!</f>
        <v>#REF!</v>
      </c>
      <c r="G344" s="84" t="e">
        <f>Проект!#REF!</f>
        <v>#REF!</v>
      </c>
      <c r="H344" s="84" t="e">
        <f>Проект!#REF!</f>
        <v>#REF!</v>
      </c>
      <c r="I344" s="84" t="e">
        <f>Проект!#REF!</f>
        <v>#REF!</v>
      </c>
      <c r="J344" s="84" t="e">
        <f>Проект!#REF!</f>
        <v>#REF!</v>
      </c>
      <c r="K344" s="84" t="e">
        <f>Проект!#REF!</f>
        <v>#REF!</v>
      </c>
      <c r="L344" s="84" t="e">
        <f>Проект!#REF!</f>
        <v>#REF!</v>
      </c>
      <c r="M344" s="84" t="e">
        <f>Проект!#REF!</f>
        <v>#REF!</v>
      </c>
      <c r="N344" s="84" t="e">
        <f>Проект!#REF!</f>
        <v>#REF!</v>
      </c>
      <c r="O344" s="84" t="e">
        <f>Проект!#REF!</f>
        <v>#REF!</v>
      </c>
      <c r="P344" s="84" t="e">
        <f>Проект!#REF!</f>
        <v>#REF!</v>
      </c>
      <c r="Q344" s="84" t="e">
        <f>Проект!#REF!</f>
        <v>#REF!</v>
      </c>
      <c r="R344" s="48"/>
      <c r="S344" s="94" t="e">
        <f>Проект!#REF!</f>
        <v>#REF!</v>
      </c>
    </row>
    <row r="345" spans="1:19" hidden="1" x14ac:dyDescent="0.2">
      <c r="A345" s="48" t="e">
        <f>Проект!#REF!</f>
        <v>#REF!</v>
      </c>
      <c r="B345" s="48"/>
      <c r="C345" s="73" t="e">
        <f>Проект!#REF!</f>
        <v>#REF!</v>
      </c>
      <c r="D345" s="48" t="e">
        <f>Проект!#REF!</f>
        <v>#REF!</v>
      </c>
      <c r="E345" s="48"/>
      <c r="F345" s="341" t="e">
        <f>Проект!#REF!</f>
        <v>#REF!</v>
      </c>
      <c r="G345" s="341" t="e">
        <f>Проект!#REF!</f>
        <v>#REF!</v>
      </c>
      <c r="H345" s="341" t="e">
        <f>Проект!#REF!</f>
        <v>#REF!</v>
      </c>
      <c r="I345" s="341" t="e">
        <f>Проект!#REF!</f>
        <v>#REF!</v>
      </c>
      <c r="J345" s="341" t="e">
        <f>Проект!#REF!</f>
        <v>#REF!</v>
      </c>
      <c r="K345" s="341" t="e">
        <f>Проект!#REF!</f>
        <v>#REF!</v>
      </c>
      <c r="L345" s="341" t="e">
        <f>Проект!#REF!</f>
        <v>#REF!</v>
      </c>
      <c r="M345" s="341" t="e">
        <f>Проект!#REF!</f>
        <v>#REF!</v>
      </c>
      <c r="N345" s="341" t="e">
        <f>Проект!#REF!</f>
        <v>#REF!</v>
      </c>
      <c r="O345" s="341" t="e">
        <f>Проект!#REF!</f>
        <v>#REF!</v>
      </c>
      <c r="P345" s="341" t="e">
        <f>Проект!#REF!</f>
        <v>#REF!</v>
      </c>
      <c r="Q345" s="341" t="e">
        <f>Проект!#REF!</f>
        <v>#REF!</v>
      </c>
      <c r="R345" s="48"/>
      <c r="S345" s="94" t="e">
        <f>Проект!#REF!</f>
        <v>#REF!</v>
      </c>
    </row>
    <row r="346" spans="1:19" hidden="1" x14ac:dyDescent="0.2">
      <c r="A346" s="48" t="e">
        <f>Проект!#REF!</f>
        <v>#REF!</v>
      </c>
      <c r="B346" s="48"/>
      <c r="C346" s="73" t="e">
        <f>Проект!#REF!</f>
        <v>#REF!</v>
      </c>
      <c r="D346" s="48" t="e">
        <f>Проект!#REF!</f>
        <v>#REF!</v>
      </c>
      <c r="E346" s="48"/>
      <c r="F346" s="84" t="e">
        <f>Проект!#REF!</f>
        <v>#REF!</v>
      </c>
      <c r="G346" s="84" t="e">
        <f>Проект!#REF!</f>
        <v>#REF!</v>
      </c>
      <c r="H346" s="84" t="e">
        <f>Проект!#REF!</f>
        <v>#REF!</v>
      </c>
      <c r="I346" s="84" t="e">
        <f>Проект!#REF!</f>
        <v>#REF!</v>
      </c>
      <c r="J346" s="84" t="e">
        <f>Проект!#REF!</f>
        <v>#REF!</v>
      </c>
      <c r="K346" s="84" t="e">
        <f>Проект!#REF!</f>
        <v>#REF!</v>
      </c>
      <c r="L346" s="84" t="e">
        <f>Проект!#REF!</f>
        <v>#REF!</v>
      </c>
      <c r="M346" s="84" t="e">
        <f>Проект!#REF!</f>
        <v>#REF!</v>
      </c>
      <c r="N346" s="84" t="e">
        <f>Проект!#REF!</f>
        <v>#REF!</v>
      </c>
      <c r="O346" s="84" t="e">
        <f>Проект!#REF!</f>
        <v>#REF!</v>
      </c>
      <c r="P346" s="84" t="e">
        <f>Проект!#REF!</f>
        <v>#REF!</v>
      </c>
      <c r="Q346" s="84" t="e">
        <f>Проект!#REF!</f>
        <v>#REF!</v>
      </c>
      <c r="R346" s="48"/>
      <c r="S346" s="94" t="e">
        <f>Проект!#REF!</f>
        <v>#REF!</v>
      </c>
    </row>
    <row r="347" spans="1:19" hidden="1" x14ac:dyDescent="0.2">
      <c r="A347" s="48" t="e">
        <f>Проект!#REF!</f>
        <v>#REF!</v>
      </c>
      <c r="B347" s="48"/>
      <c r="C347" s="73" t="e">
        <f>Проект!#REF!</f>
        <v>#REF!</v>
      </c>
      <c r="D347" s="48" t="e">
        <f>Проект!#REF!</f>
        <v>#REF!</v>
      </c>
      <c r="E347" s="48"/>
      <c r="F347" s="84" t="e">
        <f>Проект!#REF!</f>
        <v>#REF!</v>
      </c>
      <c r="G347" s="84" t="e">
        <f>Проект!#REF!</f>
        <v>#REF!</v>
      </c>
      <c r="H347" s="84" t="e">
        <f>Проект!#REF!</f>
        <v>#REF!</v>
      </c>
      <c r="I347" s="84" t="e">
        <f>Проект!#REF!</f>
        <v>#REF!</v>
      </c>
      <c r="J347" s="84" t="e">
        <f>Проект!#REF!</f>
        <v>#REF!</v>
      </c>
      <c r="K347" s="84" t="e">
        <f>Проект!#REF!</f>
        <v>#REF!</v>
      </c>
      <c r="L347" s="84" t="e">
        <f>Проект!#REF!</f>
        <v>#REF!</v>
      </c>
      <c r="M347" s="84" t="e">
        <f>Проект!#REF!</f>
        <v>#REF!</v>
      </c>
      <c r="N347" s="84" t="e">
        <f>Проект!#REF!</f>
        <v>#REF!</v>
      </c>
      <c r="O347" s="84" t="e">
        <f>Проект!#REF!</f>
        <v>#REF!</v>
      </c>
      <c r="P347" s="84" t="e">
        <f>Проект!#REF!</f>
        <v>#REF!</v>
      </c>
      <c r="Q347" s="84" t="e">
        <f>Проект!#REF!</f>
        <v>#REF!</v>
      </c>
      <c r="R347" s="48"/>
      <c r="S347" s="41"/>
    </row>
    <row r="348" spans="1:19" hidden="1" x14ac:dyDescent="0.2">
      <c r="A348" s="48" t="e">
        <f>Проект!#REF!</f>
        <v>#REF!</v>
      </c>
      <c r="B348" s="48"/>
      <c r="C348" s="73" t="e">
        <f>Проект!#REF!</f>
        <v>#REF!</v>
      </c>
      <c r="D348" s="48" t="e">
        <f>Проект!#REF!</f>
        <v>#REF!</v>
      </c>
      <c r="E348" s="48"/>
      <c r="F348" s="84" t="e">
        <f>Проект!#REF!</f>
        <v>#REF!</v>
      </c>
      <c r="G348" s="84" t="e">
        <f>Проект!#REF!</f>
        <v>#REF!</v>
      </c>
      <c r="H348" s="84" t="e">
        <f>Проект!#REF!</f>
        <v>#REF!</v>
      </c>
      <c r="I348" s="84" t="e">
        <f>Проект!#REF!</f>
        <v>#REF!</v>
      </c>
      <c r="J348" s="84" t="e">
        <f>Проект!#REF!</f>
        <v>#REF!</v>
      </c>
      <c r="K348" s="84" t="e">
        <f>Проект!#REF!</f>
        <v>#REF!</v>
      </c>
      <c r="L348" s="84" t="e">
        <f>Проект!#REF!</f>
        <v>#REF!</v>
      </c>
      <c r="M348" s="84" t="e">
        <f>Проект!#REF!</f>
        <v>#REF!</v>
      </c>
      <c r="N348" s="84" t="e">
        <f>Проект!#REF!</f>
        <v>#REF!</v>
      </c>
      <c r="O348" s="84" t="e">
        <f>Проект!#REF!</f>
        <v>#REF!</v>
      </c>
      <c r="P348" s="84" t="e">
        <f>Проект!#REF!</f>
        <v>#REF!</v>
      </c>
      <c r="Q348" s="84" t="e">
        <f>Проект!#REF!</f>
        <v>#REF!</v>
      </c>
      <c r="R348" s="48"/>
      <c r="S348" s="41"/>
    </row>
    <row r="349" spans="1:19" ht="11.25" customHeight="1" x14ac:dyDescent="0.2">
      <c r="A349" s="48" t="e">
        <f>Проект!#REF!</f>
        <v>#REF!</v>
      </c>
      <c r="B349" s="48"/>
      <c r="C349" s="73" t="e">
        <f>Проект!#REF!</f>
        <v>#REF!</v>
      </c>
      <c r="D349" s="74" t="e">
        <f>Проект!#REF!</f>
        <v>#REF!</v>
      </c>
      <c r="E349" s="48"/>
      <c r="F349" s="83" t="e">
        <f>Проект!#REF!</f>
        <v>#REF!</v>
      </c>
      <c r="G349" s="83" t="e">
        <f>Проект!#REF!</f>
        <v>#REF!</v>
      </c>
      <c r="H349" s="83" t="e">
        <f>Проект!#REF!</f>
        <v>#REF!</v>
      </c>
      <c r="I349" s="83" t="e">
        <f>Проект!#REF!</f>
        <v>#REF!</v>
      </c>
      <c r="J349" s="83" t="e">
        <f>Проект!#REF!</f>
        <v>#REF!</v>
      </c>
      <c r="K349" s="83" t="e">
        <f>Проект!#REF!</f>
        <v>#REF!</v>
      </c>
      <c r="L349" s="83" t="e">
        <f>Проект!#REF!</f>
        <v>#REF!</v>
      </c>
      <c r="M349" s="83" t="e">
        <f>Проект!#REF!</f>
        <v>#REF!</v>
      </c>
      <c r="N349" s="83" t="e">
        <f>Проект!#REF!</f>
        <v>#REF!</v>
      </c>
      <c r="O349" s="83" t="e">
        <f>Проект!#REF!</f>
        <v>#REF!</v>
      </c>
      <c r="P349" s="83" t="e">
        <f>Проект!#REF!</f>
        <v>#REF!</v>
      </c>
      <c r="Q349" s="83" t="e">
        <f>Проект!#REF!</f>
        <v>#REF!</v>
      </c>
      <c r="R349" s="48"/>
      <c r="S349" s="95" t="e">
        <f>Проект!#REF!</f>
        <v>#REF!</v>
      </c>
    </row>
    <row r="350" spans="1:19" hidden="1" x14ac:dyDescent="0.2">
      <c r="A350" s="48" t="e">
        <f>Проект!#REF!</f>
        <v>#REF!</v>
      </c>
      <c r="B350" s="48"/>
      <c r="C350" s="73" t="e">
        <f>Проект!#REF!</f>
        <v>#REF!</v>
      </c>
      <c r="D350" s="48" t="e">
        <f>Проект!#REF!</f>
        <v>#REF!</v>
      </c>
      <c r="E350" s="48"/>
      <c r="F350" s="84" t="e">
        <f>Проект!#REF!</f>
        <v>#REF!</v>
      </c>
      <c r="G350" s="84" t="e">
        <f>Проект!#REF!</f>
        <v>#REF!</v>
      </c>
      <c r="H350" s="84" t="e">
        <f>Проект!#REF!</f>
        <v>#REF!</v>
      </c>
      <c r="I350" s="84" t="e">
        <f>Проект!#REF!</f>
        <v>#REF!</v>
      </c>
      <c r="J350" s="84" t="e">
        <f>Проект!#REF!</f>
        <v>#REF!</v>
      </c>
      <c r="K350" s="84" t="e">
        <f>Проект!#REF!</f>
        <v>#REF!</v>
      </c>
      <c r="L350" s="84" t="e">
        <f>Проект!#REF!</f>
        <v>#REF!</v>
      </c>
      <c r="M350" s="84" t="e">
        <f>Проект!#REF!</f>
        <v>#REF!</v>
      </c>
      <c r="N350" s="84" t="e">
        <f>Проект!#REF!</f>
        <v>#REF!</v>
      </c>
      <c r="O350" s="84" t="e">
        <f>Проект!#REF!</f>
        <v>#REF!</v>
      </c>
      <c r="P350" s="84" t="e">
        <f>Проект!#REF!</f>
        <v>#REF!</v>
      </c>
      <c r="Q350" s="84" t="e">
        <f>Проект!#REF!</f>
        <v>#REF!</v>
      </c>
      <c r="R350" s="48"/>
      <c r="S350" s="94" t="e">
        <f>Проект!#REF!</f>
        <v>#REF!</v>
      </c>
    </row>
    <row r="351" spans="1:19" hidden="1" x14ac:dyDescent="0.2">
      <c r="A351" s="48" t="e">
        <f>Проект!#REF!</f>
        <v>#REF!</v>
      </c>
      <c r="B351" s="48"/>
      <c r="C351" s="73" t="e">
        <f>Проект!#REF!</f>
        <v>#REF!</v>
      </c>
      <c r="D351" s="48" t="e">
        <f>Проект!#REF!</f>
        <v>#REF!</v>
      </c>
      <c r="E351" s="48"/>
      <c r="F351" s="84" t="e">
        <f>Проект!#REF!</f>
        <v>#REF!</v>
      </c>
      <c r="G351" s="84" t="e">
        <f>Проект!#REF!</f>
        <v>#REF!</v>
      </c>
      <c r="H351" s="84" t="e">
        <f>Проект!#REF!</f>
        <v>#REF!</v>
      </c>
      <c r="I351" s="84" t="e">
        <f>Проект!#REF!</f>
        <v>#REF!</v>
      </c>
      <c r="J351" s="84" t="e">
        <f>Проект!#REF!</f>
        <v>#REF!</v>
      </c>
      <c r="K351" s="84" t="e">
        <f>Проект!#REF!</f>
        <v>#REF!</v>
      </c>
      <c r="L351" s="84" t="e">
        <f>Проект!#REF!</f>
        <v>#REF!</v>
      </c>
      <c r="M351" s="84" t="e">
        <f>Проект!#REF!</f>
        <v>#REF!</v>
      </c>
      <c r="N351" s="84" t="e">
        <f>Проект!#REF!</f>
        <v>#REF!</v>
      </c>
      <c r="O351" s="84" t="e">
        <f>Проект!#REF!</f>
        <v>#REF!</v>
      </c>
      <c r="P351" s="84" t="e">
        <f>Проект!#REF!</f>
        <v>#REF!</v>
      </c>
      <c r="Q351" s="84" t="e">
        <f>Проект!#REF!</f>
        <v>#REF!</v>
      </c>
      <c r="R351" s="48"/>
      <c r="S351" s="94" t="e">
        <f>Проект!#REF!</f>
        <v>#REF!</v>
      </c>
    </row>
    <row r="352" spans="1:19" hidden="1" x14ac:dyDescent="0.2">
      <c r="A352" s="48" t="e">
        <f>Проект!#REF!</f>
        <v>#REF!</v>
      </c>
      <c r="B352" s="48"/>
      <c r="C352" s="73" t="e">
        <f>Проект!#REF!</f>
        <v>#REF!</v>
      </c>
      <c r="D352" s="48" t="e">
        <f>Проект!#REF!</f>
        <v>#REF!</v>
      </c>
      <c r="E352" s="48"/>
      <c r="F352" s="84" t="e">
        <f>Проект!#REF!</f>
        <v>#REF!</v>
      </c>
      <c r="G352" s="84" t="e">
        <f>Проект!#REF!</f>
        <v>#REF!</v>
      </c>
      <c r="H352" s="84" t="e">
        <f>Проект!#REF!</f>
        <v>#REF!</v>
      </c>
      <c r="I352" s="84" t="e">
        <f>Проект!#REF!</f>
        <v>#REF!</v>
      </c>
      <c r="J352" s="84" t="e">
        <f>Проект!#REF!</f>
        <v>#REF!</v>
      </c>
      <c r="K352" s="84" t="e">
        <f>Проект!#REF!</f>
        <v>#REF!</v>
      </c>
      <c r="L352" s="84" t="e">
        <f>Проект!#REF!</f>
        <v>#REF!</v>
      </c>
      <c r="M352" s="84" t="e">
        <f>Проект!#REF!</f>
        <v>#REF!</v>
      </c>
      <c r="N352" s="84" t="e">
        <f>Проект!#REF!</f>
        <v>#REF!</v>
      </c>
      <c r="O352" s="84" t="e">
        <f>Проект!#REF!</f>
        <v>#REF!</v>
      </c>
      <c r="P352" s="84" t="e">
        <f>Проект!#REF!</f>
        <v>#REF!</v>
      </c>
      <c r="Q352" s="84" t="e">
        <f>Проект!#REF!</f>
        <v>#REF!</v>
      </c>
      <c r="R352" s="48"/>
      <c r="S352" s="94" t="e">
        <f>Проект!#REF!</f>
        <v>#REF!</v>
      </c>
    </row>
    <row r="353" spans="1:19" hidden="1" x14ac:dyDescent="0.2">
      <c r="A353" s="48" t="e">
        <f>Проект!#REF!</f>
        <v>#REF!</v>
      </c>
      <c r="B353" s="48"/>
      <c r="C353" s="73" t="e">
        <f>Проект!#REF!</f>
        <v>#REF!</v>
      </c>
      <c r="D353" s="48" t="e">
        <f>Проект!#REF!</f>
        <v>#REF!</v>
      </c>
      <c r="E353" s="48"/>
      <c r="F353" s="341" t="e">
        <f>Проект!#REF!</f>
        <v>#REF!</v>
      </c>
      <c r="G353" s="341" t="e">
        <f>Проект!#REF!</f>
        <v>#REF!</v>
      </c>
      <c r="H353" s="341" t="e">
        <f>Проект!#REF!</f>
        <v>#REF!</v>
      </c>
      <c r="I353" s="341" t="e">
        <f>Проект!#REF!</f>
        <v>#REF!</v>
      </c>
      <c r="J353" s="341" t="e">
        <f>Проект!#REF!</f>
        <v>#REF!</v>
      </c>
      <c r="K353" s="341" t="e">
        <f>Проект!#REF!</f>
        <v>#REF!</v>
      </c>
      <c r="L353" s="341" t="e">
        <f>Проект!#REF!</f>
        <v>#REF!</v>
      </c>
      <c r="M353" s="341" t="e">
        <f>Проект!#REF!</f>
        <v>#REF!</v>
      </c>
      <c r="N353" s="341" t="e">
        <f>Проект!#REF!</f>
        <v>#REF!</v>
      </c>
      <c r="O353" s="341" t="e">
        <f>Проект!#REF!</f>
        <v>#REF!</v>
      </c>
      <c r="P353" s="341" t="e">
        <f>Проект!#REF!</f>
        <v>#REF!</v>
      </c>
      <c r="Q353" s="341" t="e">
        <f>Проект!#REF!</f>
        <v>#REF!</v>
      </c>
      <c r="R353" s="48"/>
      <c r="S353" s="94" t="e">
        <f>Проект!#REF!</f>
        <v>#REF!</v>
      </c>
    </row>
    <row r="354" spans="1:19" hidden="1" x14ac:dyDescent="0.2">
      <c r="A354" s="48" t="e">
        <f>Проект!#REF!</f>
        <v>#REF!</v>
      </c>
      <c r="B354" s="48"/>
      <c r="C354" s="73" t="e">
        <f>Проект!#REF!</f>
        <v>#REF!</v>
      </c>
      <c r="D354" s="48" t="e">
        <f>Проект!#REF!</f>
        <v>#REF!</v>
      </c>
      <c r="E354" s="48"/>
      <c r="F354" s="84" t="e">
        <f>Проект!#REF!</f>
        <v>#REF!</v>
      </c>
      <c r="G354" s="84" t="e">
        <f>Проект!#REF!</f>
        <v>#REF!</v>
      </c>
      <c r="H354" s="84" t="e">
        <f>Проект!#REF!</f>
        <v>#REF!</v>
      </c>
      <c r="I354" s="84" t="e">
        <f>Проект!#REF!</f>
        <v>#REF!</v>
      </c>
      <c r="J354" s="84" t="e">
        <f>Проект!#REF!</f>
        <v>#REF!</v>
      </c>
      <c r="K354" s="84" t="e">
        <f>Проект!#REF!</f>
        <v>#REF!</v>
      </c>
      <c r="L354" s="84" t="e">
        <f>Проект!#REF!</f>
        <v>#REF!</v>
      </c>
      <c r="M354" s="84" t="e">
        <f>Проект!#REF!</f>
        <v>#REF!</v>
      </c>
      <c r="N354" s="84" t="e">
        <f>Проект!#REF!</f>
        <v>#REF!</v>
      </c>
      <c r="O354" s="84" t="e">
        <f>Проект!#REF!</f>
        <v>#REF!</v>
      </c>
      <c r="P354" s="84" t="e">
        <f>Проект!#REF!</f>
        <v>#REF!</v>
      </c>
      <c r="Q354" s="84" t="e">
        <f>Проект!#REF!</f>
        <v>#REF!</v>
      </c>
      <c r="R354" s="48"/>
      <c r="S354" s="94" t="e">
        <f>Проект!#REF!</f>
        <v>#REF!</v>
      </c>
    </row>
    <row r="355" spans="1:19" hidden="1" x14ac:dyDescent="0.2">
      <c r="A355" s="48" t="e">
        <f>Проект!#REF!</f>
        <v>#REF!</v>
      </c>
      <c r="B355" s="48"/>
      <c r="C355" s="73" t="e">
        <f>Проект!#REF!</f>
        <v>#REF!</v>
      </c>
      <c r="D355" s="48" t="e">
        <f>Проект!#REF!</f>
        <v>#REF!</v>
      </c>
      <c r="E355" s="48"/>
      <c r="F355" s="84" t="e">
        <f>Проект!#REF!</f>
        <v>#REF!</v>
      </c>
      <c r="G355" s="84" t="e">
        <f>Проект!#REF!</f>
        <v>#REF!</v>
      </c>
      <c r="H355" s="84" t="e">
        <f>Проект!#REF!</f>
        <v>#REF!</v>
      </c>
      <c r="I355" s="84" t="e">
        <f>Проект!#REF!</f>
        <v>#REF!</v>
      </c>
      <c r="J355" s="84" t="e">
        <f>Проект!#REF!</f>
        <v>#REF!</v>
      </c>
      <c r="K355" s="84" t="e">
        <f>Проект!#REF!</f>
        <v>#REF!</v>
      </c>
      <c r="L355" s="84" t="e">
        <f>Проект!#REF!</f>
        <v>#REF!</v>
      </c>
      <c r="M355" s="84" t="e">
        <f>Проект!#REF!</f>
        <v>#REF!</v>
      </c>
      <c r="N355" s="84" t="e">
        <f>Проект!#REF!</f>
        <v>#REF!</v>
      </c>
      <c r="O355" s="84" t="e">
        <f>Проект!#REF!</f>
        <v>#REF!</v>
      </c>
      <c r="P355" s="84" t="e">
        <f>Проект!#REF!</f>
        <v>#REF!</v>
      </c>
      <c r="Q355" s="84" t="e">
        <f>Проект!#REF!</f>
        <v>#REF!</v>
      </c>
      <c r="R355" s="48"/>
      <c r="S355" s="41"/>
    </row>
    <row r="356" spans="1:19" hidden="1" x14ac:dyDescent="0.2">
      <c r="A356" s="48" t="e">
        <f>Проект!#REF!</f>
        <v>#REF!</v>
      </c>
      <c r="B356" s="48"/>
      <c r="C356" s="73" t="e">
        <f>Проект!#REF!</f>
        <v>#REF!</v>
      </c>
      <c r="D356" s="48" t="e">
        <f>Проект!#REF!</f>
        <v>#REF!</v>
      </c>
      <c r="E356" s="48"/>
      <c r="F356" s="84" t="e">
        <f>Проект!#REF!</f>
        <v>#REF!</v>
      </c>
      <c r="G356" s="84" t="e">
        <f>Проект!#REF!</f>
        <v>#REF!</v>
      </c>
      <c r="H356" s="84" t="e">
        <f>Проект!#REF!</f>
        <v>#REF!</v>
      </c>
      <c r="I356" s="84" t="e">
        <f>Проект!#REF!</f>
        <v>#REF!</v>
      </c>
      <c r="J356" s="84" t="e">
        <f>Проект!#REF!</f>
        <v>#REF!</v>
      </c>
      <c r="K356" s="84" t="e">
        <f>Проект!#REF!</f>
        <v>#REF!</v>
      </c>
      <c r="L356" s="84" t="e">
        <f>Проект!#REF!</f>
        <v>#REF!</v>
      </c>
      <c r="M356" s="84" t="e">
        <f>Проект!#REF!</f>
        <v>#REF!</v>
      </c>
      <c r="N356" s="84" t="e">
        <f>Проект!#REF!</f>
        <v>#REF!</v>
      </c>
      <c r="O356" s="84" t="e">
        <f>Проект!#REF!</f>
        <v>#REF!</v>
      </c>
      <c r="P356" s="84" t="e">
        <f>Проект!#REF!</f>
        <v>#REF!</v>
      </c>
      <c r="Q356" s="84" t="e">
        <f>Проект!#REF!</f>
        <v>#REF!</v>
      </c>
      <c r="R356" s="48"/>
      <c r="S356" s="41"/>
    </row>
    <row r="357" spans="1:19" ht="11.25" customHeight="1" x14ac:dyDescent="0.2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1"/>
    </row>
    <row r="358" spans="1:19" ht="11.25" customHeight="1" x14ac:dyDescent="0.2">
      <c r="A358" s="130" t="str">
        <f ca="1">Проект!$A$636</f>
        <v xml:space="preserve"> = Итого</v>
      </c>
      <c r="B358" s="48"/>
      <c r="C358" s="73" t="str">
        <f ca="1">Проект!$C$636</f>
        <v>руб.</v>
      </c>
      <c r="D358" s="48"/>
      <c r="E358" s="48"/>
      <c r="F358" s="84">
        <f>Проект!$F$636</f>
        <v>36000000</v>
      </c>
      <c r="G358" s="84">
        <f>Проект!$G$636</f>
        <v>84000000</v>
      </c>
      <c r="H358" s="84">
        <f>Проект!$H$636</f>
        <v>120000000</v>
      </c>
      <c r="I358" s="84">
        <f>Проект!$I$636</f>
        <v>120000000</v>
      </c>
      <c r="J358" s="84">
        <f>Проект!$J$636</f>
        <v>120000000</v>
      </c>
      <c r="K358" s="84" t="e">
        <f>Проект!#REF!</f>
        <v>#REF!</v>
      </c>
      <c r="L358" s="84" t="e">
        <f>Проект!#REF!</f>
        <v>#REF!</v>
      </c>
      <c r="M358" s="84" t="e">
        <f>Проект!#REF!</f>
        <v>#REF!</v>
      </c>
      <c r="N358" s="84" t="e">
        <f>Проект!#REF!</f>
        <v>#REF!</v>
      </c>
      <c r="O358" s="84" t="e">
        <f>Проект!#REF!</f>
        <v>#REF!</v>
      </c>
      <c r="P358" s="84" t="e">
        <f>Проект!#REF!</f>
        <v>#REF!</v>
      </c>
      <c r="Q358" s="84">
        <f>Проект!$K$636</f>
        <v>120000000</v>
      </c>
      <c r="R358" s="48"/>
      <c r="S358" s="95">
        <f>Проект!$M$636</f>
        <v>600000000</v>
      </c>
    </row>
    <row r="359" spans="1:19" hidden="1" x14ac:dyDescent="0.2">
      <c r="A359" s="48" t="str">
        <f ca="1">Проект!$A$637</f>
        <v xml:space="preserve">    к оплате от покупателей (без НДС)</v>
      </c>
      <c r="B359" s="48"/>
      <c r="C359" s="73" t="str">
        <f ca="1">Проект!$C$637</f>
        <v>руб.</v>
      </c>
      <c r="D359" s="48"/>
      <c r="E359" s="48"/>
      <c r="F359" s="84">
        <f>Проект!$F$637</f>
        <v>36000000</v>
      </c>
      <c r="G359" s="84">
        <f>Проект!$G$637</f>
        <v>84000000</v>
      </c>
      <c r="H359" s="84">
        <f>Проект!$H$637</f>
        <v>120000000</v>
      </c>
      <c r="I359" s="84">
        <f>Проект!$I$637</f>
        <v>120000000</v>
      </c>
      <c r="J359" s="84">
        <f>Проект!$J$637</f>
        <v>120000000</v>
      </c>
      <c r="K359" s="84" t="e">
        <f>Проект!#REF!</f>
        <v>#REF!</v>
      </c>
      <c r="L359" s="84" t="e">
        <f>Проект!#REF!</f>
        <v>#REF!</v>
      </c>
      <c r="M359" s="84" t="e">
        <f>Проект!#REF!</f>
        <v>#REF!</v>
      </c>
      <c r="N359" s="84" t="e">
        <f>Проект!#REF!</f>
        <v>#REF!</v>
      </c>
      <c r="O359" s="84" t="e">
        <f>Проект!#REF!</f>
        <v>#REF!</v>
      </c>
      <c r="P359" s="84" t="e">
        <f>Проект!#REF!</f>
        <v>#REF!</v>
      </c>
      <c r="Q359" s="84">
        <f>Проект!$K$637</f>
        <v>120000000</v>
      </c>
      <c r="R359" s="48"/>
      <c r="S359" s="94">
        <f>Проект!$M$637</f>
        <v>600000000</v>
      </c>
    </row>
    <row r="360" spans="1:19" hidden="1" x14ac:dyDescent="0.2">
      <c r="A360" s="48" t="str">
        <f ca="1">Проект!$A$638</f>
        <v xml:space="preserve">    в т.ч. акцизов, налогов и пошлин</v>
      </c>
      <c r="B360" s="48"/>
      <c r="C360" s="73" t="str">
        <f ca="1">Проект!$C$638</f>
        <v>руб.</v>
      </c>
      <c r="D360" s="48"/>
      <c r="E360" s="48"/>
      <c r="F360" s="84">
        <f>Проект!$F$638</f>
        <v>0</v>
      </c>
      <c r="G360" s="84">
        <f>Проект!$G$638</f>
        <v>0</v>
      </c>
      <c r="H360" s="84">
        <f>Проект!$H$638</f>
        <v>0</v>
      </c>
      <c r="I360" s="84">
        <f>Проект!$I$638</f>
        <v>0</v>
      </c>
      <c r="J360" s="84">
        <f>Проект!$J$638</f>
        <v>0</v>
      </c>
      <c r="K360" s="84" t="e">
        <f>Проект!#REF!</f>
        <v>#REF!</v>
      </c>
      <c r="L360" s="84" t="e">
        <f>Проект!#REF!</f>
        <v>#REF!</v>
      </c>
      <c r="M360" s="84" t="e">
        <f>Проект!#REF!</f>
        <v>#REF!</v>
      </c>
      <c r="N360" s="84" t="e">
        <f>Проект!#REF!</f>
        <v>#REF!</v>
      </c>
      <c r="O360" s="84" t="e">
        <f>Проект!#REF!</f>
        <v>#REF!</v>
      </c>
      <c r="P360" s="84" t="e">
        <f>Проект!#REF!</f>
        <v>#REF!</v>
      </c>
      <c r="Q360" s="84">
        <f>Проект!$K$638</f>
        <v>0</v>
      </c>
      <c r="R360" s="48"/>
      <c r="S360" s="94">
        <f>Проект!$M$638</f>
        <v>0</v>
      </c>
    </row>
    <row r="361" spans="1:19" hidden="1" x14ac:dyDescent="0.2">
      <c r="A361" s="48" t="str">
        <f ca="1">Проект!$A$639</f>
        <v xml:space="preserve">    НДС на поставленную продукцию</v>
      </c>
      <c r="B361" s="48"/>
      <c r="C361" s="73" t="str">
        <f ca="1">Проект!$C$639</f>
        <v>руб.</v>
      </c>
      <c r="D361" s="48"/>
      <c r="E361" s="48"/>
      <c r="F361" s="84">
        <f>Проект!$F$639</f>
        <v>0</v>
      </c>
      <c r="G361" s="84">
        <f>Проект!$G$639</f>
        <v>0</v>
      </c>
      <c r="H361" s="84">
        <f>Проект!$H$639</f>
        <v>0</v>
      </c>
      <c r="I361" s="84">
        <f>Проект!$I$639</f>
        <v>0</v>
      </c>
      <c r="J361" s="84">
        <f>Проект!$J$639</f>
        <v>0</v>
      </c>
      <c r="K361" s="84" t="e">
        <f>Проект!#REF!</f>
        <v>#REF!</v>
      </c>
      <c r="L361" s="84" t="e">
        <f>Проект!#REF!</f>
        <v>#REF!</v>
      </c>
      <c r="M361" s="84" t="e">
        <f>Проект!#REF!</f>
        <v>#REF!</v>
      </c>
      <c r="N361" s="84" t="e">
        <f>Проект!#REF!</f>
        <v>#REF!</v>
      </c>
      <c r="O361" s="84" t="e">
        <f>Проект!#REF!</f>
        <v>#REF!</v>
      </c>
      <c r="P361" s="84" t="e">
        <f>Проект!#REF!</f>
        <v>#REF!</v>
      </c>
      <c r="Q361" s="84">
        <f>Проект!$K$639</f>
        <v>0</v>
      </c>
      <c r="R361" s="48"/>
      <c r="S361" s="94">
        <f>Проект!$M$639</f>
        <v>0</v>
      </c>
    </row>
    <row r="362" spans="1:19" hidden="1" x14ac:dyDescent="0.2">
      <c r="A362" s="48" t="str">
        <f ca="1">Проект!$A$640</f>
        <v xml:space="preserve">    график оплаты (без НДС)</v>
      </c>
      <c r="B362" s="48"/>
      <c r="C362" s="73" t="str">
        <f ca="1">Проект!$C$640</f>
        <v>руб.</v>
      </c>
      <c r="D362" s="48"/>
      <c r="E362" s="48"/>
      <c r="F362" s="84">
        <f>Проект!$F$640</f>
        <v>36000000</v>
      </c>
      <c r="G362" s="84">
        <f>Проект!$G$640</f>
        <v>84000000</v>
      </c>
      <c r="H362" s="84">
        <f>Проект!$H$640</f>
        <v>120000000</v>
      </c>
      <c r="I362" s="84">
        <f>Проект!$I$640</f>
        <v>120000000</v>
      </c>
      <c r="J362" s="84">
        <f>Проект!$J$640</f>
        <v>120000000</v>
      </c>
      <c r="K362" s="84" t="e">
        <f>Проект!#REF!</f>
        <v>#REF!</v>
      </c>
      <c r="L362" s="84" t="e">
        <f>Проект!#REF!</f>
        <v>#REF!</v>
      </c>
      <c r="M362" s="84" t="e">
        <f>Проект!#REF!</f>
        <v>#REF!</v>
      </c>
      <c r="N362" s="84" t="e">
        <f>Проект!#REF!</f>
        <v>#REF!</v>
      </c>
      <c r="O362" s="84" t="e">
        <f>Проект!#REF!</f>
        <v>#REF!</v>
      </c>
      <c r="P362" s="84" t="e">
        <f>Проект!#REF!</f>
        <v>#REF!</v>
      </c>
      <c r="Q362" s="84">
        <f>Проект!$K$640</f>
        <v>120000000</v>
      </c>
      <c r="R362" s="48"/>
      <c r="S362" s="94">
        <f>Проект!$M$640</f>
        <v>600000000</v>
      </c>
    </row>
    <row r="363" spans="1:19" hidden="1" x14ac:dyDescent="0.2">
      <c r="A363" s="48" t="str">
        <f ca="1">Проект!$A$641</f>
        <v xml:space="preserve">    полученный НДС</v>
      </c>
      <c r="B363" s="48"/>
      <c r="C363" s="73" t="str">
        <f ca="1">Проект!$C$641</f>
        <v>руб.</v>
      </c>
      <c r="D363" s="48"/>
      <c r="E363" s="48"/>
      <c r="F363" s="84">
        <f>Проект!$F$641</f>
        <v>0</v>
      </c>
      <c r="G363" s="84">
        <f>Проект!$G$641</f>
        <v>0</v>
      </c>
      <c r="H363" s="84">
        <f>Проект!$H$641</f>
        <v>0</v>
      </c>
      <c r="I363" s="84">
        <f>Проект!$I$641</f>
        <v>0</v>
      </c>
      <c r="J363" s="84">
        <f>Проект!$J$641</f>
        <v>0</v>
      </c>
      <c r="K363" s="84" t="e">
        <f>Проект!#REF!</f>
        <v>#REF!</v>
      </c>
      <c r="L363" s="84" t="e">
        <f>Проект!#REF!</f>
        <v>#REF!</v>
      </c>
      <c r="M363" s="84" t="e">
        <f>Проект!#REF!</f>
        <v>#REF!</v>
      </c>
      <c r="N363" s="84" t="e">
        <f>Проект!#REF!</f>
        <v>#REF!</v>
      </c>
      <c r="O363" s="84" t="e">
        <f>Проект!#REF!</f>
        <v>#REF!</v>
      </c>
      <c r="P363" s="84" t="e">
        <f>Проект!#REF!</f>
        <v>#REF!</v>
      </c>
      <c r="Q363" s="84">
        <f>Проект!$K$641</f>
        <v>0</v>
      </c>
      <c r="R363" s="48"/>
      <c r="S363" s="94">
        <f>Проект!$M$641</f>
        <v>0</v>
      </c>
    </row>
    <row r="364" spans="1:19" hidden="1" x14ac:dyDescent="0.2">
      <c r="A364" s="48" t="str">
        <f ca="1">Проект!$A$642</f>
        <v xml:space="preserve">    дебиторская задолженность</v>
      </c>
      <c r="B364" s="48"/>
      <c r="C364" s="73" t="str">
        <f ca="1">Проект!$C$642</f>
        <v>руб.</v>
      </c>
      <c r="D364" s="101" t="str">
        <f>Проект!$D$642</f>
        <v>int_end</v>
      </c>
      <c r="E364" s="48"/>
      <c r="F364" s="84">
        <f>Проект!$F$642</f>
        <v>0</v>
      </c>
      <c r="G364" s="84">
        <f>Проект!$G$642</f>
        <v>0</v>
      </c>
      <c r="H364" s="84">
        <f>Проект!$H$642</f>
        <v>0</v>
      </c>
      <c r="I364" s="84">
        <f>Проект!$I$642</f>
        <v>0</v>
      </c>
      <c r="J364" s="84">
        <f>Проект!$J$642</f>
        <v>0</v>
      </c>
      <c r="K364" s="84" t="e">
        <f>Проект!#REF!</f>
        <v>#REF!</v>
      </c>
      <c r="L364" s="84" t="e">
        <f>Проект!#REF!</f>
        <v>#REF!</v>
      </c>
      <c r="M364" s="84" t="e">
        <f>Проект!#REF!</f>
        <v>#REF!</v>
      </c>
      <c r="N364" s="84" t="e">
        <f>Проект!#REF!</f>
        <v>#REF!</v>
      </c>
      <c r="O364" s="84" t="e">
        <f>Проект!#REF!</f>
        <v>#REF!</v>
      </c>
      <c r="P364" s="84" t="e">
        <f>Проект!#REF!</f>
        <v>#REF!</v>
      </c>
      <c r="Q364" s="84">
        <f>Проект!$K$642</f>
        <v>0</v>
      </c>
      <c r="R364" s="48"/>
      <c r="S364" s="41"/>
    </row>
    <row r="365" spans="1:19" hidden="1" x14ac:dyDescent="0.2">
      <c r="A365" s="48" t="str">
        <f ca="1">Проект!$A$643</f>
        <v xml:space="preserve">    полученные авансы</v>
      </c>
      <c r="B365" s="48"/>
      <c r="C365" s="73" t="str">
        <f ca="1">Проект!$C$643</f>
        <v>руб.</v>
      </c>
      <c r="D365" s="101" t="str">
        <f>Проект!$D$643</f>
        <v>int_end</v>
      </c>
      <c r="E365" s="48"/>
      <c r="F365" s="84">
        <f>Проект!$F$643</f>
        <v>0</v>
      </c>
      <c r="G365" s="84">
        <f>Проект!$G$643</f>
        <v>0</v>
      </c>
      <c r="H365" s="84">
        <f>Проект!$H$643</f>
        <v>0</v>
      </c>
      <c r="I365" s="84">
        <f>Проект!$I$643</f>
        <v>0</v>
      </c>
      <c r="J365" s="84">
        <f>Проект!$J$643</f>
        <v>0</v>
      </c>
      <c r="K365" s="84" t="e">
        <f>Проект!#REF!</f>
        <v>#REF!</v>
      </c>
      <c r="L365" s="84" t="e">
        <f>Проект!#REF!</f>
        <v>#REF!</v>
      </c>
      <c r="M365" s="84" t="e">
        <f>Проект!#REF!</f>
        <v>#REF!</v>
      </c>
      <c r="N365" s="84" t="e">
        <f>Проект!#REF!</f>
        <v>#REF!</v>
      </c>
      <c r="O365" s="84" t="e">
        <f>Проект!#REF!</f>
        <v>#REF!</v>
      </c>
      <c r="P365" s="84" t="e">
        <f>Проект!#REF!</f>
        <v>#REF!</v>
      </c>
      <c r="Q365" s="84">
        <f>Проект!$K$643</f>
        <v>0</v>
      </c>
      <c r="R365" s="48"/>
      <c r="S365" s="41"/>
    </row>
    <row r="368" spans="1:19" ht="15.9" customHeight="1" thickBot="1" x14ac:dyDescent="0.25">
      <c r="A368" s="166" t="str">
        <f ca="1">Проект!$A$646</f>
        <v xml:space="preserve">         ОБЪЕМЫ ПРОИЗВОДСТВА (в единицах)</v>
      </c>
      <c r="B368" s="166"/>
      <c r="C368" s="166"/>
      <c r="D368" s="166"/>
      <c r="E368" s="166"/>
      <c r="F368" s="178" t="str">
        <f>Проект!$F$646</f>
        <v>4/ 2020</v>
      </c>
      <c r="G368" s="178" t="str">
        <f>Проект!$G$646</f>
        <v>5/ 2020</v>
      </c>
      <c r="H368" s="178" t="str">
        <f>Проект!$H$646</f>
        <v>6/ 2020</v>
      </c>
      <c r="I368" s="178" t="str">
        <f>Проект!$I$646</f>
        <v>7/ 2020</v>
      </c>
      <c r="J368" s="178" t="str">
        <f>Проект!$J$646</f>
        <v>8/ 2020</v>
      </c>
      <c r="K368" s="178" t="e">
        <f>Проект!#REF!</f>
        <v>#REF!</v>
      </c>
      <c r="L368" s="178" t="e">
        <f>Проект!#REF!</f>
        <v>#REF!</v>
      </c>
      <c r="M368" s="178" t="e">
        <f>Проект!#REF!</f>
        <v>#REF!</v>
      </c>
      <c r="N368" s="178" t="e">
        <f>Проект!#REF!</f>
        <v>#REF!</v>
      </c>
      <c r="O368" s="178" t="e">
        <f>Проект!#REF!</f>
        <v>#REF!</v>
      </c>
      <c r="P368" s="178" t="e">
        <f>Проект!#REF!</f>
        <v>#REF!</v>
      </c>
      <c r="Q368" s="178" t="str">
        <f>Проект!$K$646</f>
        <v>9/ 2020</v>
      </c>
      <c r="R368" s="166"/>
      <c r="S368" s="195" t="str">
        <f ca="1">Проект!$M$646</f>
        <v>ИТОГО</v>
      </c>
    </row>
    <row r="369" spans="1:19" ht="12" customHeight="1" thickTop="1" x14ac:dyDescent="0.2">
      <c r="A369" s="48"/>
      <c r="B369" s="48"/>
      <c r="C369" s="48"/>
      <c r="D369" s="48">
        <f>Проект!$D$647</f>
        <v>0</v>
      </c>
      <c r="E369" s="48">
        <f>Проект!$E$647</f>
        <v>4</v>
      </c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1"/>
    </row>
    <row r="370" spans="1:19" ht="11.25" customHeight="1" x14ac:dyDescent="0.2">
      <c r="A370" s="48" t="str">
        <f>Проект!$A$648</f>
        <v>Наименование товара</v>
      </c>
      <c r="B370" s="330"/>
      <c r="C370" s="73"/>
      <c r="D370" s="48"/>
      <c r="E370" s="48"/>
      <c r="F370" s="353" t="str">
        <f>Проект!$F$648</f>
        <v/>
      </c>
      <c r="G370" s="353" t="str">
        <f>Проект!$G$648</f>
        <v/>
      </c>
      <c r="H370" s="353" t="str">
        <f>Проект!$H$648</f>
        <v/>
      </c>
      <c r="I370" s="353" t="str">
        <f>Проект!$I$648</f>
        <v/>
      </c>
      <c r="J370" s="353" t="str">
        <f>Проект!$J$648</f>
        <v/>
      </c>
      <c r="K370" s="353" t="e">
        <f>Проект!#REF!</f>
        <v>#REF!</v>
      </c>
      <c r="L370" s="353" t="e">
        <f>Проект!#REF!</f>
        <v>#REF!</v>
      </c>
      <c r="M370" s="353" t="e">
        <f>Проект!#REF!</f>
        <v>#REF!</v>
      </c>
      <c r="N370" s="353" t="e">
        <f>Проект!#REF!</f>
        <v>#REF!</v>
      </c>
      <c r="O370" s="353" t="e">
        <f>Проект!#REF!</f>
        <v>#REF!</v>
      </c>
      <c r="P370" s="353" t="e">
        <f>Проект!#REF!</f>
        <v>#REF!</v>
      </c>
      <c r="Q370" s="353" t="str">
        <f>Проект!$K$648</f>
        <v/>
      </c>
      <c r="R370" s="48"/>
      <c r="S370" s="354"/>
    </row>
    <row r="371" spans="1:19" ht="11.25" customHeight="1" x14ac:dyDescent="0.2">
      <c r="A371" s="41" t="str">
        <f ca="1">Проект!$A$649</f>
        <v xml:space="preserve">    план производства</v>
      </c>
      <c r="B371" s="72"/>
      <c r="C371" s="73" t="str">
        <f>Проект!$C$649</f>
        <v>шт</v>
      </c>
      <c r="D371" s="74" t="str">
        <f>Проект!$D$649</f>
        <v>1_01</v>
      </c>
      <c r="E371" s="48"/>
      <c r="F371" s="352">
        <f>Проект!$F$649</f>
        <v>0</v>
      </c>
      <c r="G371" s="352">
        <f>Проект!$G$649</f>
        <v>0</v>
      </c>
      <c r="H371" s="352">
        <f>Проект!$H$649</f>
        <v>0</v>
      </c>
      <c r="I371" s="352">
        <f>Проект!$I$649</f>
        <v>0</v>
      </c>
      <c r="J371" s="352">
        <f>Проект!$J$649</f>
        <v>0</v>
      </c>
      <c r="K371" s="352" t="e">
        <f>Проект!#REF!</f>
        <v>#REF!</v>
      </c>
      <c r="L371" s="352" t="e">
        <f>Проект!#REF!</f>
        <v>#REF!</v>
      </c>
      <c r="M371" s="352" t="e">
        <f>Проект!#REF!</f>
        <v>#REF!</v>
      </c>
      <c r="N371" s="352" t="e">
        <f>Проект!#REF!</f>
        <v>#REF!</v>
      </c>
      <c r="O371" s="352" t="e">
        <f>Проект!#REF!</f>
        <v>#REF!</v>
      </c>
      <c r="P371" s="352" t="e">
        <f>Проект!#REF!</f>
        <v>#REF!</v>
      </c>
      <c r="Q371" s="352">
        <f>Проект!$K$649</f>
        <v>0</v>
      </c>
      <c r="R371" s="106"/>
      <c r="S371" s="94">
        <f>Проект!$M$649</f>
        <v>0</v>
      </c>
    </row>
    <row r="372" spans="1:19" ht="11.25" customHeight="1" x14ac:dyDescent="0.2">
      <c r="A372" s="41" t="str">
        <f ca="1">Проект!$A$650</f>
        <v xml:space="preserve">    план реализации</v>
      </c>
      <c r="B372" s="48"/>
      <c r="C372" s="73" t="str">
        <f>Проект!$C$650</f>
        <v>шт</v>
      </c>
      <c r="D372" s="101" t="str">
        <f>Проект!$D$650</f>
        <v>1_01</v>
      </c>
      <c r="E372" s="48"/>
      <c r="F372" s="83">
        <f>Проект!$F$650</f>
        <v>0</v>
      </c>
      <c r="G372" s="83">
        <f>Проект!$G$650</f>
        <v>0</v>
      </c>
      <c r="H372" s="83">
        <f>Проект!$H$650</f>
        <v>0</v>
      </c>
      <c r="I372" s="83">
        <f>Проект!$I$650</f>
        <v>0</v>
      </c>
      <c r="J372" s="83">
        <f>Проект!$J$650</f>
        <v>0</v>
      </c>
      <c r="K372" s="83" t="e">
        <f>Проект!#REF!</f>
        <v>#REF!</v>
      </c>
      <c r="L372" s="83" t="e">
        <f>Проект!#REF!</f>
        <v>#REF!</v>
      </c>
      <c r="M372" s="83" t="e">
        <f>Проект!#REF!</f>
        <v>#REF!</v>
      </c>
      <c r="N372" s="83" t="e">
        <f>Проект!#REF!</f>
        <v>#REF!</v>
      </c>
      <c r="O372" s="83" t="e">
        <f>Проект!#REF!</f>
        <v>#REF!</v>
      </c>
      <c r="P372" s="83" t="e">
        <f>Проект!#REF!</f>
        <v>#REF!</v>
      </c>
      <c r="Q372" s="83">
        <f>Проект!$K$650</f>
        <v>0</v>
      </c>
      <c r="R372" s="106"/>
      <c r="S372" s="94">
        <f>Проект!$M$650</f>
        <v>0</v>
      </c>
    </row>
    <row r="373" spans="1:19" ht="11.25" customHeight="1" x14ac:dyDescent="0.2">
      <c r="A373" s="41" t="str">
        <f ca="1">Проект!$A$651</f>
        <v xml:space="preserve">    склад готовой продукции</v>
      </c>
      <c r="B373" s="48"/>
      <c r="C373" s="73" t="str">
        <f>Проект!$C$651</f>
        <v>шт</v>
      </c>
      <c r="D373" s="101" t="str">
        <f>Проект!$D$651</f>
        <v>1_01;int_end</v>
      </c>
      <c r="E373" s="48">
        <f>Проект!$E$651</f>
        <v>0</v>
      </c>
      <c r="F373" s="83">
        <f>Проект!$F$651</f>
        <v>0</v>
      </c>
      <c r="G373" s="83">
        <f>Проект!$G$651</f>
        <v>0</v>
      </c>
      <c r="H373" s="83">
        <f>Проект!$H$651</f>
        <v>0</v>
      </c>
      <c r="I373" s="83">
        <f>Проект!$I$651</f>
        <v>0</v>
      </c>
      <c r="J373" s="83">
        <f>Проект!$J$651</f>
        <v>0</v>
      </c>
      <c r="K373" s="83" t="e">
        <f>Проект!#REF!</f>
        <v>#REF!</v>
      </c>
      <c r="L373" s="83" t="e">
        <f>Проект!#REF!</f>
        <v>#REF!</v>
      </c>
      <c r="M373" s="83" t="e">
        <f>Проект!#REF!</f>
        <v>#REF!</v>
      </c>
      <c r="N373" s="83" t="e">
        <f>Проект!#REF!</f>
        <v>#REF!</v>
      </c>
      <c r="O373" s="83" t="e">
        <f>Проект!#REF!</f>
        <v>#REF!</v>
      </c>
      <c r="P373" s="83" t="e">
        <f>Проект!#REF!</f>
        <v>#REF!</v>
      </c>
      <c r="Q373" s="83">
        <f>Проект!$K$651</f>
        <v>0</v>
      </c>
      <c r="R373" s="106"/>
      <c r="S373" s="94"/>
    </row>
    <row r="374" spans="1:19" ht="11.25" customHeight="1" x14ac:dyDescent="0.2">
      <c r="A374" s="48" t="e">
        <f>Проект!#REF!</f>
        <v>#REF!</v>
      </c>
      <c r="B374" s="330"/>
      <c r="C374" s="73"/>
      <c r="D374" s="48"/>
      <c r="E374" s="48"/>
      <c r="F374" s="353" t="e">
        <f>Проект!#REF!</f>
        <v>#REF!</v>
      </c>
      <c r="G374" s="353" t="e">
        <f>Проект!#REF!</f>
        <v>#REF!</v>
      </c>
      <c r="H374" s="353" t="e">
        <f>Проект!#REF!</f>
        <v>#REF!</v>
      </c>
      <c r="I374" s="353" t="e">
        <f>Проект!#REF!</f>
        <v>#REF!</v>
      </c>
      <c r="J374" s="353" t="e">
        <f>Проект!#REF!</f>
        <v>#REF!</v>
      </c>
      <c r="K374" s="353" t="e">
        <f>Проект!#REF!</f>
        <v>#REF!</v>
      </c>
      <c r="L374" s="353" t="e">
        <f>Проект!#REF!</f>
        <v>#REF!</v>
      </c>
      <c r="M374" s="353" t="e">
        <f>Проект!#REF!</f>
        <v>#REF!</v>
      </c>
      <c r="N374" s="353" t="e">
        <f>Проект!#REF!</f>
        <v>#REF!</v>
      </c>
      <c r="O374" s="353" t="e">
        <f>Проект!#REF!</f>
        <v>#REF!</v>
      </c>
      <c r="P374" s="353" t="e">
        <f>Проект!#REF!</f>
        <v>#REF!</v>
      </c>
      <c r="Q374" s="353" t="e">
        <f>Проект!#REF!</f>
        <v>#REF!</v>
      </c>
      <c r="R374" s="48"/>
      <c r="S374" s="354"/>
    </row>
    <row r="375" spans="1:19" ht="11.25" customHeight="1" x14ac:dyDescent="0.2">
      <c r="A375" s="41" t="e">
        <f>Проект!#REF!</f>
        <v>#REF!</v>
      </c>
      <c r="B375" s="72"/>
      <c r="C375" s="73" t="e">
        <f>Проект!#REF!</f>
        <v>#REF!</v>
      </c>
      <c r="D375" s="74" t="e">
        <f>Проект!#REF!</f>
        <v>#REF!</v>
      </c>
      <c r="E375" s="48"/>
      <c r="F375" s="352" t="e">
        <f>Проект!#REF!</f>
        <v>#REF!</v>
      </c>
      <c r="G375" s="352" t="e">
        <f>Проект!#REF!</f>
        <v>#REF!</v>
      </c>
      <c r="H375" s="352" t="e">
        <f>Проект!#REF!</f>
        <v>#REF!</v>
      </c>
      <c r="I375" s="352" t="e">
        <f>Проект!#REF!</f>
        <v>#REF!</v>
      </c>
      <c r="J375" s="352" t="e">
        <f>Проект!#REF!</f>
        <v>#REF!</v>
      </c>
      <c r="K375" s="352" t="e">
        <f>Проект!#REF!</f>
        <v>#REF!</v>
      </c>
      <c r="L375" s="352" t="e">
        <f>Проект!#REF!</f>
        <v>#REF!</v>
      </c>
      <c r="M375" s="352" t="e">
        <f>Проект!#REF!</f>
        <v>#REF!</v>
      </c>
      <c r="N375" s="352" t="e">
        <f>Проект!#REF!</f>
        <v>#REF!</v>
      </c>
      <c r="O375" s="352" t="e">
        <f>Проект!#REF!</f>
        <v>#REF!</v>
      </c>
      <c r="P375" s="352" t="e">
        <f>Проект!#REF!</f>
        <v>#REF!</v>
      </c>
      <c r="Q375" s="352" t="e">
        <f>Проект!#REF!</f>
        <v>#REF!</v>
      </c>
      <c r="R375" s="106"/>
      <c r="S375" s="94" t="e">
        <f>Проект!#REF!</f>
        <v>#REF!</v>
      </c>
    </row>
    <row r="376" spans="1:19" ht="11.25" customHeight="1" x14ac:dyDescent="0.2">
      <c r="A376" s="41" t="e">
        <f>Проект!#REF!</f>
        <v>#REF!</v>
      </c>
      <c r="B376" s="48"/>
      <c r="C376" s="73" t="e">
        <f>Проект!#REF!</f>
        <v>#REF!</v>
      </c>
      <c r="D376" s="101" t="e">
        <f>Проект!#REF!</f>
        <v>#REF!</v>
      </c>
      <c r="E376" s="48"/>
      <c r="F376" s="83" t="e">
        <f>Проект!#REF!</f>
        <v>#REF!</v>
      </c>
      <c r="G376" s="83" t="e">
        <f>Проект!#REF!</f>
        <v>#REF!</v>
      </c>
      <c r="H376" s="83" t="e">
        <f>Проект!#REF!</f>
        <v>#REF!</v>
      </c>
      <c r="I376" s="83" t="e">
        <f>Проект!#REF!</f>
        <v>#REF!</v>
      </c>
      <c r="J376" s="83" t="e">
        <f>Проект!#REF!</f>
        <v>#REF!</v>
      </c>
      <c r="K376" s="83" t="e">
        <f>Проект!#REF!</f>
        <v>#REF!</v>
      </c>
      <c r="L376" s="83" t="e">
        <f>Проект!#REF!</f>
        <v>#REF!</v>
      </c>
      <c r="M376" s="83" t="e">
        <f>Проект!#REF!</f>
        <v>#REF!</v>
      </c>
      <c r="N376" s="83" t="e">
        <f>Проект!#REF!</f>
        <v>#REF!</v>
      </c>
      <c r="O376" s="83" t="e">
        <f>Проект!#REF!</f>
        <v>#REF!</v>
      </c>
      <c r="P376" s="83" t="e">
        <f>Проект!#REF!</f>
        <v>#REF!</v>
      </c>
      <c r="Q376" s="83" t="e">
        <f>Проект!#REF!</f>
        <v>#REF!</v>
      </c>
      <c r="R376" s="106"/>
      <c r="S376" s="94" t="e">
        <f>Проект!#REF!</f>
        <v>#REF!</v>
      </c>
    </row>
    <row r="377" spans="1:19" ht="11.25" customHeight="1" x14ac:dyDescent="0.2">
      <c r="A377" s="41" t="e">
        <f>Проект!#REF!</f>
        <v>#REF!</v>
      </c>
      <c r="B377" s="48"/>
      <c r="C377" s="73" t="e">
        <f>Проект!#REF!</f>
        <v>#REF!</v>
      </c>
      <c r="D377" s="101" t="e">
        <f>Проект!#REF!</f>
        <v>#REF!</v>
      </c>
      <c r="E377" s="48" t="e">
        <f>Проект!#REF!</f>
        <v>#REF!</v>
      </c>
      <c r="F377" s="83" t="e">
        <f>Проект!#REF!</f>
        <v>#REF!</v>
      </c>
      <c r="G377" s="83" t="e">
        <f>Проект!#REF!</f>
        <v>#REF!</v>
      </c>
      <c r="H377" s="83" t="e">
        <f>Проект!#REF!</f>
        <v>#REF!</v>
      </c>
      <c r="I377" s="83" t="e">
        <f>Проект!#REF!</f>
        <v>#REF!</v>
      </c>
      <c r="J377" s="83" t="e">
        <f>Проект!#REF!</f>
        <v>#REF!</v>
      </c>
      <c r="K377" s="83" t="e">
        <f>Проект!#REF!</f>
        <v>#REF!</v>
      </c>
      <c r="L377" s="83" t="e">
        <f>Проект!#REF!</f>
        <v>#REF!</v>
      </c>
      <c r="M377" s="83" t="e">
        <f>Проект!#REF!</f>
        <v>#REF!</v>
      </c>
      <c r="N377" s="83" t="e">
        <f>Проект!#REF!</f>
        <v>#REF!</v>
      </c>
      <c r="O377" s="83" t="e">
        <f>Проект!#REF!</f>
        <v>#REF!</v>
      </c>
      <c r="P377" s="83" t="e">
        <f>Проект!#REF!</f>
        <v>#REF!</v>
      </c>
      <c r="Q377" s="83" t="e">
        <f>Проект!#REF!</f>
        <v>#REF!</v>
      </c>
      <c r="R377" s="106"/>
      <c r="S377" s="94"/>
    </row>
    <row r="378" spans="1:19" ht="11.25" customHeight="1" x14ac:dyDescent="0.2">
      <c r="A378" s="48" t="e">
        <f>Проект!#REF!</f>
        <v>#REF!</v>
      </c>
      <c r="B378" s="330"/>
      <c r="C378" s="73"/>
      <c r="D378" s="48"/>
      <c r="E378" s="48"/>
      <c r="F378" s="353" t="e">
        <f>Проект!#REF!</f>
        <v>#REF!</v>
      </c>
      <c r="G378" s="353" t="e">
        <f>Проект!#REF!</f>
        <v>#REF!</v>
      </c>
      <c r="H378" s="353" t="e">
        <f>Проект!#REF!</f>
        <v>#REF!</v>
      </c>
      <c r="I378" s="353" t="e">
        <f>Проект!#REF!</f>
        <v>#REF!</v>
      </c>
      <c r="J378" s="353" t="e">
        <f>Проект!#REF!</f>
        <v>#REF!</v>
      </c>
      <c r="K378" s="353" t="e">
        <f>Проект!#REF!</f>
        <v>#REF!</v>
      </c>
      <c r="L378" s="353" t="e">
        <f>Проект!#REF!</f>
        <v>#REF!</v>
      </c>
      <c r="M378" s="353" t="e">
        <f>Проект!#REF!</f>
        <v>#REF!</v>
      </c>
      <c r="N378" s="353" t="e">
        <f>Проект!#REF!</f>
        <v>#REF!</v>
      </c>
      <c r="O378" s="353" t="e">
        <f>Проект!#REF!</f>
        <v>#REF!</v>
      </c>
      <c r="P378" s="353" t="e">
        <f>Проект!#REF!</f>
        <v>#REF!</v>
      </c>
      <c r="Q378" s="353" t="e">
        <f>Проект!#REF!</f>
        <v>#REF!</v>
      </c>
      <c r="R378" s="48"/>
      <c r="S378" s="354"/>
    </row>
    <row r="379" spans="1:19" ht="11.25" customHeight="1" x14ac:dyDescent="0.2">
      <c r="A379" s="41" t="e">
        <f>Проект!#REF!</f>
        <v>#REF!</v>
      </c>
      <c r="B379" s="72"/>
      <c r="C379" s="73" t="e">
        <f>Проект!#REF!</f>
        <v>#REF!</v>
      </c>
      <c r="D379" s="74" t="e">
        <f>Проект!#REF!</f>
        <v>#REF!</v>
      </c>
      <c r="E379" s="48"/>
      <c r="F379" s="352" t="e">
        <f>Проект!#REF!</f>
        <v>#REF!</v>
      </c>
      <c r="G379" s="352" t="e">
        <f>Проект!#REF!</f>
        <v>#REF!</v>
      </c>
      <c r="H379" s="352" t="e">
        <f>Проект!#REF!</f>
        <v>#REF!</v>
      </c>
      <c r="I379" s="352" t="e">
        <f>Проект!#REF!</f>
        <v>#REF!</v>
      </c>
      <c r="J379" s="352" t="e">
        <f>Проект!#REF!</f>
        <v>#REF!</v>
      </c>
      <c r="K379" s="352" t="e">
        <f>Проект!#REF!</f>
        <v>#REF!</v>
      </c>
      <c r="L379" s="352" t="e">
        <f>Проект!#REF!</f>
        <v>#REF!</v>
      </c>
      <c r="M379" s="352" t="e">
        <f>Проект!#REF!</f>
        <v>#REF!</v>
      </c>
      <c r="N379" s="352" t="e">
        <f>Проект!#REF!</f>
        <v>#REF!</v>
      </c>
      <c r="O379" s="352" t="e">
        <f>Проект!#REF!</f>
        <v>#REF!</v>
      </c>
      <c r="P379" s="352" t="e">
        <f>Проект!#REF!</f>
        <v>#REF!</v>
      </c>
      <c r="Q379" s="352" t="e">
        <f>Проект!#REF!</f>
        <v>#REF!</v>
      </c>
      <c r="R379" s="106"/>
      <c r="S379" s="94" t="e">
        <f>Проект!#REF!</f>
        <v>#REF!</v>
      </c>
    </row>
    <row r="380" spans="1:19" ht="11.25" customHeight="1" x14ac:dyDescent="0.2">
      <c r="A380" s="41" t="e">
        <f>Проект!#REF!</f>
        <v>#REF!</v>
      </c>
      <c r="B380" s="48"/>
      <c r="C380" s="73" t="e">
        <f>Проект!#REF!</f>
        <v>#REF!</v>
      </c>
      <c r="D380" s="101" t="e">
        <f>Проект!#REF!</f>
        <v>#REF!</v>
      </c>
      <c r="E380" s="48"/>
      <c r="F380" s="83" t="e">
        <f>Проект!#REF!</f>
        <v>#REF!</v>
      </c>
      <c r="G380" s="83" t="e">
        <f>Проект!#REF!</f>
        <v>#REF!</v>
      </c>
      <c r="H380" s="83" t="e">
        <f>Проект!#REF!</f>
        <v>#REF!</v>
      </c>
      <c r="I380" s="83" t="e">
        <f>Проект!#REF!</f>
        <v>#REF!</v>
      </c>
      <c r="J380" s="83" t="e">
        <f>Проект!#REF!</f>
        <v>#REF!</v>
      </c>
      <c r="K380" s="83" t="e">
        <f>Проект!#REF!</f>
        <v>#REF!</v>
      </c>
      <c r="L380" s="83" t="e">
        <f>Проект!#REF!</f>
        <v>#REF!</v>
      </c>
      <c r="M380" s="83" t="e">
        <f>Проект!#REF!</f>
        <v>#REF!</v>
      </c>
      <c r="N380" s="83" t="e">
        <f>Проект!#REF!</f>
        <v>#REF!</v>
      </c>
      <c r="O380" s="83" t="e">
        <f>Проект!#REF!</f>
        <v>#REF!</v>
      </c>
      <c r="P380" s="83" t="e">
        <f>Проект!#REF!</f>
        <v>#REF!</v>
      </c>
      <c r="Q380" s="83" t="e">
        <f>Проект!#REF!</f>
        <v>#REF!</v>
      </c>
      <c r="R380" s="106"/>
      <c r="S380" s="94" t="e">
        <f>Проект!#REF!</f>
        <v>#REF!</v>
      </c>
    </row>
    <row r="381" spans="1:19" ht="11.25" customHeight="1" x14ac:dyDescent="0.2">
      <c r="A381" s="41" t="e">
        <f>Проект!#REF!</f>
        <v>#REF!</v>
      </c>
      <c r="B381" s="48"/>
      <c r="C381" s="73" t="e">
        <f>Проект!#REF!</f>
        <v>#REF!</v>
      </c>
      <c r="D381" s="101" t="e">
        <f>Проект!#REF!</f>
        <v>#REF!</v>
      </c>
      <c r="E381" s="48" t="e">
        <f>Проект!#REF!</f>
        <v>#REF!</v>
      </c>
      <c r="F381" s="83" t="e">
        <f>Проект!#REF!</f>
        <v>#REF!</v>
      </c>
      <c r="G381" s="83" t="e">
        <f>Проект!#REF!</f>
        <v>#REF!</v>
      </c>
      <c r="H381" s="83" t="e">
        <f>Проект!#REF!</f>
        <v>#REF!</v>
      </c>
      <c r="I381" s="83" t="e">
        <f>Проект!#REF!</f>
        <v>#REF!</v>
      </c>
      <c r="J381" s="83" t="e">
        <f>Проект!#REF!</f>
        <v>#REF!</v>
      </c>
      <c r="K381" s="83" t="e">
        <f>Проект!#REF!</f>
        <v>#REF!</v>
      </c>
      <c r="L381" s="83" t="e">
        <f>Проект!#REF!</f>
        <v>#REF!</v>
      </c>
      <c r="M381" s="83" t="e">
        <f>Проект!#REF!</f>
        <v>#REF!</v>
      </c>
      <c r="N381" s="83" t="e">
        <f>Проект!#REF!</f>
        <v>#REF!</v>
      </c>
      <c r="O381" s="83" t="e">
        <f>Проект!#REF!</f>
        <v>#REF!</v>
      </c>
      <c r="P381" s="83" t="e">
        <f>Проект!#REF!</f>
        <v>#REF!</v>
      </c>
      <c r="Q381" s="83" t="e">
        <f>Проект!#REF!</f>
        <v>#REF!</v>
      </c>
      <c r="R381" s="106"/>
      <c r="S381" s="94"/>
    </row>
    <row r="382" spans="1:19" ht="11.25" customHeight="1" x14ac:dyDescent="0.2">
      <c r="A382" s="48" t="e">
        <f>Проект!#REF!</f>
        <v>#REF!</v>
      </c>
      <c r="B382" s="330"/>
      <c r="C382" s="73"/>
      <c r="D382" s="48"/>
      <c r="E382" s="48"/>
      <c r="F382" s="353" t="e">
        <f>Проект!#REF!</f>
        <v>#REF!</v>
      </c>
      <c r="G382" s="353" t="e">
        <f>Проект!#REF!</f>
        <v>#REF!</v>
      </c>
      <c r="H382" s="353" t="e">
        <f>Проект!#REF!</f>
        <v>#REF!</v>
      </c>
      <c r="I382" s="353" t="e">
        <f>Проект!#REF!</f>
        <v>#REF!</v>
      </c>
      <c r="J382" s="353" t="e">
        <f>Проект!#REF!</f>
        <v>#REF!</v>
      </c>
      <c r="K382" s="353" t="e">
        <f>Проект!#REF!</f>
        <v>#REF!</v>
      </c>
      <c r="L382" s="353" t="e">
        <f>Проект!#REF!</f>
        <v>#REF!</v>
      </c>
      <c r="M382" s="353" t="e">
        <f>Проект!#REF!</f>
        <v>#REF!</v>
      </c>
      <c r="N382" s="353" t="e">
        <f>Проект!#REF!</f>
        <v>#REF!</v>
      </c>
      <c r="O382" s="353" t="e">
        <f>Проект!#REF!</f>
        <v>#REF!</v>
      </c>
      <c r="P382" s="353" t="e">
        <f>Проект!#REF!</f>
        <v>#REF!</v>
      </c>
      <c r="Q382" s="353" t="e">
        <f>Проект!#REF!</f>
        <v>#REF!</v>
      </c>
      <c r="R382" s="48"/>
      <c r="S382" s="354"/>
    </row>
    <row r="383" spans="1:19" ht="11.25" customHeight="1" x14ac:dyDescent="0.2">
      <c r="A383" s="41" t="e">
        <f>Проект!#REF!</f>
        <v>#REF!</v>
      </c>
      <c r="B383" s="72"/>
      <c r="C383" s="73" t="e">
        <f>Проект!#REF!</f>
        <v>#REF!</v>
      </c>
      <c r="D383" s="74" t="e">
        <f>Проект!#REF!</f>
        <v>#REF!</v>
      </c>
      <c r="E383" s="48"/>
      <c r="F383" s="352" t="e">
        <f>Проект!#REF!</f>
        <v>#REF!</v>
      </c>
      <c r="G383" s="352" t="e">
        <f>Проект!#REF!</f>
        <v>#REF!</v>
      </c>
      <c r="H383" s="352" t="e">
        <f>Проект!#REF!</f>
        <v>#REF!</v>
      </c>
      <c r="I383" s="352" t="e">
        <f>Проект!#REF!</f>
        <v>#REF!</v>
      </c>
      <c r="J383" s="352" t="e">
        <f>Проект!#REF!</f>
        <v>#REF!</v>
      </c>
      <c r="K383" s="352" t="e">
        <f>Проект!#REF!</f>
        <v>#REF!</v>
      </c>
      <c r="L383" s="352" t="e">
        <f>Проект!#REF!</f>
        <v>#REF!</v>
      </c>
      <c r="M383" s="352" t="e">
        <f>Проект!#REF!</f>
        <v>#REF!</v>
      </c>
      <c r="N383" s="352" t="e">
        <f>Проект!#REF!</f>
        <v>#REF!</v>
      </c>
      <c r="O383" s="352" t="e">
        <f>Проект!#REF!</f>
        <v>#REF!</v>
      </c>
      <c r="P383" s="352" t="e">
        <f>Проект!#REF!</f>
        <v>#REF!</v>
      </c>
      <c r="Q383" s="352" t="e">
        <f>Проект!#REF!</f>
        <v>#REF!</v>
      </c>
      <c r="R383" s="106"/>
      <c r="S383" s="94" t="e">
        <f>Проект!#REF!</f>
        <v>#REF!</v>
      </c>
    </row>
    <row r="384" spans="1:19" ht="11.25" customHeight="1" x14ac:dyDescent="0.2">
      <c r="A384" s="41" t="e">
        <f>Проект!#REF!</f>
        <v>#REF!</v>
      </c>
      <c r="B384" s="48"/>
      <c r="C384" s="73" t="e">
        <f>Проект!#REF!</f>
        <v>#REF!</v>
      </c>
      <c r="D384" s="101" t="e">
        <f>Проект!#REF!</f>
        <v>#REF!</v>
      </c>
      <c r="E384" s="48"/>
      <c r="F384" s="83" t="e">
        <f>Проект!#REF!</f>
        <v>#REF!</v>
      </c>
      <c r="G384" s="83" t="e">
        <f>Проект!#REF!</f>
        <v>#REF!</v>
      </c>
      <c r="H384" s="83" t="e">
        <f>Проект!#REF!</f>
        <v>#REF!</v>
      </c>
      <c r="I384" s="83" t="e">
        <f>Проект!#REF!</f>
        <v>#REF!</v>
      </c>
      <c r="J384" s="83" t="e">
        <f>Проект!#REF!</f>
        <v>#REF!</v>
      </c>
      <c r="K384" s="83" t="e">
        <f>Проект!#REF!</f>
        <v>#REF!</v>
      </c>
      <c r="L384" s="83" t="e">
        <f>Проект!#REF!</f>
        <v>#REF!</v>
      </c>
      <c r="M384" s="83" t="e">
        <f>Проект!#REF!</f>
        <v>#REF!</v>
      </c>
      <c r="N384" s="83" t="e">
        <f>Проект!#REF!</f>
        <v>#REF!</v>
      </c>
      <c r="O384" s="83" t="e">
        <f>Проект!#REF!</f>
        <v>#REF!</v>
      </c>
      <c r="P384" s="83" t="e">
        <f>Проект!#REF!</f>
        <v>#REF!</v>
      </c>
      <c r="Q384" s="83" t="e">
        <f>Проект!#REF!</f>
        <v>#REF!</v>
      </c>
      <c r="R384" s="106"/>
      <c r="S384" s="94" t="e">
        <f>Проект!#REF!</f>
        <v>#REF!</v>
      </c>
    </row>
    <row r="385" spans="1:19" ht="11.25" customHeight="1" x14ac:dyDescent="0.2">
      <c r="A385" s="41" t="e">
        <f>Проект!#REF!</f>
        <v>#REF!</v>
      </c>
      <c r="B385" s="48"/>
      <c r="C385" s="73" t="e">
        <f>Проект!#REF!</f>
        <v>#REF!</v>
      </c>
      <c r="D385" s="101" t="e">
        <f>Проект!#REF!</f>
        <v>#REF!</v>
      </c>
      <c r="E385" s="48" t="e">
        <f>Проект!#REF!</f>
        <v>#REF!</v>
      </c>
      <c r="F385" s="83" t="e">
        <f>Проект!#REF!</f>
        <v>#REF!</v>
      </c>
      <c r="G385" s="83" t="e">
        <f>Проект!#REF!</f>
        <v>#REF!</v>
      </c>
      <c r="H385" s="83" t="e">
        <f>Проект!#REF!</f>
        <v>#REF!</v>
      </c>
      <c r="I385" s="83" t="e">
        <f>Проект!#REF!</f>
        <v>#REF!</v>
      </c>
      <c r="J385" s="83" t="e">
        <f>Проект!#REF!</f>
        <v>#REF!</v>
      </c>
      <c r="K385" s="83" t="e">
        <f>Проект!#REF!</f>
        <v>#REF!</v>
      </c>
      <c r="L385" s="83" t="e">
        <f>Проект!#REF!</f>
        <v>#REF!</v>
      </c>
      <c r="M385" s="83" t="e">
        <f>Проект!#REF!</f>
        <v>#REF!</v>
      </c>
      <c r="N385" s="83" t="e">
        <f>Проект!#REF!</f>
        <v>#REF!</v>
      </c>
      <c r="O385" s="83" t="e">
        <f>Проект!#REF!</f>
        <v>#REF!</v>
      </c>
      <c r="P385" s="83" t="e">
        <f>Проект!#REF!</f>
        <v>#REF!</v>
      </c>
      <c r="Q385" s="83" t="e">
        <f>Проект!#REF!</f>
        <v>#REF!</v>
      </c>
      <c r="R385" s="106"/>
      <c r="S385" s="94"/>
    </row>
    <row r="386" spans="1:19" ht="11.25" customHeight="1" x14ac:dyDescent="0.2">
      <c r="A386" s="48" t="e">
        <f>Проект!#REF!</f>
        <v>#REF!</v>
      </c>
      <c r="B386" s="330"/>
      <c r="C386" s="73"/>
      <c r="D386" s="48"/>
      <c r="E386" s="48"/>
      <c r="F386" s="353" t="e">
        <f>Проект!#REF!</f>
        <v>#REF!</v>
      </c>
      <c r="G386" s="353" t="e">
        <f>Проект!#REF!</f>
        <v>#REF!</v>
      </c>
      <c r="H386" s="353" t="e">
        <f>Проект!#REF!</f>
        <v>#REF!</v>
      </c>
      <c r="I386" s="353" t="e">
        <f>Проект!#REF!</f>
        <v>#REF!</v>
      </c>
      <c r="J386" s="353" t="e">
        <f>Проект!#REF!</f>
        <v>#REF!</v>
      </c>
      <c r="K386" s="353" t="e">
        <f>Проект!#REF!</f>
        <v>#REF!</v>
      </c>
      <c r="L386" s="353" t="e">
        <f>Проект!#REF!</f>
        <v>#REF!</v>
      </c>
      <c r="M386" s="353" t="e">
        <f>Проект!#REF!</f>
        <v>#REF!</v>
      </c>
      <c r="N386" s="353" t="e">
        <f>Проект!#REF!</f>
        <v>#REF!</v>
      </c>
      <c r="O386" s="353" t="e">
        <f>Проект!#REF!</f>
        <v>#REF!</v>
      </c>
      <c r="P386" s="353" t="e">
        <f>Проект!#REF!</f>
        <v>#REF!</v>
      </c>
      <c r="Q386" s="353" t="e">
        <f>Проект!#REF!</f>
        <v>#REF!</v>
      </c>
      <c r="R386" s="48"/>
      <c r="S386" s="354"/>
    </row>
    <row r="387" spans="1:19" ht="11.25" customHeight="1" x14ac:dyDescent="0.2">
      <c r="A387" s="41" t="e">
        <f>Проект!#REF!</f>
        <v>#REF!</v>
      </c>
      <c r="B387" s="72"/>
      <c r="C387" s="73" t="e">
        <f>Проект!#REF!</f>
        <v>#REF!</v>
      </c>
      <c r="D387" s="74" t="e">
        <f>Проект!#REF!</f>
        <v>#REF!</v>
      </c>
      <c r="E387" s="48"/>
      <c r="F387" s="352" t="e">
        <f>Проект!#REF!</f>
        <v>#REF!</v>
      </c>
      <c r="G387" s="352" t="e">
        <f>Проект!#REF!</f>
        <v>#REF!</v>
      </c>
      <c r="H387" s="352" t="e">
        <f>Проект!#REF!</f>
        <v>#REF!</v>
      </c>
      <c r="I387" s="352" t="e">
        <f>Проект!#REF!</f>
        <v>#REF!</v>
      </c>
      <c r="J387" s="352" t="e">
        <f>Проект!#REF!</f>
        <v>#REF!</v>
      </c>
      <c r="K387" s="352" t="e">
        <f>Проект!#REF!</f>
        <v>#REF!</v>
      </c>
      <c r="L387" s="352" t="e">
        <f>Проект!#REF!</f>
        <v>#REF!</v>
      </c>
      <c r="M387" s="352" t="e">
        <f>Проект!#REF!</f>
        <v>#REF!</v>
      </c>
      <c r="N387" s="352" t="e">
        <f>Проект!#REF!</f>
        <v>#REF!</v>
      </c>
      <c r="O387" s="352" t="e">
        <f>Проект!#REF!</f>
        <v>#REF!</v>
      </c>
      <c r="P387" s="352" t="e">
        <f>Проект!#REF!</f>
        <v>#REF!</v>
      </c>
      <c r="Q387" s="352" t="e">
        <f>Проект!#REF!</f>
        <v>#REF!</v>
      </c>
      <c r="R387" s="106"/>
      <c r="S387" s="94" t="e">
        <f>Проект!#REF!</f>
        <v>#REF!</v>
      </c>
    </row>
    <row r="388" spans="1:19" ht="11.25" customHeight="1" x14ac:dyDescent="0.2">
      <c r="A388" s="41" t="e">
        <f>Проект!#REF!</f>
        <v>#REF!</v>
      </c>
      <c r="B388" s="48"/>
      <c r="C388" s="73" t="e">
        <f>Проект!#REF!</f>
        <v>#REF!</v>
      </c>
      <c r="D388" s="101" t="e">
        <f>Проект!#REF!</f>
        <v>#REF!</v>
      </c>
      <c r="E388" s="48"/>
      <c r="F388" s="83" t="e">
        <f>Проект!#REF!</f>
        <v>#REF!</v>
      </c>
      <c r="G388" s="83" t="e">
        <f>Проект!#REF!</f>
        <v>#REF!</v>
      </c>
      <c r="H388" s="83" t="e">
        <f>Проект!#REF!</f>
        <v>#REF!</v>
      </c>
      <c r="I388" s="83" t="e">
        <f>Проект!#REF!</f>
        <v>#REF!</v>
      </c>
      <c r="J388" s="83" t="e">
        <f>Проект!#REF!</f>
        <v>#REF!</v>
      </c>
      <c r="K388" s="83" t="e">
        <f>Проект!#REF!</f>
        <v>#REF!</v>
      </c>
      <c r="L388" s="83" t="e">
        <f>Проект!#REF!</f>
        <v>#REF!</v>
      </c>
      <c r="M388" s="83" t="e">
        <f>Проект!#REF!</f>
        <v>#REF!</v>
      </c>
      <c r="N388" s="83" t="e">
        <f>Проект!#REF!</f>
        <v>#REF!</v>
      </c>
      <c r="O388" s="83" t="e">
        <f>Проект!#REF!</f>
        <v>#REF!</v>
      </c>
      <c r="P388" s="83" t="e">
        <f>Проект!#REF!</f>
        <v>#REF!</v>
      </c>
      <c r="Q388" s="83" t="e">
        <f>Проект!#REF!</f>
        <v>#REF!</v>
      </c>
      <c r="R388" s="106"/>
      <c r="S388" s="94" t="e">
        <f>Проект!#REF!</f>
        <v>#REF!</v>
      </c>
    </row>
    <row r="389" spans="1:19" ht="11.25" customHeight="1" x14ac:dyDescent="0.2">
      <c r="A389" s="41" t="e">
        <f>Проект!#REF!</f>
        <v>#REF!</v>
      </c>
      <c r="B389" s="48"/>
      <c r="C389" s="73" t="e">
        <f>Проект!#REF!</f>
        <v>#REF!</v>
      </c>
      <c r="D389" s="101" t="e">
        <f>Проект!#REF!</f>
        <v>#REF!</v>
      </c>
      <c r="E389" s="48" t="e">
        <f>Проект!#REF!</f>
        <v>#REF!</v>
      </c>
      <c r="F389" s="83" t="e">
        <f>Проект!#REF!</f>
        <v>#REF!</v>
      </c>
      <c r="G389" s="83" t="e">
        <f>Проект!#REF!</f>
        <v>#REF!</v>
      </c>
      <c r="H389" s="83" t="e">
        <f>Проект!#REF!</f>
        <v>#REF!</v>
      </c>
      <c r="I389" s="83" t="e">
        <f>Проект!#REF!</f>
        <v>#REF!</v>
      </c>
      <c r="J389" s="83" t="e">
        <f>Проект!#REF!</f>
        <v>#REF!</v>
      </c>
      <c r="K389" s="83" t="e">
        <f>Проект!#REF!</f>
        <v>#REF!</v>
      </c>
      <c r="L389" s="83" t="e">
        <f>Проект!#REF!</f>
        <v>#REF!</v>
      </c>
      <c r="M389" s="83" t="e">
        <f>Проект!#REF!</f>
        <v>#REF!</v>
      </c>
      <c r="N389" s="83" t="e">
        <f>Проект!#REF!</f>
        <v>#REF!</v>
      </c>
      <c r="O389" s="83" t="e">
        <f>Проект!#REF!</f>
        <v>#REF!</v>
      </c>
      <c r="P389" s="83" t="e">
        <f>Проект!#REF!</f>
        <v>#REF!</v>
      </c>
      <c r="Q389" s="83" t="e">
        <f>Проект!#REF!</f>
        <v>#REF!</v>
      </c>
      <c r="R389" s="106"/>
      <c r="S389" s="94"/>
    </row>
    <row r="390" spans="1:19" ht="11.25" customHeight="1" x14ac:dyDescent="0.2">
      <c r="A390" s="48" t="e">
        <f>Проект!#REF!</f>
        <v>#REF!</v>
      </c>
      <c r="B390" s="330"/>
      <c r="C390" s="73"/>
      <c r="D390" s="48"/>
      <c r="E390" s="48"/>
      <c r="F390" s="353" t="e">
        <f>Проект!#REF!</f>
        <v>#REF!</v>
      </c>
      <c r="G390" s="353" t="e">
        <f>Проект!#REF!</f>
        <v>#REF!</v>
      </c>
      <c r="H390" s="353" t="e">
        <f>Проект!#REF!</f>
        <v>#REF!</v>
      </c>
      <c r="I390" s="353" t="e">
        <f>Проект!#REF!</f>
        <v>#REF!</v>
      </c>
      <c r="J390" s="353" t="e">
        <f>Проект!#REF!</f>
        <v>#REF!</v>
      </c>
      <c r="K390" s="353" t="e">
        <f>Проект!#REF!</f>
        <v>#REF!</v>
      </c>
      <c r="L390" s="353" t="e">
        <f>Проект!#REF!</f>
        <v>#REF!</v>
      </c>
      <c r="M390" s="353" t="e">
        <f>Проект!#REF!</f>
        <v>#REF!</v>
      </c>
      <c r="N390" s="353" t="e">
        <f>Проект!#REF!</f>
        <v>#REF!</v>
      </c>
      <c r="O390" s="353" t="e">
        <f>Проект!#REF!</f>
        <v>#REF!</v>
      </c>
      <c r="P390" s="353" t="e">
        <f>Проект!#REF!</f>
        <v>#REF!</v>
      </c>
      <c r="Q390" s="353" t="e">
        <f>Проект!#REF!</f>
        <v>#REF!</v>
      </c>
      <c r="R390" s="48"/>
      <c r="S390" s="354"/>
    </row>
    <row r="391" spans="1:19" ht="11.25" customHeight="1" x14ac:dyDescent="0.2">
      <c r="A391" s="41" t="e">
        <f>Проект!#REF!</f>
        <v>#REF!</v>
      </c>
      <c r="B391" s="72"/>
      <c r="C391" s="73" t="e">
        <f>Проект!#REF!</f>
        <v>#REF!</v>
      </c>
      <c r="D391" s="74" t="e">
        <f>Проект!#REF!</f>
        <v>#REF!</v>
      </c>
      <c r="E391" s="48"/>
      <c r="F391" s="352" t="e">
        <f>Проект!#REF!</f>
        <v>#REF!</v>
      </c>
      <c r="G391" s="352" t="e">
        <f>Проект!#REF!</f>
        <v>#REF!</v>
      </c>
      <c r="H391" s="352" t="e">
        <f>Проект!#REF!</f>
        <v>#REF!</v>
      </c>
      <c r="I391" s="352" t="e">
        <f>Проект!#REF!</f>
        <v>#REF!</v>
      </c>
      <c r="J391" s="352" t="e">
        <f>Проект!#REF!</f>
        <v>#REF!</v>
      </c>
      <c r="K391" s="352" t="e">
        <f>Проект!#REF!</f>
        <v>#REF!</v>
      </c>
      <c r="L391" s="352" t="e">
        <f>Проект!#REF!</f>
        <v>#REF!</v>
      </c>
      <c r="M391" s="352" t="e">
        <f>Проект!#REF!</f>
        <v>#REF!</v>
      </c>
      <c r="N391" s="352" t="e">
        <f>Проект!#REF!</f>
        <v>#REF!</v>
      </c>
      <c r="O391" s="352" t="e">
        <f>Проект!#REF!</f>
        <v>#REF!</v>
      </c>
      <c r="P391" s="352" t="e">
        <f>Проект!#REF!</f>
        <v>#REF!</v>
      </c>
      <c r="Q391" s="352" t="e">
        <f>Проект!#REF!</f>
        <v>#REF!</v>
      </c>
      <c r="R391" s="106"/>
      <c r="S391" s="94" t="e">
        <f>Проект!#REF!</f>
        <v>#REF!</v>
      </c>
    </row>
    <row r="392" spans="1:19" ht="11.25" customHeight="1" x14ac:dyDescent="0.2">
      <c r="A392" s="41" t="e">
        <f>Проект!#REF!</f>
        <v>#REF!</v>
      </c>
      <c r="B392" s="48"/>
      <c r="C392" s="73" t="e">
        <f>Проект!#REF!</f>
        <v>#REF!</v>
      </c>
      <c r="D392" s="101" t="e">
        <f>Проект!#REF!</f>
        <v>#REF!</v>
      </c>
      <c r="E392" s="48"/>
      <c r="F392" s="83" t="e">
        <f>Проект!#REF!</f>
        <v>#REF!</v>
      </c>
      <c r="G392" s="83" t="e">
        <f>Проект!#REF!</f>
        <v>#REF!</v>
      </c>
      <c r="H392" s="83" t="e">
        <f>Проект!#REF!</f>
        <v>#REF!</v>
      </c>
      <c r="I392" s="83" t="e">
        <f>Проект!#REF!</f>
        <v>#REF!</v>
      </c>
      <c r="J392" s="83" t="e">
        <f>Проект!#REF!</f>
        <v>#REF!</v>
      </c>
      <c r="K392" s="83" t="e">
        <f>Проект!#REF!</f>
        <v>#REF!</v>
      </c>
      <c r="L392" s="83" t="e">
        <f>Проект!#REF!</f>
        <v>#REF!</v>
      </c>
      <c r="M392" s="83" t="e">
        <f>Проект!#REF!</f>
        <v>#REF!</v>
      </c>
      <c r="N392" s="83" t="e">
        <f>Проект!#REF!</f>
        <v>#REF!</v>
      </c>
      <c r="O392" s="83" t="e">
        <f>Проект!#REF!</f>
        <v>#REF!</v>
      </c>
      <c r="P392" s="83" t="e">
        <f>Проект!#REF!</f>
        <v>#REF!</v>
      </c>
      <c r="Q392" s="83" t="e">
        <f>Проект!#REF!</f>
        <v>#REF!</v>
      </c>
      <c r="R392" s="106"/>
      <c r="S392" s="94" t="e">
        <f>Проект!#REF!</f>
        <v>#REF!</v>
      </c>
    </row>
    <row r="393" spans="1:19" ht="11.25" customHeight="1" x14ac:dyDescent="0.2">
      <c r="A393" s="41" t="e">
        <f>Проект!#REF!</f>
        <v>#REF!</v>
      </c>
      <c r="B393" s="48"/>
      <c r="C393" s="73" t="e">
        <f>Проект!#REF!</f>
        <v>#REF!</v>
      </c>
      <c r="D393" s="101" t="e">
        <f>Проект!#REF!</f>
        <v>#REF!</v>
      </c>
      <c r="E393" s="48" t="e">
        <f>Проект!#REF!</f>
        <v>#REF!</v>
      </c>
      <c r="F393" s="83" t="e">
        <f>Проект!#REF!</f>
        <v>#REF!</v>
      </c>
      <c r="G393" s="83" t="e">
        <f>Проект!#REF!</f>
        <v>#REF!</v>
      </c>
      <c r="H393" s="83" t="e">
        <f>Проект!#REF!</f>
        <v>#REF!</v>
      </c>
      <c r="I393" s="83" t="e">
        <f>Проект!#REF!</f>
        <v>#REF!</v>
      </c>
      <c r="J393" s="83" t="e">
        <f>Проект!#REF!</f>
        <v>#REF!</v>
      </c>
      <c r="K393" s="83" t="e">
        <f>Проект!#REF!</f>
        <v>#REF!</v>
      </c>
      <c r="L393" s="83" t="e">
        <f>Проект!#REF!</f>
        <v>#REF!</v>
      </c>
      <c r="M393" s="83" t="e">
        <f>Проект!#REF!</f>
        <v>#REF!</v>
      </c>
      <c r="N393" s="83" t="e">
        <f>Проект!#REF!</f>
        <v>#REF!</v>
      </c>
      <c r="O393" s="83" t="e">
        <f>Проект!#REF!</f>
        <v>#REF!</v>
      </c>
      <c r="P393" s="83" t="e">
        <f>Проект!#REF!</f>
        <v>#REF!</v>
      </c>
      <c r="Q393" s="83" t="e">
        <f>Проект!#REF!</f>
        <v>#REF!</v>
      </c>
      <c r="R393" s="106"/>
      <c r="S393" s="94"/>
    </row>
    <row r="394" spans="1:19" ht="11.25" customHeight="1" x14ac:dyDescent="0.2">
      <c r="A394" s="48" t="e">
        <f>Проект!#REF!</f>
        <v>#REF!</v>
      </c>
      <c r="B394" s="330"/>
      <c r="C394" s="73"/>
      <c r="D394" s="48"/>
      <c r="E394" s="48"/>
      <c r="F394" s="353" t="e">
        <f>Проект!#REF!</f>
        <v>#REF!</v>
      </c>
      <c r="G394" s="353" t="e">
        <f>Проект!#REF!</f>
        <v>#REF!</v>
      </c>
      <c r="H394" s="353" t="e">
        <f>Проект!#REF!</f>
        <v>#REF!</v>
      </c>
      <c r="I394" s="353" t="e">
        <f>Проект!#REF!</f>
        <v>#REF!</v>
      </c>
      <c r="J394" s="353" t="e">
        <f>Проект!#REF!</f>
        <v>#REF!</v>
      </c>
      <c r="K394" s="353" t="e">
        <f>Проект!#REF!</f>
        <v>#REF!</v>
      </c>
      <c r="L394" s="353" t="e">
        <f>Проект!#REF!</f>
        <v>#REF!</v>
      </c>
      <c r="M394" s="353" t="e">
        <f>Проект!#REF!</f>
        <v>#REF!</v>
      </c>
      <c r="N394" s="353" t="e">
        <f>Проект!#REF!</f>
        <v>#REF!</v>
      </c>
      <c r="O394" s="353" t="e">
        <f>Проект!#REF!</f>
        <v>#REF!</v>
      </c>
      <c r="P394" s="353" t="e">
        <f>Проект!#REF!</f>
        <v>#REF!</v>
      </c>
      <c r="Q394" s="353" t="e">
        <f>Проект!#REF!</f>
        <v>#REF!</v>
      </c>
      <c r="R394" s="48"/>
      <c r="S394" s="354"/>
    </row>
    <row r="395" spans="1:19" ht="11.25" customHeight="1" x14ac:dyDescent="0.2">
      <c r="A395" s="41" t="e">
        <f>Проект!#REF!</f>
        <v>#REF!</v>
      </c>
      <c r="B395" s="72"/>
      <c r="C395" s="73" t="e">
        <f>Проект!#REF!</f>
        <v>#REF!</v>
      </c>
      <c r="D395" s="74" t="e">
        <f>Проект!#REF!</f>
        <v>#REF!</v>
      </c>
      <c r="E395" s="48"/>
      <c r="F395" s="352" t="e">
        <f>Проект!#REF!</f>
        <v>#REF!</v>
      </c>
      <c r="G395" s="352" t="e">
        <f>Проект!#REF!</f>
        <v>#REF!</v>
      </c>
      <c r="H395" s="352" t="e">
        <f>Проект!#REF!</f>
        <v>#REF!</v>
      </c>
      <c r="I395" s="352" t="e">
        <f>Проект!#REF!</f>
        <v>#REF!</v>
      </c>
      <c r="J395" s="352" t="e">
        <f>Проект!#REF!</f>
        <v>#REF!</v>
      </c>
      <c r="K395" s="352" t="e">
        <f>Проект!#REF!</f>
        <v>#REF!</v>
      </c>
      <c r="L395" s="352" t="e">
        <f>Проект!#REF!</f>
        <v>#REF!</v>
      </c>
      <c r="M395" s="352" t="e">
        <f>Проект!#REF!</f>
        <v>#REF!</v>
      </c>
      <c r="N395" s="352" t="e">
        <f>Проект!#REF!</f>
        <v>#REF!</v>
      </c>
      <c r="O395" s="352" t="e">
        <f>Проект!#REF!</f>
        <v>#REF!</v>
      </c>
      <c r="P395" s="352" t="e">
        <f>Проект!#REF!</f>
        <v>#REF!</v>
      </c>
      <c r="Q395" s="352" t="e">
        <f>Проект!#REF!</f>
        <v>#REF!</v>
      </c>
      <c r="R395" s="106"/>
      <c r="S395" s="94" t="e">
        <f>Проект!#REF!</f>
        <v>#REF!</v>
      </c>
    </row>
    <row r="396" spans="1:19" ht="11.25" customHeight="1" x14ac:dyDescent="0.2">
      <c r="A396" s="41" t="e">
        <f>Проект!#REF!</f>
        <v>#REF!</v>
      </c>
      <c r="B396" s="48"/>
      <c r="C396" s="73" t="e">
        <f>Проект!#REF!</f>
        <v>#REF!</v>
      </c>
      <c r="D396" s="101" t="e">
        <f>Проект!#REF!</f>
        <v>#REF!</v>
      </c>
      <c r="E396" s="48"/>
      <c r="F396" s="83" t="e">
        <f>Проект!#REF!</f>
        <v>#REF!</v>
      </c>
      <c r="G396" s="83" t="e">
        <f>Проект!#REF!</f>
        <v>#REF!</v>
      </c>
      <c r="H396" s="83" t="e">
        <f>Проект!#REF!</f>
        <v>#REF!</v>
      </c>
      <c r="I396" s="83" t="e">
        <f>Проект!#REF!</f>
        <v>#REF!</v>
      </c>
      <c r="J396" s="83" t="e">
        <f>Проект!#REF!</f>
        <v>#REF!</v>
      </c>
      <c r="K396" s="83" t="e">
        <f>Проект!#REF!</f>
        <v>#REF!</v>
      </c>
      <c r="L396" s="83" t="e">
        <f>Проект!#REF!</f>
        <v>#REF!</v>
      </c>
      <c r="M396" s="83" t="e">
        <f>Проект!#REF!</f>
        <v>#REF!</v>
      </c>
      <c r="N396" s="83" t="e">
        <f>Проект!#REF!</f>
        <v>#REF!</v>
      </c>
      <c r="O396" s="83" t="e">
        <f>Проект!#REF!</f>
        <v>#REF!</v>
      </c>
      <c r="P396" s="83" t="e">
        <f>Проект!#REF!</f>
        <v>#REF!</v>
      </c>
      <c r="Q396" s="83" t="e">
        <f>Проект!#REF!</f>
        <v>#REF!</v>
      </c>
      <c r="R396" s="106"/>
      <c r="S396" s="94" t="e">
        <f>Проект!#REF!</f>
        <v>#REF!</v>
      </c>
    </row>
    <row r="397" spans="1:19" ht="11.25" customHeight="1" x14ac:dyDescent="0.2">
      <c r="A397" s="41" t="e">
        <f>Проект!#REF!</f>
        <v>#REF!</v>
      </c>
      <c r="B397" s="48"/>
      <c r="C397" s="73" t="e">
        <f>Проект!#REF!</f>
        <v>#REF!</v>
      </c>
      <c r="D397" s="101" t="e">
        <f>Проект!#REF!</f>
        <v>#REF!</v>
      </c>
      <c r="E397" s="48" t="e">
        <f>Проект!#REF!</f>
        <v>#REF!</v>
      </c>
      <c r="F397" s="83" t="e">
        <f>Проект!#REF!</f>
        <v>#REF!</v>
      </c>
      <c r="G397" s="83" t="e">
        <f>Проект!#REF!</f>
        <v>#REF!</v>
      </c>
      <c r="H397" s="83" t="e">
        <f>Проект!#REF!</f>
        <v>#REF!</v>
      </c>
      <c r="I397" s="83" t="e">
        <f>Проект!#REF!</f>
        <v>#REF!</v>
      </c>
      <c r="J397" s="83" t="e">
        <f>Проект!#REF!</f>
        <v>#REF!</v>
      </c>
      <c r="K397" s="83" t="e">
        <f>Проект!#REF!</f>
        <v>#REF!</v>
      </c>
      <c r="L397" s="83" t="e">
        <f>Проект!#REF!</f>
        <v>#REF!</v>
      </c>
      <c r="M397" s="83" t="e">
        <f>Проект!#REF!</f>
        <v>#REF!</v>
      </c>
      <c r="N397" s="83" t="e">
        <f>Проект!#REF!</f>
        <v>#REF!</v>
      </c>
      <c r="O397" s="83" t="e">
        <f>Проект!#REF!</f>
        <v>#REF!</v>
      </c>
      <c r="P397" s="83" t="e">
        <f>Проект!#REF!</f>
        <v>#REF!</v>
      </c>
      <c r="Q397" s="83" t="e">
        <f>Проект!#REF!</f>
        <v>#REF!</v>
      </c>
      <c r="R397" s="106"/>
      <c r="S397" s="94"/>
    </row>
    <row r="398" spans="1:19" ht="11.25" customHeight="1" x14ac:dyDescent="0.2">
      <c r="A398" s="48" t="e">
        <f>Проект!#REF!</f>
        <v>#REF!</v>
      </c>
      <c r="B398" s="330"/>
      <c r="C398" s="73"/>
      <c r="D398" s="48"/>
      <c r="E398" s="48"/>
      <c r="F398" s="353" t="e">
        <f>Проект!#REF!</f>
        <v>#REF!</v>
      </c>
      <c r="G398" s="353" t="e">
        <f>Проект!#REF!</f>
        <v>#REF!</v>
      </c>
      <c r="H398" s="353" t="e">
        <f>Проект!#REF!</f>
        <v>#REF!</v>
      </c>
      <c r="I398" s="353" t="e">
        <f>Проект!#REF!</f>
        <v>#REF!</v>
      </c>
      <c r="J398" s="353" t="e">
        <f>Проект!#REF!</f>
        <v>#REF!</v>
      </c>
      <c r="K398" s="353" t="e">
        <f>Проект!#REF!</f>
        <v>#REF!</v>
      </c>
      <c r="L398" s="353" t="e">
        <f>Проект!#REF!</f>
        <v>#REF!</v>
      </c>
      <c r="M398" s="353" t="e">
        <f>Проект!#REF!</f>
        <v>#REF!</v>
      </c>
      <c r="N398" s="353" t="e">
        <f>Проект!#REF!</f>
        <v>#REF!</v>
      </c>
      <c r="O398" s="353" t="e">
        <f>Проект!#REF!</f>
        <v>#REF!</v>
      </c>
      <c r="P398" s="353" t="e">
        <f>Проект!#REF!</f>
        <v>#REF!</v>
      </c>
      <c r="Q398" s="353" t="e">
        <f>Проект!#REF!</f>
        <v>#REF!</v>
      </c>
      <c r="R398" s="48"/>
      <c r="S398" s="354"/>
    </row>
    <row r="399" spans="1:19" ht="11.25" customHeight="1" x14ac:dyDescent="0.2">
      <c r="A399" s="41" t="e">
        <f>Проект!#REF!</f>
        <v>#REF!</v>
      </c>
      <c r="B399" s="72"/>
      <c r="C399" s="73" t="e">
        <f>Проект!#REF!</f>
        <v>#REF!</v>
      </c>
      <c r="D399" s="74" t="e">
        <f>Проект!#REF!</f>
        <v>#REF!</v>
      </c>
      <c r="E399" s="48"/>
      <c r="F399" s="352" t="e">
        <f>Проект!#REF!</f>
        <v>#REF!</v>
      </c>
      <c r="G399" s="352" t="e">
        <f>Проект!#REF!</f>
        <v>#REF!</v>
      </c>
      <c r="H399" s="352" t="e">
        <f>Проект!#REF!</f>
        <v>#REF!</v>
      </c>
      <c r="I399" s="352" t="e">
        <f>Проект!#REF!</f>
        <v>#REF!</v>
      </c>
      <c r="J399" s="352" t="e">
        <f>Проект!#REF!</f>
        <v>#REF!</v>
      </c>
      <c r="K399" s="352" t="e">
        <f>Проект!#REF!</f>
        <v>#REF!</v>
      </c>
      <c r="L399" s="352" t="e">
        <f>Проект!#REF!</f>
        <v>#REF!</v>
      </c>
      <c r="M399" s="352" t="e">
        <f>Проект!#REF!</f>
        <v>#REF!</v>
      </c>
      <c r="N399" s="352" t="e">
        <f>Проект!#REF!</f>
        <v>#REF!</v>
      </c>
      <c r="O399" s="352" t="e">
        <f>Проект!#REF!</f>
        <v>#REF!</v>
      </c>
      <c r="P399" s="352" t="e">
        <f>Проект!#REF!</f>
        <v>#REF!</v>
      </c>
      <c r="Q399" s="352" t="e">
        <f>Проект!#REF!</f>
        <v>#REF!</v>
      </c>
      <c r="R399" s="106"/>
      <c r="S399" s="94" t="e">
        <f>Проект!#REF!</f>
        <v>#REF!</v>
      </c>
    </row>
    <row r="400" spans="1:19" ht="11.25" customHeight="1" x14ac:dyDescent="0.2">
      <c r="A400" s="41" t="e">
        <f>Проект!#REF!</f>
        <v>#REF!</v>
      </c>
      <c r="B400" s="48"/>
      <c r="C400" s="73" t="e">
        <f>Проект!#REF!</f>
        <v>#REF!</v>
      </c>
      <c r="D400" s="101" t="e">
        <f>Проект!#REF!</f>
        <v>#REF!</v>
      </c>
      <c r="E400" s="48"/>
      <c r="F400" s="83" t="e">
        <f>Проект!#REF!</f>
        <v>#REF!</v>
      </c>
      <c r="G400" s="83" t="e">
        <f>Проект!#REF!</f>
        <v>#REF!</v>
      </c>
      <c r="H400" s="83" t="e">
        <f>Проект!#REF!</f>
        <v>#REF!</v>
      </c>
      <c r="I400" s="83" t="e">
        <f>Проект!#REF!</f>
        <v>#REF!</v>
      </c>
      <c r="J400" s="83" t="e">
        <f>Проект!#REF!</f>
        <v>#REF!</v>
      </c>
      <c r="K400" s="83" t="e">
        <f>Проект!#REF!</f>
        <v>#REF!</v>
      </c>
      <c r="L400" s="83" t="e">
        <f>Проект!#REF!</f>
        <v>#REF!</v>
      </c>
      <c r="M400" s="83" t="e">
        <f>Проект!#REF!</f>
        <v>#REF!</v>
      </c>
      <c r="N400" s="83" t="e">
        <f>Проект!#REF!</f>
        <v>#REF!</v>
      </c>
      <c r="O400" s="83" t="e">
        <f>Проект!#REF!</f>
        <v>#REF!</v>
      </c>
      <c r="P400" s="83" t="e">
        <f>Проект!#REF!</f>
        <v>#REF!</v>
      </c>
      <c r="Q400" s="83" t="e">
        <f>Проект!#REF!</f>
        <v>#REF!</v>
      </c>
      <c r="R400" s="106"/>
      <c r="S400" s="94" t="e">
        <f>Проект!#REF!</f>
        <v>#REF!</v>
      </c>
    </row>
    <row r="401" spans="1:19" ht="11.25" customHeight="1" x14ac:dyDescent="0.2">
      <c r="A401" s="41" t="e">
        <f>Проект!#REF!</f>
        <v>#REF!</v>
      </c>
      <c r="B401" s="48"/>
      <c r="C401" s="73" t="e">
        <f>Проект!#REF!</f>
        <v>#REF!</v>
      </c>
      <c r="D401" s="101" t="e">
        <f>Проект!#REF!</f>
        <v>#REF!</v>
      </c>
      <c r="E401" s="48" t="e">
        <f>Проект!#REF!</f>
        <v>#REF!</v>
      </c>
      <c r="F401" s="83" t="e">
        <f>Проект!#REF!</f>
        <v>#REF!</v>
      </c>
      <c r="G401" s="83" t="e">
        <f>Проект!#REF!</f>
        <v>#REF!</v>
      </c>
      <c r="H401" s="83" t="e">
        <f>Проект!#REF!</f>
        <v>#REF!</v>
      </c>
      <c r="I401" s="83" t="e">
        <f>Проект!#REF!</f>
        <v>#REF!</v>
      </c>
      <c r="J401" s="83" t="e">
        <f>Проект!#REF!</f>
        <v>#REF!</v>
      </c>
      <c r="K401" s="83" t="e">
        <f>Проект!#REF!</f>
        <v>#REF!</v>
      </c>
      <c r="L401" s="83" t="e">
        <f>Проект!#REF!</f>
        <v>#REF!</v>
      </c>
      <c r="M401" s="83" t="e">
        <f>Проект!#REF!</f>
        <v>#REF!</v>
      </c>
      <c r="N401" s="83" t="e">
        <f>Проект!#REF!</f>
        <v>#REF!</v>
      </c>
      <c r="O401" s="83" t="e">
        <f>Проект!#REF!</f>
        <v>#REF!</v>
      </c>
      <c r="P401" s="83" t="e">
        <f>Проект!#REF!</f>
        <v>#REF!</v>
      </c>
      <c r="Q401" s="83" t="e">
        <f>Проект!#REF!</f>
        <v>#REF!</v>
      </c>
      <c r="R401" s="106"/>
      <c r="S401" s="94"/>
    </row>
    <row r="402" spans="1:19" ht="11.25" customHeight="1" x14ac:dyDescent="0.2">
      <c r="A402" s="48"/>
      <c r="B402" s="48"/>
      <c r="C402" s="73"/>
      <c r="D402" s="101"/>
      <c r="E402" s="48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48"/>
      <c r="S402" s="41"/>
    </row>
    <row r="405" spans="1:19" ht="15.9" customHeight="1" thickBot="1" x14ac:dyDescent="0.25">
      <c r="A405" s="166" t="str">
        <f ca="1">Проект!$A$659</f>
        <v xml:space="preserve">         РАСХОД СЫРЬЯ И МАТЕРИАЛОВ (в единицах)</v>
      </c>
      <c r="B405" s="166"/>
      <c r="C405" s="166"/>
      <c r="D405" s="166">
        <f>Проект!$D$659</f>
        <v>1</v>
      </c>
      <c r="E405" s="166"/>
      <c r="F405" s="178" t="str">
        <f>Проект!$F$659</f>
        <v>4/ 2020</v>
      </c>
      <c r="G405" s="178" t="str">
        <f>Проект!$G$659</f>
        <v>5/ 2020</v>
      </c>
      <c r="H405" s="178" t="str">
        <f>Проект!$H$659</f>
        <v>6/ 2020</v>
      </c>
      <c r="I405" s="178" t="str">
        <f>Проект!$I$659</f>
        <v>7/ 2020</v>
      </c>
      <c r="J405" s="178" t="str">
        <f>Проект!$J$659</f>
        <v>8/ 2020</v>
      </c>
      <c r="K405" s="178" t="e">
        <f>Проект!#REF!</f>
        <v>#REF!</v>
      </c>
      <c r="L405" s="178" t="e">
        <f>Проект!#REF!</f>
        <v>#REF!</v>
      </c>
      <c r="M405" s="178" t="e">
        <f>Проект!#REF!</f>
        <v>#REF!</v>
      </c>
      <c r="N405" s="178" t="e">
        <f>Проект!#REF!</f>
        <v>#REF!</v>
      </c>
      <c r="O405" s="178" t="e">
        <f>Проект!#REF!</f>
        <v>#REF!</v>
      </c>
      <c r="P405" s="178" t="e">
        <f>Проект!#REF!</f>
        <v>#REF!</v>
      </c>
      <c r="Q405" s="178" t="str">
        <f>Проект!$K$659</f>
        <v>9/ 2020</v>
      </c>
      <c r="R405" s="166"/>
      <c r="S405" s="195" t="str">
        <f ca="1">Проект!$M$659</f>
        <v>ИТОГО</v>
      </c>
    </row>
    <row r="406" spans="1:19" ht="12" customHeight="1" thickTop="1" x14ac:dyDescent="0.2">
      <c r="A406" s="48"/>
      <c r="B406" s="48"/>
      <c r="C406" s="48"/>
      <c r="D406" s="48">
        <f>Проект!$D$660</f>
        <v>0</v>
      </c>
      <c r="E406" s="48">
        <f>Проект!$E$660</f>
        <v>1</v>
      </c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1"/>
    </row>
    <row r="407" spans="1:19" ht="11.25" customHeight="1" x14ac:dyDescent="0.2">
      <c r="A407" s="48" t="str">
        <f>Проект!$A$661</f>
        <v>Наименование товара</v>
      </c>
      <c r="B407" s="41" t="str">
        <f ca="1">Проект!$B$661</f>
        <v>Плановый расход на единицу продукции</v>
      </c>
      <c r="C407" s="48"/>
      <c r="D407" s="48">
        <f>Проект!$D$661</f>
        <v>1</v>
      </c>
      <c r="E407" s="48">
        <f>Проект!$E$661</f>
        <v>1</v>
      </c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1"/>
    </row>
    <row r="408" spans="1:19" ht="11.25" customHeight="1" x14ac:dyDescent="0.2">
      <c r="A408" s="333" t="str">
        <f>Проект!$A$662</f>
        <v xml:space="preserve">Наименование сырья </v>
      </c>
      <c r="B408" s="355">
        <f>Проект!$B$662</f>
        <v>0</v>
      </c>
      <c r="C408" s="334" t="str">
        <f>Проект!$C$662</f>
        <v>час</v>
      </c>
      <c r="D408" s="48"/>
      <c r="E408" s="48"/>
      <c r="F408" s="106">
        <f>Проект!$F$662</f>
        <v>0</v>
      </c>
      <c r="G408" s="106">
        <f>Проект!$G$662</f>
        <v>0</v>
      </c>
      <c r="H408" s="106">
        <f>Проект!$H$662</f>
        <v>0</v>
      </c>
      <c r="I408" s="106">
        <f>Проект!$I$662</f>
        <v>0</v>
      </c>
      <c r="J408" s="106">
        <f>Проект!$J$662</f>
        <v>0</v>
      </c>
      <c r="K408" s="106" t="e">
        <f>Проект!#REF!</f>
        <v>#REF!</v>
      </c>
      <c r="L408" s="106" t="e">
        <f>Проект!#REF!</f>
        <v>#REF!</v>
      </c>
      <c r="M408" s="106" t="e">
        <f>Проект!#REF!</f>
        <v>#REF!</v>
      </c>
      <c r="N408" s="106" t="e">
        <f>Проект!#REF!</f>
        <v>#REF!</v>
      </c>
      <c r="O408" s="106" t="e">
        <f>Проект!#REF!</f>
        <v>#REF!</v>
      </c>
      <c r="P408" s="106" t="e">
        <f>Проект!#REF!</f>
        <v>#REF!</v>
      </c>
      <c r="Q408" s="106">
        <f>Проект!$K$662</f>
        <v>0</v>
      </c>
      <c r="R408" s="106"/>
      <c r="S408" s="94">
        <f>Проект!$M$662</f>
        <v>0</v>
      </c>
    </row>
    <row r="409" spans="1:19" ht="11.25" customHeight="1" x14ac:dyDescent="0.2">
      <c r="A409" s="48" t="e">
        <f>Проект!#REF!</f>
        <v>#REF!</v>
      </c>
      <c r="B409" s="41" t="e">
        <f>Проект!#REF!</f>
        <v>#REF!</v>
      </c>
      <c r="C409" s="48"/>
      <c r="D409" s="48" t="e">
        <f>Проект!#REF!</f>
        <v>#REF!</v>
      </c>
      <c r="E409" s="48" t="e">
        <f>Проект!#REF!</f>
        <v>#REF!</v>
      </c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1"/>
    </row>
    <row r="410" spans="1:19" ht="11.25" customHeight="1" x14ac:dyDescent="0.2">
      <c r="A410" s="333" t="e">
        <f>Проект!#REF!</f>
        <v>#REF!</v>
      </c>
      <c r="B410" s="355" t="e">
        <f>Проект!#REF!</f>
        <v>#REF!</v>
      </c>
      <c r="C410" s="334" t="e">
        <f>Проект!#REF!</f>
        <v>#REF!</v>
      </c>
      <c r="D410" s="48"/>
      <c r="E410" s="48"/>
      <c r="F410" s="106" t="e">
        <f>Проект!#REF!</f>
        <v>#REF!</v>
      </c>
      <c r="G410" s="106" t="e">
        <f>Проект!#REF!</f>
        <v>#REF!</v>
      </c>
      <c r="H410" s="106" t="e">
        <f>Проект!#REF!</f>
        <v>#REF!</v>
      </c>
      <c r="I410" s="106" t="e">
        <f>Проект!#REF!</f>
        <v>#REF!</v>
      </c>
      <c r="J410" s="106" t="e">
        <f>Проект!#REF!</f>
        <v>#REF!</v>
      </c>
      <c r="K410" s="106" t="e">
        <f>Проект!#REF!</f>
        <v>#REF!</v>
      </c>
      <c r="L410" s="106" t="e">
        <f>Проект!#REF!</f>
        <v>#REF!</v>
      </c>
      <c r="M410" s="106" t="e">
        <f>Проект!#REF!</f>
        <v>#REF!</v>
      </c>
      <c r="N410" s="106" t="e">
        <f>Проект!#REF!</f>
        <v>#REF!</v>
      </c>
      <c r="O410" s="106" t="e">
        <f>Проект!#REF!</f>
        <v>#REF!</v>
      </c>
      <c r="P410" s="106" t="e">
        <f>Проект!#REF!</f>
        <v>#REF!</v>
      </c>
      <c r="Q410" s="106" t="e">
        <f>Проект!#REF!</f>
        <v>#REF!</v>
      </c>
      <c r="R410" s="106"/>
      <c r="S410" s="94" t="e">
        <f>Проект!#REF!</f>
        <v>#REF!</v>
      </c>
    </row>
    <row r="411" spans="1:19" ht="11.25" customHeight="1" x14ac:dyDescent="0.2">
      <c r="A411" s="333" t="e">
        <f>Проект!#REF!</f>
        <v>#REF!</v>
      </c>
      <c r="B411" s="356" t="e">
        <f>Проект!#REF!</f>
        <v>#REF!</v>
      </c>
      <c r="C411" s="334" t="e">
        <f>Проект!#REF!</f>
        <v>#REF!</v>
      </c>
      <c r="D411" s="48"/>
      <c r="E411" s="48"/>
      <c r="F411" s="106" t="e">
        <f>Проект!#REF!</f>
        <v>#REF!</v>
      </c>
      <c r="G411" s="106" t="e">
        <f>Проект!#REF!</f>
        <v>#REF!</v>
      </c>
      <c r="H411" s="106" t="e">
        <f>Проект!#REF!</f>
        <v>#REF!</v>
      </c>
      <c r="I411" s="106" t="e">
        <f>Проект!#REF!</f>
        <v>#REF!</v>
      </c>
      <c r="J411" s="106" t="e">
        <f>Проект!#REF!</f>
        <v>#REF!</v>
      </c>
      <c r="K411" s="106" t="e">
        <f>Проект!#REF!</f>
        <v>#REF!</v>
      </c>
      <c r="L411" s="106" t="e">
        <f>Проект!#REF!</f>
        <v>#REF!</v>
      </c>
      <c r="M411" s="106" t="e">
        <f>Проект!#REF!</f>
        <v>#REF!</v>
      </c>
      <c r="N411" s="106" t="e">
        <f>Проект!#REF!</f>
        <v>#REF!</v>
      </c>
      <c r="O411" s="106" t="e">
        <f>Проект!#REF!</f>
        <v>#REF!</v>
      </c>
      <c r="P411" s="106" t="e">
        <f>Проект!#REF!</f>
        <v>#REF!</v>
      </c>
      <c r="Q411" s="106" t="e">
        <f>Проект!#REF!</f>
        <v>#REF!</v>
      </c>
      <c r="R411" s="106"/>
      <c r="S411" s="94" t="e">
        <f>Проект!#REF!</f>
        <v>#REF!</v>
      </c>
    </row>
    <row r="412" spans="1:19" ht="11.25" customHeight="1" x14ac:dyDescent="0.2">
      <c r="A412" s="333" t="e">
        <f>Проект!#REF!</f>
        <v>#REF!</v>
      </c>
      <c r="B412" s="355" t="e">
        <f>Проект!#REF!</f>
        <v>#REF!</v>
      </c>
      <c r="C412" s="334" t="e">
        <f>Проект!#REF!</f>
        <v>#REF!</v>
      </c>
      <c r="D412" s="48"/>
      <c r="E412" s="48"/>
      <c r="F412" s="106" t="e">
        <f>Проект!#REF!</f>
        <v>#REF!</v>
      </c>
      <c r="G412" s="106" t="e">
        <f>Проект!#REF!</f>
        <v>#REF!</v>
      </c>
      <c r="H412" s="106" t="e">
        <f>Проект!#REF!</f>
        <v>#REF!</v>
      </c>
      <c r="I412" s="106" t="e">
        <f>Проект!#REF!</f>
        <v>#REF!</v>
      </c>
      <c r="J412" s="106" t="e">
        <f>Проект!#REF!</f>
        <v>#REF!</v>
      </c>
      <c r="K412" s="106" t="e">
        <f>Проект!#REF!</f>
        <v>#REF!</v>
      </c>
      <c r="L412" s="106" t="e">
        <f>Проект!#REF!</f>
        <v>#REF!</v>
      </c>
      <c r="M412" s="106" t="e">
        <f>Проект!#REF!</f>
        <v>#REF!</v>
      </c>
      <c r="N412" s="106" t="e">
        <f>Проект!#REF!</f>
        <v>#REF!</v>
      </c>
      <c r="O412" s="106" t="e">
        <f>Проект!#REF!</f>
        <v>#REF!</v>
      </c>
      <c r="P412" s="106" t="e">
        <f>Проект!#REF!</f>
        <v>#REF!</v>
      </c>
      <c r="Q412" s="106" t="e">
        <f>Проект!#REF!</f>
        <v>#REF!</v>
      </c>
      <c r="R412" s="106"/>
      <c r="S412" s="94" t="e">
        <f>Проект!#REF!</f>
        <v>#REF!</v>
      </c>
    </row>
    <row r="413" spans="1:19" ht="11.25" customHeight="1" x14ac:dyDescent="0.2">
      <c r="A413" s="48" t="e">
        <f>Проект!#REF!</f>
        <v>#REF!</v>
      </c>
      <c r="B413" s="41" t="e">
        <f>Проект!#REF!</f>
        <v>#REF!</v>
      </c>
      <c r="C413" s="48"/>
      <c r="D413" s="48" t="e">
        <f>Проект!#REF!</f>
        <v>#REF!</v>
      </c>
      <c r="E413" s="48" t="e">
        <f>Проект!#REF!</f>
        <v>#REF!</v>
      </c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1"/>
    </row>
    <row r="414" spans="1:19" ht="11.25" customHeight="1" x14ac:dyDescent="0.2">
      <c r="A414" s="333" t="e">
        <f>Проект!#REF!</f>
        <v>#REF!</v>
      </c>
      <c r="B414" s="355" t="e">
        <f>Проект!#REF!</f>
        <v>#REF!</v>
      </c>
      <c r="C414" s="334" t="e">
        <f>Проект!#REF!</f>
        <v>#REF!</v>
      </c>
      <c r="D414" s="48"/>
      <c r="E414" s="48"/>
      <c r="F414" s="106" t="e">
        <f>Проект!#REF!</f>
        <v>#REF!</v>
      </c>
      <c r="G414" s="106" t="e">
        <f>Проект!#REF!</f>
        <v>#REF!</v>
      </c>
      <c r="H414" s="106" t="e">
        <f>Проект!#REF!</f>
        <v>#REF!</v>
      </c>
      <c r="I414" s="106" t="e">
        <f>Проект!#REF!</f>
        <v>#REF!</v>
      </c>
      <c r="J414" s="106" t="e">
        <f>Проект!#REF!</f>
        <v>#REF!</v>
      </c>
      <c r="K414" s="106" t="e">
        <f>Проект!#REF!</f>
        <v>#REF!</v>
      </c>
      <c r="L414" s="106" t="e">
        <f>Проект!#REF!</f>
        <v>#REF!</v>
      </c>
      <c r="M414" s="106" t="e">
        <f>Проект!#REF!</f>
        <v>#REF!</v>
      </c>
      <c r="N414" s="106" t="e">
        <f>Проект!#REF!</f>
        <v>#REF!</v>
      </c>
      <c r="O414" s="106" t="e">
        <f>Проект!#REF!</f>
        <v>#REF!</v>
      </c>
      <c r="P414" s="106" t="e">
        <f>Проект!#REF!</f>
        <v>#REF!</v>
      </c>
      <c r="Q414" s="106" t="e">
        <f>Проект!#REF!</f>
        <v>#REF!</v>
      </c>
      <c r="R414" s="106"/>
      <c r="S414" s="94" t="e">
        <f>Проект!#REF!</f>
        <v>#REF!</v>
      </c>
    </row>
    <row r="415" spans="1:19" ht="11.25" customHeight="1" x14ac:dyDescent="0.2">
      <c r="A415" s="333" t="e">
        <f>Проект!#REF!</f>
        <v>#REF!</v>
      </c>
      <c r="B415" s="356" t="e">
        <f>Проект!#REF!</f>
        <v>#REF!</v>
      </c>
      <c r="C415" s="334" t="e">
        <f>Проект!#REF!</f>
        <v>#REF!</v>
      </c>
      <c r="D415" s="48"/>
      <c r="E415" s="48"/>
      <c r="F415" s="106" t="e">
        <f>Проект!#REF!</f>
        <v>#REF!</v>
      </c>
      <c r="G415" s="106" t="e">
        <f>Проект!#REF!</f>
        <v>#REF!</v>
      </c>
      <c r="H415" s="106" t="e">
        <f>Проект!#REF!</f>
        <v>#REF!</v>
      </c>
      <c r="I415" s="106" t="e">
        <f>Проект!#REF!</f>
        <v>#REF!</v>
      </c>
      <c r="J415" s="106" t="e">
        <f>Проект!#REF!</f>
        <v>#REF!</v>
      </c>
      <c r="K415" s="106" t="e">
        <f>Проект!#REF!</f>
        <v>#REF!</v>
      </c>
      <c r="L415" s="106" t="e">
        <f>Проект!#REF!</f>
        <v>#REF!</v>
      </c>
      <c r="M415" s="106" t="e">
        <f>Проект!#REF!</f>
        <v>#REF!</v>
      </c>
      <c r="N415" s="106" t="e">
        <f>Проект!#REF!</f>
        <v>#REF!</v>
      </c>
      <c r="O415" s="106" t="e">
        <f>Проект!#REF!</f>
        <v>#REF!</v>
      </c>
      <c r="P415" s="106" t="e">
        <f>Проект!#REF!</f>
        <v>#REF!</v>
      </c>
      <c r="Q415" s="106" t="e">
        <f>Проект!#REF!</f>
        <v>#REF!</v>
      </c>
      <c r="R415" s="106"/>
      <c r="S415" s="94" t="e">
        <f>Проект!#REF!</f>
        <v>#REF!</v>
      </c>
    </row>
    <row r="416" spans="1:19" ht="11.25" customHeight="1" x14ac:dyDescent="0.2">
      <c r="A416" s="333" t="e">
        <f>Проект!#REF!</f>
        <v>#REF!</v>
      </c>
      <c r="B416" s="355" t="e">
        <f>Проект!#REF!</f>
        <v>#REF!</v>
      </c>
      <c r="C416" s="334" t="e">
        <f>Проект!#REF!</f>
        <v>#REF!</v>
      </c>
      <c r="D416" s="48"/>
      <c r="E416" s="48"/>
      <c r="F416" s="106" t="e">
        <f>Проект!#REF!</f>
        <v>#REF!</v>
      </c>
      <c r="G416" s="106" t="e">
        <f>Проект!#REF!</f>
        <v>#REF!</v>
      </c>
      <c r="H416" s="106" t="e">
        <f>Проект!#REF!</f>
        <v>#REF!</v>
      </c>
      <c r="I416" s="106" t="e">
        <f>Проект!#REF!</f>
        <v>#REF!</v>
      </c>
      <c r="J416" s="106" t="e">
        <f>Проект!#REF!</f>
        <v>#REF!</v>
      </c>
      <c r="K416" s="106" t="e">
        <f>Проект!#REF!</f>
        <v>#REF!</v>
      </c>
      <c r="L416" s="106" t="e">
        <f>Проект!#REF!</f>
        <v>#REF!</v>
      </c>
      <c r="M416" s="106" t="e">
        <f>Проект!#REF!</f>
        <v>#REF!</v>
      </c>
      <c r="N416" s="106" t="e">
        <f>Проект!#REF!</f>
        <v>#REF!</v>
      </c>
      <c r="O416" s="106" t="e">
        <f>Проект!#REF!</f>
        <v>#REF!</v>
      </c>
      <c r="P416" s="106" t="e">
        <f>Проект!#REF!</f>
        <v>#REF!</v>
      </c>
      <c r="Q416" s="106" t="e">
        <f>Проект!#REF!</f>
        <v>#REF!</v>
      </c>
      <c r="R416" s="106"/>
      <c r="S416" s="94" t="e">
        <f>Проект!#REF!</f>
        <v>#REF!</v>
      </c>
    </row>
    <row r="417" spans="1:19" ht="11.25" customHeight="1" x14ac:dyDescent="0.2">
      <c r="A417" s="48" t="e">
        <f>Проект!#REF!</f>
        <v>#REF!</v>
      </c>
      <c r="B417" s="41" t="e">
        <f>Проект!#REF!</f>
        <v>#REF!</v>
      </c>
      <c r="C417" s="48"/>
      <c r="D417" s="48" t="e">
        <f>Проект!#REF!</f>
        <v>#REF!</v>
      </c>
      <c r="E417" s="48" t="e">
        <f>Проект!#REF!</f>
        <v>#REF!</v>
      </c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1"/>
    </row>
    <row r="418" spans="1:19" ht="11.25" customHeight="1" x14ac:dyDescent="0.2">
      <c r="A418" s="333" t="e">
        <f>Проект!#REF!</f>
        <v>#REF!</v>
      </c>
      <c r="B418" s="355" t="e">
        <f>Проект!#REF!</f>
        <v>#REF!</v>
      </c>
      <c r="C418" s="334" t="e">
        <f>Проект!#REF!</f>
        <v>#REF!</v>
      </c>
      <c r="D418" s="48"/>
      <c r="E418" s="48"/>
      <c r="F418" s="106" t="e">
        <f>Проект!#REF!</f>
        <v>#REF!</v>
      </c>
      <c r="G418" s="106" t="e">
        <f>Проект!#REF!</f>
        <v>#REF!</v>
      </c>
      <c r="H418" s="106" t="e">
        <f>Проект!#REF!</f>
        <v>#REF!</v>
      </c>
      <c r="I418" s="106" t="e">
        <f>Проект!#REF!</f>
        <v>#REF!</v>
      </c>
      <c r="J418" s="106" t="e">
        <f>Проект!#REF!</f>
        <v>#REF!</v>
      </c>
      <c r="K418" s="106" t="e">
        <f>Проект!#REF!</f>
        <v>#REF!</v>
      </c>
      <c r="L418" s="106" t="e">
        <f>Проект!#REF!</f>
        <v>#REF!</v>
      </c>
      <c r="M418" s="106" t="e">
        <f>Проект!#REF!</f>
        <v>#REF!</v>
      </c>
      <c r="N418" s="106" t="e">
        <f>Проект!#REF!</f>
        <v>#REF!</v>
      </c>
      <c r="O418" s="106" t="e">
        <f>Проект!#REF!</f>
        <v>#REF!</v>
      </c>
      <c r="P418" s="106" t="e">
        <f>Проект!#REF!</f>
        <v>#REF!</v>
      </c>
      <c r="Q418" s="106" t="e">
        <f>Проект!#REF!</f>
        <v>#REF!</v>
      </c>
      <c r="R418" s="106"/>
      <c r="S418" s="94" t="e">
        <f>Проект!#REF!</f>
        <v>#REF!</v>
      </c>
    </row>
    <row r="419" spans="1:19" ht="11.25" customHeight="1" x14ac:dyDescent="0.2">
      <c r="A419" s="333" t="e">
        <f>Проект!#REF!</f>
        <v>#REF!</v>
      </c>
      <c r="B419" s="356" t="e">
        <f>Проект!#REF!</f>
        <v>#REF!</v>
      </c>
      <c r="C419" s="334" t="e">
        <f>Проект!#REF!</f>
        <v>#REF!</v>
      </c>
      <c r="D419" s="48"/>
      <c r="E419" s="48"/>
      <c r="F419" s="106" t="e">
        <f>Проект!#REF!</f>
        <v>#REF!</v>
      </c>
      <c r="G419" s="106" t="e">
        <f>Проект!#REF!</f>
        <v>#REF!</v>
      </c>
      <c r="H419" s="106" t="e">
        <f>Проект!#REF!</f>
        <v>#REF!</v>
      </c>
      <c r="I419" s="106" t="e">
        <f>Проект!#REF!</f>
        <v>#REF!</v>
      </c>
      <c r="J419" s="106" t="e">
        <f>Проект!#REF!</f>
        <v>#REF!</v>
      </c>
      <c r="K419" s="106" t="e">
        <f>Проект!#REF!</f>
        <v>#REF!</v>
      </c>
      <c r="L419" s="106" t="e">
        <f>Проект!#REF!</f>
        <v>#REF!</v>
      </c>
      <c r="M419" s="106" t="e">
        <f>Проект!#REF!</f>
        <v>#REF!</v>
      </c>
      <c r="N419" s="106" t="e">
        <f>Проект!#REF!</f>
        <v>#REF!</v>
      </c>
      <c r="O419" s="106" t="e">
        <f>Проект!#REF!</f>
        <v>#REF!</v>
      </c>
      <c r="P419" s="106" t="e">
        <f>Проект!#REF!</f>
        <v>#REF!</v>
      </c>
      <c r="Q419" s="106" t="e">
        <f>Проект!#REF!</f>
        <v>#REF!</v>
      </c>
      <c r="R419" s="106"/>
      <c r="S419" s="94" t="e">
        <f>Проект!#REF!</f>
        <v>#REF!</v>
      </c>
    </row>
    <row r="420" spans="1:19" ht="11.25" customHeight="1" x14ac:dyDescent="0.2">
      <c r="A420" s="333" t="e">
        <f>Проект!#REF!</f>
        <v>#REF!</v>
      </c>
      <c r="B420" s="355" t="e">
        <f>Проект!#REF!</f>
        <v>#REF!</v>
      </c>
      <c r="C420" s="334" t="e">
        <f>Проект!#REF!</f>
        <v>#REF!</v>
      </c>
      <c r="D420" s="48"/>
      <c r="E420" s="48"/>
      <c r="F420" s="106" t="e">
        <f>Проект!#REF!</f>
        <v>#REF!</v>
      </c>
      <c r="G420" s="106" t="e">
        <f>Проект!#REF!</f>
        <v>#REF!</v>
      </c>
      <c r="H420" s="106" t="e">
        <f>Проект!#REF!</f>
        <v>#REF!</v>
      </c>
      <c r="I420" s="106" t="e">
        <f>Проект!#REF!</f>
        <v>#REF!</v>
      </c>
      <c r="J420" s="106" t="e">
        <f>Проект!#REF!</f>
        <v>#REF!</v>
      </c>
      <c r="K420" s="106" t="e">
        <f>Проект!#REF!</f>
        <v>#REF!</v>
      </c>
      <c r="L420" s="106" t="e">
        <f>Проект!#REF!</f>
        <v>#REF!</v>
      </c>
      <c r="M420" s="106" t="e">
        <f>Проект!#REF!</f>
        <v>#REF!</v>
      </c>
      <c r="N420" s="106" t="e">
        <f>Проект!#REF!</f>
        <v>#REF!</v>
      </c>
      <c r="O420" s="106" t="e">
        <f>Проект!#REF!</f>
        <v>#REF!</v>
      </c>
      <c r="P420" s="106" t="e">
        <f>Проект!#REF!</f>
        <v>#REF!</v>
      </c>
      <c r="Q420" s="106" t="e">
        <f>Проект!#REF!</f>
        <v>#REF!</v>
      </c>
      <c r="R420" s="106"/>
      <c r="S420" s="94" t="e">
        <f>Проект!#REF!</f>
        <v>#REF!</v>
      </c>
    </row>
    <row r="421" spans="1:19" ht="11.25" customHeight="1" x14ac:dyDescent="0.2">
      <c r="A421" s="48" t="e">
        <f>Проект!#REF!</f>
        <v>#REF!</v>
      </c>
      <c r="B421" s="41" t="e">
        <f>Проект!#REF!</f>
        <v>#REF!</v>
      </c>
      <c r="C421" s="48"/>
      <c r="D421" s="48" t="e">
        <f>Проект!#REF!</f>
        <v>#REF!</v>
      </c>
      <c r="E421" s="48" t="e">
        <f>Проект!#REF!</f>
        <v>#REF!</v>
      </c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1"/>
    </row>
    <row r="422" spans="1:19" ht="11.25" customHeight="1" x14ac:dyDescent="0.2">
      <c r="A422" s="333" t="e">
        <f>Проект!#REF!</f>
        <v>#REF!</v>
      </c>
      <c r="B422" s="355" t="e">
        <f>Проект!#REF!</f>
        <v>#REF!</v>
      </c>
      <c r="C422" s="334" t="e">
        <f>Проект!#REF!</f>
        <v>#REF!</v>
      </c>
      <c r="D422" s="48"/>
      <c r="E422" s="48"/>
      <c r="F422" s="106" t="e">
        <f>Проект!#REF!</f>
        <v>#REF!</v>
      </c>
      <c r="G422" s="106" t="e">
        <f>Проект!#REF!</f>
        <v>#REF!</v>
      </c>
      <c r="H422" s="106" t="e">
        <f>Проект!#REF!</f>
        <v>#REF!</v>
      </c>
      <c r="I422" s="106" t="e">
        <f>Проект!#REF!</f>
        <v>#REF!</v>
      </c>
      <c r="J422" s="106" t="e">
        <f>Проект!#REF!</f>
        <v>#REF!</v>
      </c>
      <c r="K422" s="106" t="e">
        <f>Проект!#REF!</f>
        <v>#REF!</v>
      </c>
      <c r="L422" s="106" t="e">
        <f>Проект!#REF!</f>
        <v>#REF!</v>
      </c>
      <c r="M422" s="106" t="e">
        <f>Проект!#REF!</f>
        <v>#REF!</v>
      </c>
      <c r="N422" s="106" t="e">
        <f>Проект!#REF!</f>
        <v>#REF!</v>
      </c>
      <c r="O422" s="106" t="e">
        <f>Проект!#REF!</f>
        <v>#REF!</v>
      </c>
      <c r="P422" s="106" t="e">
        <f>Проект!#REF!</f>
        <v>#REF!</v>
      </c>
      <c r="Q422" s="106" t="e">
        <f>Проект!#REF!</f>
        <v>#REF!</v>
      </c>
      <c r="R422" s="106"/>
      <c r="S422" s="94" t="e">
        <f>Проект!#REF!</f>
        <v>#REF!</v>
      </c>
    </row>
    <row r="423" spans="1:19" ht="11.25" customHeight="1" x14ac:dyDescent="0.2">
      <c r="A423" s="333" t="e">
        <f>Проект!#REF!</f>
        <v>#REF!</v>
      </c>
      <c r="B423" s="356" t="e">
        <f>Проект!#REF!</f>
        <v>#REF!</v>
      </c>
      <c r="C423" s="334" t="e">
        <f>Проект!#REF!</f>
        <v>#REF!</v>
      </c>
      <c r="D423" s="48"/>
      <c r="E423" s="48"/>
      <c r="F423" s="106" t="e">
        <f>Проект!#REF!</f>
        <v>#REF!</v>
      </c>
      <c r="G423" s="106" t="e">
        <f>Проект!#REF!</f>
        <v>#REF!</v>
      </c>
      <c r="H423" s="106" t="e">
        <f>Проект!#REF!</f>
        <v>#REF!</v>
      </c>
      <c r="I423" s="106" t="e">
        <f>Проект!#REF!</f>
        <v>#REF!</v>
      </c>
      <c r="J423" s="106" t="e">
        <f>Проект!#REF!</f>
        <v>#REF!</v>
      </c>
      <c r="K423" s="106" t="e">
        <f>Проект!#REF!</f>
        <v>#REF!</v>
      </c>
      <c r="L423" s="106" t="e">
        <f>Проект!#REF!</f>
        <v>#REF!</v>
      </c>
      <c r="M423" s="106" t="e">
        <f>Проект!#REF!</f>
        <v>#REF!</v>
      </c>
      <c r="N423" s="106" t="e">
        <f>Проект!#REF!</f>
        <v>#REF!</v>
      </c>
      <c r="O423" s="106" t="e">
        <f>Проект!#REF!</f>
        <v>#REF!</v>
      </c>
      <c r="P423" s="106" t="e">
        <f>Проект!#REF!</f>
        <v>#REF!</v>
      </c>
      <c r="Q423" s="106" t="e">
        <f>Проект!#REF!</f>
        <v>#REF!</v>
      </c>
      <c r="R423" s="106"/>
      <c r="S423" s="94" t="e">
        <f>Проект!#REF!</f>
        <v>#REF!</v>
      </c>
    </row>
    <row r="424" spans="1:19" ht="11.25" customHeight="1" x14ac:dyDescent="0.2">
      <c r="A424" s="333" t="e">
        <f>Проект!#REF!</f>
        <v>#REF!</v>
      </c>
      <c r="B424" s="355" t="e">
        <f>Проект!#REF!</f>
        <v>#REF!</v>
      </c>
      <c r="C424" s="334" t="e">
        <f>Проект!#REF!</f>
        <v>#REF!</v>
      </c>
      <c r="D424" s="48"/>
      <c r="E424" s="48"/>
      <c r="F424" s="106" t="e">
        <f>Проект!#REF!</f>
        <v>#REF!</v>
      </c>
      <c r="G424" s="106" t="e">
        <f>Проект!#REF!</f>
        <v>#REF!</v>
      </c>
      <c r="H424" s="106" t="e">
        <f>Проект!#REF!</f>
        <v>#REF!</v>
      </c>
      <c r="I424" s="106" t="e">
        <f>Проект!#REF!</f>
        <v>#REF!</v>
      </c>
      <c r="J424" s="106" t="e">
        <f>Проект!#REF!</f>
        <v>#REF!</v>
      </c>
      <c r="K424" s="106" t="e">
        <f>Проект!#REF!</f>
        <v>#REF!</v>
      </c>
      <c r="L424" s="106" t="e">
        <f>Проект!#REF!</f>
        <v>#REF!</v>
      </c>
      <c r="M424" s="106" t="e">
        <f>Проект!#REF!</f>
        <v>#REF!</v>
      </c>
      <c r="N424" s="106" t="e">
        <f>Проект!#REF!</f>
        <v>#REF!</v>
      </c>
      <c r="O424" s="106" t="e">
        <f>Проект!#REF!</f>
        <v>#REF!</v>
      </c>
      <c r="P424" s="106" t="e">
        <f>Проект!#REF!</f>
        <v>#REF!</v>
      </c>
      <c r="Q424" s="106" t="e">
        <f>Проект!#REF!</f>
        <v>#REF!</v>
      </c>
      <c r="R424" s="106"/>
      <c r="S424" s="94" t="e">
        <f>Проект!#REF!</f>
        <v>#REF!</v>
      </c>
    </row>
    <row r="425" spans="1:19" ht="11.25" customHeight="1" x14ac:dyDescent="0.2">
      <c r="A425" s="48" t="e">
        <f>Проект!#REF!</f>
        <v>#REF!</v>
      </c>
      <c r="B425" s="41" t="e">
        <f>Проект!#REF!</f>
        <v>#REF!</v>
      </c>
      <c r="C425" s="48"/>
      <c r="D425" s="48" t="e">
        <f>Проект!#REF!</f>
        <v>#REF!</v>
      </c>
      <c r="E425" s="48" t="e">
        <f>Проект!#REF!</f>
        <v>#REF!</v>
      </c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1"/>
    </row>
    <row r="426" spans="1:19" ht="11.25" customHeight="1" x14ac:dyDescent="0.2">
      <c r="A426" s="333" t="e">
        <f>Проект!#REF!</f>
        <v>#REF!</v>
      </c>
      <c r="B426" s="355" t="e">
        <f>Проект!#REF!</f>
        <v>#REF!</v>
      </c>
      <c r="C426" s="334" t="e">
        <f>Проект!#REF!</f>
        <v>#REF!</v>
      </c>
      <c r="D426" s="48"/>
      <c r="E426" s="48"/>
      <c r="F426" s="106" t="e">
        <f>Проект!#REF!</f>
        <v>#REF!</v>
      </c>
      <c r="G426" s="106" t="e">
        <f>Проект!#REF!</f>
        <v>#REF!</v>
      </c>
      <c r="H426" s="106" t="e">
        <f>Проект!#REF!</f>
        <v>#REF!</v>
      </c>
      <c r="I426" s="106" t="e">
        <f>Проект!#REF!</f>
        <v>#REF!</v>
      </c>
      <c r="J426" s="106" t="e">
        <f>Проект!#REF!</f>
        <v>#REF!</v>
      </c>
      <c r="K426" s="106" t="e">
        <f>Проект!#REF!</f>
        <v>#REF!</v>
      </c>
      <c r="L426" s="106" t="e">
        <f>Проект!#REF!</f>
        <v>#REF!</v>
      </c>
      <c r="M426" s="106" t="e">
        <f>Проект!#REF!</f>
        <v>#REF!</v>
      </c>
      <c r="N426" s="106" t="e">
        <f>Проект!#REF!</f>
        <v>#REF!</v>
      </c>
      <c r="O426" s="106" t="e">
        <f>Проект!#REF!</f>
        <v>#REF!</v>
      </c>
      <c r="P426" s="106" t="e">
        <f>Проект!#REF!</f>
        <v>#REF!</v>
      </c>
      <c r="Q426" s="106" t="e">
        <f>Проект!#REF!</f>
        <v>#REF!</v>
      </c>
      <c r="R426" s="106"/>
      <c r="S426" s="94" t="e">
        <f>Проект!#REF!</f>
        <v>#REF!</v>
      </c>
    </row>
    <row r="427" spans="1:19" ht="11.25" customHeight="1" x14ac:dyDescent="0.2">
      <c r="A427" s="333" t="e">
        <f>Проект!#REF!</f>
        <v>#REF!</v>
      </c>
      <c r="B427" s="356" t="e">
        <f>Проект!#REF!</f>
        <v>#REF!</v>
      </c>
      <c r="C427" s="334" t="e">
        <f>Проект!#REF!</f>
        <v>#REF!</v>
      </c>
      <c r="D427" s="48"/>
      <c r="E427" s="48"/>
      <c r="F427" s="106" t="e">
        <f>Проект!#REF!</f>
        <v>#REF!</v>
      </c>
      <c r="G427" s="106" t="e">
        <f>Проект!#REF!</f>
        <v>#REF!</v>
      </c>
      <c r="H427" s="106" t="e">
        <f>Проект!#REF!</f>
        <v>#REF!</v>
      </c>
      <c r="I427" s="106" t="e">
        <f>Проект!#REF!</f>
        <v>#REF!</v>
      </c>
      <c r="J427" s="106" t="e">
        <f>Проект!#REF!</f>
        <v>#REF!</v>
      </c>
      <c r="K427" s="106" t="e">
        <f>Проект!#REF!</f>
        <v>#REF!</v>
      </c>
      <c r="L427" s="106" t="e">
        <f>Проект!#REF!</f>
        <v>#REF!</v>
      </c>
      <c r="M427" s="106" t="e">
        <f>Проект!#REF!</f>
        <v>#REF!</v>
      </c>
      <c r="N427" s="106" t="e">
        <f>Проект!#REF!</f>
        <v>#REF!</v>
      </c>
      <c r="O427" s="106" t="e">
        <f>Проект!#REF!</f>
        <v>#REF!</v>
      </c>
      <c r="P427" s="106" t="e">
        <f>Проект!#REF!</f>
        <v>#REF!</v>
      </c>
      <c r="Q427" s="106" t="e">
        <f>Проект!#REF!</f>
        <v>#REF!</v>
      </c>
      <c r="R427" s="106"/>
      <c r="S427" s="94" t="e">
        <f>Проект!#REF!</f>
        <v>#REF!</v>
      </c>
    </row>
    <row r="428" spans="1:19" ht="11.25" customHeight="1" x14ac:dyDescent="0.2">
      <c r="A428" s="333" t="e">
        <f>Проект!#REF!</f>
        <v>#REF!</v>
      </c>
      <c r="B428" s="355" t="e">
        <f>Проект!#REF!</f>
        <v>#REF!</v>
      </c>
      <c r="C428" s="334" t="e">
        <f>Проект!#REF!</f>
        <v>#REF!</v>
      </c>
      <c r="D428" s="48"/>
      <c r="E428" s="48"/>
      <c r="F428" s="106" t="e">
        <f>Проект!#REF!</f>
        <v>#REF!</v>
      </c>
      <c r="G428" s="106" t="e">
        <f>Проект!#REF!</f>
        <v>#REF!</v>
      </c>
      <c r="H428" s="106" t="e">
        <f>Проект!#REF!</f>
        <v>#REF!</v>
      </c>
      <c r="I428" s="106" t="e">
        <f>Проект!#REF!</f>
        <v>#REF!</v>
      </c>
      <c r="J428" s="106" t="e">
        <f>Проект!#REF!</f>
        <v>#REF!</v>
      </c>
      <c r="K428" s="106" t="e">
        <f>Проект!#REF!</f>
        <v>#REF!</v>
      </c>
      <c r="L428" s="106" t="e">
        <f>Проект!#REF!</f>
        <v>#REF!</v>
      </c>
      <c r="M428" s="106" t="e">
        <f>Проект!#REF!</f>
        <v>#REF!</v>
      </c>
      <c r="N428" s="106" t="e">
        <f>Проект!#REF!</f>
        <v>#REF!</v>
      </c>
      <c r="O428" s="106" t="e">
        <f>Проект!#REF!</f>
        <v>#REF!</v>
      </c>
      <c r="P428" s="106" t="e">
        <f>Проект!#REF!</f>
        <v>#REF!</v>
      </c>
      <c r="Q428" s="106" t="e">
        <f>Проект!#REF!</f>
        <v>#REF!</v>
      </c>
      <c r="R428" s="106"/>
      <c r="S428" s="94" t="e">
        <f>Проект!#REF!</f>
        <v>#REF!</v>
      </c>
    </row>
    <row r="429" spans="1:19" ht="11.25" customHeight="1" x14ac:dyDescent="0.2">
      <c r="A429" s="48" t="e">
        <f>Проект!#REF!</f>
        <v>#REF!</v>
      </c>
      <c r="B429" s="41" t="e">
        <f>Проект!#REF!</f>
        <v>#REF!</v>
      </c>
      <c r="C429" s="48"/>
      <c r="D429" s="48" t="e">
        <f>Проект!#REF!</f>
        <v>#REF!</v>
      </c>
      <c r="E429" s="48" t="e">
        <f>Проект!#REF!</f>
        <v>#REF!</v>
      </c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1"/>
    </row>
    <row r="430" spans="1:19" ht="11.25" customHeight="1" x14ac:dyDescent="0.2">
      <c r="A430" s="333" t="e">
        <f>Проект!#REF!</f>
        <v>#REF!</v>
      </c>
      <c r="B430" s="355" t="e">
        <f>Проект!#REF!</f>
        <v>#REF!</v>
      </c>
      <c r="C430" s="334" t="e">
        <f>Проект!#REF!</f>
        <v>#REF!</v>
      </c>
      <c r="D430" s="48"/>
      <c r="E430" s="48"/>
      <c r="F430" s="106" t="e">
        <f>Проект!#REF!</f>
        <v>#REF!</v>
      </c>
      <c r="G430" s="106" t="e">
        <f>Проект!#REF!</f>
        <v>#REF!</v>
      </c>
      <c r="H430" s="106" t="e">
        <f>Проект!#REF!</f>
        <v>#REF!</v>
      </c>
      <c r="I430" s="106" t="e">
        <f>Проект!#REF!</f>
        <v>#REF!</v>
      </c>
      <c r="J430" s="106" t="e">
        <f>Проект!#REF!</f>
        <v>#REF!</v>
      </c>
      <c r="K430" s="106" t="e">
        <f>Проект!#REF!</f>
        <v>#REF!</v>
      </c>
      <c r="L430" s="106" t="e">
        <f>Проект!#REF!</f>
        <v>#REF!</v>
      </c>
      <c r="M430" s="106" t="e">
        <f>Проект!#REF!</f>
        <v>#REF!</v>
      </c>
      <c r="N430" s="106" t="e">
        <f>Проект!#REF!</f>
        <v>#REF!</v>
      </c>
      <c r="O430" s="106" t="e">
        <f>Проект!#REF!</f>
        <v>#REF!</v>
      </c>
      <c r="P430" s="106" t="e">
        <f>Проект!#REF!</f>
        <v>#REF!</v>
      </c>
      <c r="Q430" s="106" t="e">
        <f>Проект!#REF!</f>
        <v>#REF!</v>
      </c>
      <c r="R430" s="106"/>
      <c r="S430" s="94" t="e">
        <f>Проект!#REF!</f>
        <v>#REF!</v>
      </c>
    </row>
    <row r="431" spans="1:19" ht="11.25" customHeight="1" x14ac:dyDescent="0.2">
      <c r="A431" s="333" t="e">
        <f>Проект!#REF!</f>
        <v>#REF!</v>
      </c>
      <c r="B431" s="356" t="e">
        <f>Проект!#REF!</f>
        <v>#REF!</v>
      </c>
      <c r="C431" s="334" t="e">
        <f>Проект!#REF!</f>
        <v>#REF!</v>
      </c>
      <c r="D431" s="48"/>
      <c r="E431" s="48"/>
      <c r="F431" s="106" t="e">
        <f>Проект!#REF!</f>
        <v>#REF!</v>
      </c>
      <c r="G431" s="106" t="e">
        <f>Проект!#REF!</f>
        <v>#REF!</v>
      </c>
      <c r="H431" s="106" t="e">
        <f>Проект!#REF!</f>
        <v>#REF!</v>
      </c>
      <c r="I431" s="106" t="e">
        <f>Проект!#REF!</f>
        <v>#REF!</v>
      </c>
      <c r="J431" s="106" t="e">
        <f>Проект!#REF!</f>
        <v>#REF!</v>
      </c>
      <c r="K431" s="106" t="e">
        <f>Проект!#REF!</f>
        <v>#REF!</v>
      </c>
      <c r="L431" s="106" t="e">
        <f>Проект!#REF!</f>
        <v>#REF!</v>
      </c>
      <c r="M431" s="106" t="e">
        <f>Проект!#REF!</f>
        <v>#REF!</v>
      </c>
      <c r="N431" s="106" t="e">
        <f>Проект!#REF!</f>
        <v>#REF!</v>
      </c>
      <c r="O431" s="106" t="e">
        <f>Проект!#REF!</f>
        <v>#REF!</v>
      </c>
      <c r="P431" s="106" t="e">
        <f>Проект!#REF!</f>
        <v>#REF!</v>
      </c>
      <c r="Q431" s="106" t="e">
        <f>Проект!#REF!</f>
        <v>#REF!</v>
      </c>
      <c r="R431" s="106"/>
      <c r="S431" s="94" t="e">
        <f>Проект!#REF!</f>
        <v>#REF!</v>
      </c>
    </row>
    <row r="432" spans="1:19" ht="11.25" customHeight="1" x14ac:dyDescent="0.2">
      <c r="A432" s="333" t="e">
        <f>Проект!#REF!</f>
        <v>#REF!</v>
      </c>
      <c r="B432" s="355" t="e">
        <f>Проект!#REF!</f>
        <v>#REF!</v>
      </c>
      <c r="C432" s="334" t="e">
        <f>Проект!#REF!</f>
        <v>#REF!</v>
      </c>
      <c r="D432" s="48"/>
      <c r="E432" s="48"/>
      <c r="F432" s="106" t="e">
        <f>Проект!#REF!</f>
        <v>#REF!</v>
      </c>
      <c r="G432" s="106" t="e">
        <f>Проект!#REF!</f>
        <v>#REF!</v>
      </c>
      <c r="H432" s="106" t="e">
        <f>Проект!#REF!</f>
        <v>#REF!</v>
      </c>
      <c r="I432" s="106" t="e">
        <f>Проект!#REF!</f>
        <v>#REF!</v>
      </c>
      <c r="J432" s="106" t="e">
        <f>Проект!#REF!</f>
        <v>#REF!</v>
      </c>
      <c r="K432" s="106" t="e">
        <f>Проект!#REF!</f>
        <v>#REF!</v>
      </c>
      <c r="L432" s="106" t="e">
        <f>Проект!#REF!</f>
        <v>#REF!</v>
      </c>
      <c r="M432" s="106" t="e">
        <f>Проект!#REF!</f>
        <v>#REF!</v>
      </c>
      <c r="N432" s="106" t="e">
        <f>Проект!#REF!</f>
        <v>#REF!</v>
      </c>
      <c r="O432" s="106" t="e">
        <f>Проект!#REF!</f>
        <v>#REF!</v>
      </c>
      <c r="P432" s="106" t="e">
        <f>Проект!#REF!</f>
        <v>#REF!</v>
      </c>
      <c r="Q432" s="106" t="e">
        <f>Проект!#REF!</f>
        <v>#REF!</v>
      </c>
      <c r="R432" s="106"/>
      <c r="S432" s="94" t="e">
        <f>Проект!#REF!</f>
        <v>#REF!</v>
      </c>
    </row>
    <row r="433" spans="1:19" ht="11.25" customHeight="1" x14ac:dyDescent="0.2">
      <c r="A433" s="48" t="e">
        <f>Проект!#REF!</f>
        <v>#REF!</v>
      </c>
      <c r="B433" s="41" t="e">
        <f>Проект!#REF!</f>
        <v>#REF!</v>
      </c>
      <c r="C433" s="48"/>
      <c r="D433" s="48" t="e">
        <f>Проект!#REF!</f>
        <v>#REF!</v>
      </c>
      <c r="E433" s="48" t="e">
        <f>Проект!#REF!</f>
        <v>#REF!</v>
      </c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1"/>
    </row>
    <row r="434" spans="1:19" ht="11.25" customHeight="1" x14ac:dyDescent="0.2">
      <c r="A434" s="333" t="e">
        <f>Проект!#REF!</f>
        <v>#REF!</v>
      </c>
      <c r="B434" s="355" t="e">
        <f>Проект!#REF!</f>
        <v>#REF!</v>
      </c>
      <c r="C434" s="334" t="e">
        <f>Проект!#REF!</f>
        <v>#REF!</v>
      </c>
      <c r="D434" s="48"/>
      <c r="E434" s="48"/>
      <c r="F434" s="106" t="e">
        <f>Проект!#REF!</f>
        <v>#REF!</v>
      </c>
      <c r="G434" s="106" t="e">
        <f>Проект!#REF!</f>
        <v>#REF!</v>
      </c>
      <c r="H434" s="106" t="e">
        <f>Проект!#REF!</f>
        <v>#REF!</v>
      </c>
      <c r="I434" s="106" t="e">
        <f>Проект!#REF!</f>
        <v>#REF!</v>
      </c>
      <c r="J434" s="106" t="e">
        <f>Проект!#REF!</f>
        <v>#REF!</v>
      </c>
      <c r="K434" s="106" t="e">
        <f>Проект!#REF!</f>
        <v>#REF!</v>
      </c>
      <c r="L434" s="106" t="e">
        <f>Проект!#REF!</f>
        <v>#REF!</v>
      </c>
      <c r="M434" s="106" t="e">
        <f>Проект!#REF!</f>
        <v>#REF!</v>
      </c>
      <c r="N434" s="106" t="e">
        <f>Проект!#REF!</f>
        <v>#REF!</v>
      </c>
      <c r="O434" s="106" t="e">
        <f>Проект!#REF!</f>
        <v>#REF!</v>
      </c>
      <c r="P434" s="106" t="e">
        <f>Проект!#REF!</f>
        <v>#REF!</v>
      </c>
      <c r="Q434" s="106" t="e">
        <f>Проект!#REF!</f>
        <v>#REF!</v>
      </c>
      <c r="R434" s="106"/>
      <c r="S434" s="94" t="e">
        <f>Проект!#REF!</f>
        <v>#REF!</v>
      </c>
    </row>
    <row r="435" spans="1:19" ht="11.25" customHeight="1" x14ac:dyDescent="0.2">
      <c r="A435" s="333" t="e">
        <f>Проект!#REF!</f>
        <v>#REF!</v>
      </c>
      <c r="B435" s="356" t="e">
        <f>Проект!#REF!</f>
        <v>#REF!</v>
      </c>
      <c r="C435" s="334" t="e">
        <f>Проект!#REF!</f>
        <v>#REF!</v>
      </c>
      <c r="D435" s="48"/>
      <c r="E435" s="48"/>
      <c r="F435" s="106" t="e">
        <f>Проект!#REF!</f>
        <v>#REF!</v>
      </c>
      <c r="G435" s="106" t="e">
        <f>Проект!#REF!</f>
        <v>#REF!</v>
      </c>
      <c r="H435" s="106" t="e">
        <f>Проект!#REF!</f>
        <v>#REF!</v>
      </c>
      <c r="I435" s="106" t="e">
        <f>Проект!#REF!</f>
        <v>#REF!</v>
      </c>
      <c r="J435" s="106" t="e">
        <f>Проект!#REF!</f>
        <v>#REF!</v>
      </c>
      <c r="K435" s="106" t="e">
        <f>Проект!#REF!</f>
        <v>#REF!</v>
      </c>
      <c r="L435" s="106" t="e">
        <f>Проект!#REF!</f>
        <v>#REF!</v>
      </c>
      <c r="M435" s="106" t="e">
        <f>Проект!#REF!</f>
        <v>#REF!</v>
      </c>
      <c r="N435" s="106" t="e">
        <f>Проект!#REF!</f>
        <v>#REF!</v>
      </c>
      <c r="O435" s="106" t="e">
        <f>Проект!#REF!</f>
        <v>#REF!</v>
      </c>
      <c r="P435" s="106" t="e">
        <f>Проект!#REF!</f>
        <v>#REF!</v>
      </c>
      <c r="Q435" s="106" t="e">
        <f>Проект!#REF!</f>
        <v>#REF!</v>
      </c>
      <c r="R435" s="106"/>
      <c r="S435" s="94" t="e">
        <f>Проект!#REF!</f>
        <v>#REF!</v>
      </c>
    </row>
    <row r="436" spans="1:19" ht="11.25" customHeight="1" x14ac:dyDescent="0.2">
      <c r="A436" s="333" t="e">
        <f>Проект!#REF!</f>
        <v>#REF!</v>
      </c>
      <c r="B436" s="355" t="e">
        <f>Проект!#REF!</f>
        <v>#REF!</v>
      </c>
      <c r="C436" s="334" t="e">
        <f>Проект!#REF!</f>
        <v>#REF!</v>
      </c>
      <c r="D436" s="48"/>
      <c r="E436" s="48"/>
      <c r="F436" s="106" t="e">
        <f>Проект!#REF!</f>
        <v>#REF!</v>
      </c>
      <c r="G436" s="106" t="e">
        <f>Проект!#REF!</f>
        <v>#REF!</v>
      </c>
      <c r="H436" s="106" t="e">
        <f>Проект!#REF!</f>
        <v>#REF!</v>
      </c>
      <c r="I436" s="106" t="e">
        <f>Проект!#REF!</f>
        <v>#REF!</v>
      </c>
      <c r="J436" s="106" t="e">
        <f>Проект!#REF!</f>
        <v>#REF!</v>
      </c>
      <c r="K436" s="106" t="e">
        <f>Проект!#REF!</f>
        <v>#REF!</v>
      </c>
      <c r="L436" s="106" t="e">
        <f>Проект!#REF!</f>
        <v>#REF!</v>
      </c>
      <c r="M436" s="106" t="e">
        <f>Проект!#REF!</f>
        <v>#REF!</v>
      </c>
      <c r="N436" s="106" t="e">
        <f>Проект!#REF!</f>
        <v>#REF!</v>
      </c>
      <c r="O436" s="106" t="e">
        <f>Проект!#REF!</f>
        <v>#REF!</v>
      </c>
      <c r="P436" s="106" t="e">
        <f>Проект!#REF!</f>
        <v>#REF!</v>
      </c>
      <c r="Q436" s="106" t="e">
        <f>Проект!#REF!</f>
        <v>#REF!</v>
      </c>
      <c r="R436" s="106"/>
      <c r="S436" s="94" t="e">
        <f>Проект!#REF!</f>
        <v>#REF!</v>
      </c>
    </row>
    <row r="437" spans="1:19" ht="11.25" customHeight="1" x14ac:dyDescent="0.2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1"/>
    </row>
    <row r="440" spans="1:19" ht="15.9" customHeight="1" thickBot="1" x14ac:dyDescent="0.25">
      <c r="A440" s="166" t="str">
        <f ca="1">Проект!$A$858</f>
        <v xml:space="preserve">         ТЕКУЩИЕ ЗАТРАТЫ</v>
      </c>
      <c r="B440" s="166"/>
      <c r="C440" s="166"/>
      <c r="D440" s="166"/>
      <c r="E440" s="166"/>
      <c r="F440" s="178" t="str">
        <f>Проект!$F$858</f>
        <v>4/ 2020</v>
      </c>
      <c r="G440" s="178" t="str">
        <f>Проект!$G$858</f>
        <v>5/ 2020</v>
      </c>
      <c r="H440" s="178" t="str">
        <f>Проект!$H$858</f>
        <v>6/ 2020</v>
      </c>
      <c r="I440" s="178" t="str">
        <f>Проект!$I$858</f>
        <v>7/ 2020</v>
      </c>
      <c r="J440" s="178" t="str">
        <f>Проект!$J$858</f>
        <v>8/ 2020</v>
      </c>
      <c r="K440" s="178" t="e">
        <f>Проект!#REF!</f>
        <v>#REF!</v>
      </c>
      <c r="L440" s="178" t="e">
        <f>Проект!#REF!</f>
        <v>#REF!</v>
      </c>
      <c r="M440" s="178" t="e">
        <f>Проект!#REF!</f>
        <v>#REF!</v>
      </c>
      <c r="N440" s="178" t="e">
        <f>Проект!#REF!</f>
        <v>#REF!</v>
      </c>
      <c r="O440" s="178" t="e">
        <f>Проект!#REF!</f>
        <v>#REF!</v>
      </c>
      <c r="P440" s="178" t="e">
        <f>Проект!#REF!</f>
        <v>#REF!</v>
      </c>
      <c r="Q440" s="178" t="str">
        <f>Проект!$K$858</f>
        <v>9/ 2020</v>
      </c>
      <c r="R440" s="166"/>
      <c r="S440" s="195" t="str">
        <f ca="1">Проект!$M$858</f>
        <v>ИТОГО</v>
      </c>
    </row>
    <row r="441" spans="1:19" ht="12" customHeight="1" thickTop="1" x14ac:dyDescent="0.2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1"/>
    </row>
    <row r="442" spans="1:19" ht="11.25" customHeight="1" x14ac:dyDescent="0.2">
      <c r="A442" s="130" t="str">
        <f ca="1">Проект!$A$860</f>
        <v>Прямые производственные расходы</v>
      </c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1"/>
    </row>
    <row r="443" spans="1:19" ht="11.25" customHeight="1" x14ac:dyDescent="0.2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1"/>
    </row>
    <row r="444" spans="1:19" ht="11.25" customHeight="1" x14ac:dyDescent="0.2">
      <c r="A444" s="48" t="str">
        <f ca="1">Проект!$A$862</f>
        <v>Расходы на материалы и комплектующие</v>
      </c>
      <c r="B444" s="48"/>
      <c r="C444" s="73" t="str">
        <f ca="1">Проект!$C$862</f>
        <v>руб.</v>
      </c>
      <c r="D444" s="48"/>
      <c r="E444" s="48"/>
      <c r="F444" s="106">
        <f>Проект!$F$862</f>
        <v>0</v>
      </c>
      <c r="G444" s="106">
        <f>Проект!$G$862</f>
        <v>0</v>
      </c>
      <c r="H444" s="106">
        <f>Проект!$H$862</f>
        <v>0</v>
      </c>
      <c r="I444" s="106">
        <f>Проект!$I$862</f>
        <v>0</v>
      </c>
      <c r="J444" s="106">
        <f>Проект!$J$862</f>
        <v>0</v>
      </c>
      <c r="K444" s="106" t="e">
        <f>Проект!#REF!</f>
        <v>#REF!</v>
      </c>
      <c r="L444" s="106" t="e">
        <f>Проект!#REF!</f>
        <v>#REF!</v>
      </c>
      <c r="M444" s="106" t="e">
        <f>Проект!#REF!</f>
        <v>#REF!</v>
      </c>
      <c r="N444" s="106" t="e">
        <f>Проект!#REF!</f>
        <v>#REF!</v>
      </c>
      <c r="O444" s="106" t="e">
        <f>Проект!#REF!</f>
        <v>#REF!</v>
      </c>
      <c r="P444" s="106" t="e">
        <f>Проект!#REF!</f>
        <v>#REF!</v>
      </c>
      <c r="Q444" s="106">
        <f>Проект!$K$862</f>
        <v>0</v>
      </c>
      <c r="R444" s="48"/>
      <c r="S444" s="94">
        <f>Проект!$M$862</f>
        <v>0</v>
      </c>
    </row>
    <row r="445" spans="1:19" ht="11.25" customHeight="1" x14ac:dyDescent="0.2">
      <c r="A445" s="48" t="str">
        <f ca="1">Проект!$A$863</f>
        <v>Прочие переменные затраты</v>
      </c>
      <c r="B445" s="48"/>
      <c r="C445" s="73" t="str">
        <f ca="1">Проект!$C$863</f>
        <v>руб.</v>
      </c>
      <c r="D445" s="48"/>
      <c r="E445" s="48"/>
      <c r="F445" s="106">
        <f>Проект!$F$863</f>
        <v>0</v>
      </c>
      <c r="G445" s="106">
        <f>Проект!$G$863</f>
        <v>0</v>
      </c>
      <c r="H445" s="106">
        <f>Проект!$H$863</f>
        <v>0</v>
      </c>
      <c r="I445" s="106">
        <f>Проект!$I$863</f>
        <v>0</v>
      </c>
      <c r="J445" s="106">
        <f>Проект!$J$863</f>
        <v>0</v>
      </c>
      <c r="K445" s="106" t="e">
        <f>Проект!#REF!</f>
        <v>#REF!</v>
      </c>
      <c r="L445" s="106" t="e">
        <f>Проект!#REF!</f>
        <v>#REF!</v>
      </c>
      <c r="M445" s="106" t="e">
        <f>Проект!#REF!</f>
        <v>#REF!</v>
      </c>
      <c r="N445" s="106" t="e">
        <f>Проект!#REF!</f>
        <v>#REF!</v>
      </c>
      <c r="O445" s="106" t="e">
        <f>Проект!#REF!</f>
        <v>#REF!</v>
      </c>
      <c r="P445" s="106" t="e">
        <f>Проект!#REF!</f>
        <v>#REF!</v>
      </c>
      <c r="Q445" s="106">
        <f>Проект!$K$863</f>
        <v>0</v>
      </c>
      <c r="R445" s="48"/>
      <c r="S445" s="94">
        <f>Проект!$M$863</f>
        <v>0</v>
      </c>
    </row>
    <row r="446" spans="1:19" ht="11.25" customHeight="1" x14ac:dyDescent="0.2">
      <c r="A446" s="48" t="str">
        <f ca="1">Проект!$A$864</f>
        <v>Зарплата основного производственного персонала</v>
      </c>
      <c r="B446" s="48"/>
      <c r="C446" s="73" t="str">
        <f ca="1">Проект!$C$864</f>
        <v>руб.</v>
      </c>
      <c r="D446" s="48"/>
      <c r="E446" s="48"/>
      <c r="F446" s="106">
        <f>Проект!$F$864</f>
        <v>590000</v>
      </c>
      <c r="G446" s="106">
        <f>Проект!$G$864</f>
        <v>730000</v>
      </c>
      <c r="H446" s="106">
        <f>Проект!$H$864</f>
        <v>870000</v>
      </c>
      <c r="I446" s="106">
        <f>Проект!$I$864</f>
        <v>940000</v>
      </c>
      <c r="J446" s="106">
        <f>Проект!$J$864</f>
        <v>940000</v>
      </c>
      <c r="K446" s="106" t="e">
        <f>Проект!#REF!</f>
        <v>#REF!</v>
      </c>
      <c r="L446" s="106" t="e">
        <f>Проект!#REF!</f>
        <v>#REF!</v>
      </c>
      <c r="M446" s="106" t="e">
        <f>Проект!#REF!</f>
        <v>#REF!</v>
      </c>
      <c r="N446" s="106" t="e">
        <f>Проект!#REF!</f>
        <v>#REF!</v>
      </c>
      <c r="O446" s="106" t="e">
        <f>Проект!#REF!</f>
        <v>#REF!</v>
      </c>
      <c r="P446" s="106" t="e">
        <f>Проект!#REF!</f>
        <v>#REF!</v>
      </c>
      <c r="Q446" s="106">
        <f>Проект!$K$864</f>
        <v>940000</v>
      </c>
      <c r="R446" s="48"/>
      <c r="S446" s="94">
        <f>Проект!$M$864</f>
        <v>5010000</v>
      </c>
    </row>
    <row r="447" spans="1:19" ht="11.25" customHeight="1" x14ac:dyDescent="0.2">
      <c r="A447" s="48" t="str">
        <f ca="1">Проект!$A$865</f>
        <v>ЕСН на зарплату основного произв. персонала</v>
      </c>
      <c r="B447" s="48"/>
      <c r="C447" s="73" t="str">
        <f ca="1">Проект!$C$865</f>
        <v>руб.</v>
      </c>
      <c r="D447" s="48"/>
      <c r="E447" s="48"/>
      <c r="F447" s="106">
        <f>Проект!$F$865</f>
        <v>82600.000000000015</v>
      </c>
      <c r="G447" s="106">
        <f>Проект!$G$865</f>
        <v>102200.00000000001</v>
      </c>
      <c r="H447" s="106">
        <f>Проект!$H$865</f>
        <v>121800.00000000001</v>
      </c>
      <c r="I447" s="106">
        <f>Проект!$I$865</f>
        <v>131600</v>
      </c>
      <c r="J447" s="106">
        <f>Проект!$J$865</f>
        <v>131600</v>
      </c>
      <c r="K447" s="106" t="e">
        <f>Проект!#REF!</f>
        <v>#REF!</v>
      </c>
      <c r="L447" s="106" t="e">
        <f>Проект!#REF!</f>
        <v>#REF!</v>
      </c>
      <c r="M447" s="106" t="e">
        <f>Проект!#REF!</f>
        <v>#REF!</v>
      </c>
      <c r="N447" s="106" t="e">
        <f>Проект!#REF!</f>
        <v>#REF!</v>
      </c>
      <c r="O447" s="106" t="e">
        <f>Проект!#REF!</f>
        <v>#REF!</v>
      </c>
      <c r="P447" s="106" t="e">
        <f>Проект!#REF!</f>
        <v>#REF!</v>
      </c>
      <c r="Q447" s="106">
        <f>Проект!$K$865</f>
        <v>131600</v>
      </c>
      <c r="R447" s="48"/>
      <c r="S447" s="94">
        <f>Проект!$M$865</f>
        <v>701400</v>
      </c>
    </row>
    <row r="448" spans="1:19" ht="11.25" customHeight="1" x14ac:dyDescent="0.2">
      <c r="A448" s="48"/>
      <c r="B448" s="197" t="str">
        <f ca="1">Проект!$B$866</f>
        <v>Валюта</v>
      </c>
      <c r="C448" s="48"/>
      <c r="D448" s="48">
        <f>Проект!$D$866</f>
        <v>1</v>
      </c>
      <c r="E448" s="48">
        <f>Проект!$E$866</f>
        <v>4</v>
      </c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1"/>
    </row>
    <row r="449" spans="1:19" ht="11.25" customHeight="1" x14ac:dyDescent="0.2">
      <c r="A449" s="333" t="str">
        <f ca="1">Проект!$A$867</f>
        <v>Наименование</v>
      </c>
      <c r="B449" s="334">
        <f>Проект!$B$867</f>
        <v>1</v>
      </c>
      <c r="C449" s="50" t="str">
        <f ca="1">Проект!$C$867</f>
        <v>руб.</v>
      </c>
      <c r="D449" s="101" t="str">
        <f>Проект!$D$867</f>
        <v>1_01</v>
      </c>
      <c r="E449" s="48"/>
      <c r="F449" s="352">
        <f>Проект!$F$867</f>
        <v>0</v>
      </c>
      <c r="G449" s="352">
        <f>Проект!$G$867</f>
        <v>0</v>
      </c>
      <c r="H449" s="352">
        <f>Проект!$H$867</f>
        <v>0</v>
      </c>
      <c r="I449" s="352">
        <f>Проект!$I$867</f>
        <v>0</v>
      </c>
      <c r="J449" s="352">
        <f>Проект!$J$867</f>
        <v>0</v>
      </c>
      <c r="K449" s="352" t="e">
        <f>Проект!#REF!</f>
        <v>#REF!</v>
      </c>
      <c r="L449" s="352" t="e">
        <f>Проект!#REF!</f>
        <v>#REF!</v>
      </c>
      <c r="M449" s="352" t="e">
        <f>Проект!#REF!</f>
        <v>#REF!</v>
      </c>
      <c r="N449" s="352" t="e">
        <f>Проект!#REF!</f>
        <v>#REF!</v>
      </c>
      <c r="O449" s="352" t="e">
        <f>Проект!#REF!</f>
        <v>#REF!</v>
      </c>
      <c r="P449" s="352" t="e">
        <f>Проект!#REF!</f>
        <v>#REF!</v>
      </c>
      <c r="Q449" s="352">
        <f>Проект!$K$867</f>
        <v>0</v>
      </c>
      <c r="R449" s="48"/>
      <c r="S449" s="94">
        <f>Проект!$M$867</f>
        <v>0</v>
      </c>
    </row>
    <row r="450" spans="1:19" hidden="1" x14ac:dyDescent="0.2">
      <c r="A450" s="48" t="str">
        <f ca="1">Проект!$A$868</f>
        <v>Предполагаемый темп годового роста цен</v>
      </c>
      <c r="B450" s="48"/>
      <c r="C450" s="73" t="str">
        <f>Проект!$C$868</f>
        <v>%</v>
      </c>
      <c r="D450" s="101" t="str">
        <f>Проект!$D$868</f>
        <v>int_avg</v>
      </c>
      <c r="E450" s="48"/>
      <c r="F450" s="357">
        <f>Проект!$F$868</f>
        <v>7.0000000000000007E-2</v>
      </c>
      <c r="G450" s="357">
        <f>Проект!$G$868</f>
        <v>7.0000000000000007E-2</v>
      </c>
      <c r="H450" s="357">
        <f>Проект!$H$868</f>
        <v>7.0000000000000007E-2</v>
      </c>
      <c r="I450" s="357">
        <f>Проект!$I$868</f>
        <v>7.0000000000000007E-2</v>
      </c>
      <c r="J450" s="357">
        <f>Проект!$J$868</f>
        <v>7.0000000000000007E-2</v>
      </c>
      <c r="K450" s="357" t="e">
        <f>Проект!#REF!</f>
        <v>#REF!</v>
      </c>
      <c r="L450" s="357" t="e">
        <f>Проект!#REF!</f>
        <v>#REF!</v>
      </c>
      <c r="M450" s="357" t="e">
        <f>Проект!#REF!</f>
        <v>#REF!</v>
      </c>
      <c r="N450" s="357" t="e">
        <f>Проект!#REF!</f>
        <v>#REF!</v>
      </c>
      <c r="O450" s="357" t="e">
        <f>Проект!#REF!</f>
        <v>#REF!</v>
      </c>
      <c r="P450" s="357" t="e">
        <f>Проект!#REF!</f>
        <v>#REF!</v>
      </c>
      <c r="Q450" s="357">
        <f>Проект!$K$868</f>
        <v>7.0000000000000007E-2</v>
      </c>
      <c r="R450" s="48"/>
      <c r="S450" s="41"/>
    </row>
    <row r="451" spans="1:19" hidden="1" x14ac:dyDescent="0.2">
      <c r="A451" s="48" t="str">
        <f ca="1">Проект!$A$869</f>
        <v>То же, в пересчете на период, равный шагу проекта</v>
      </c>
      <c r="B451" s="48"/>
      <c r="C451" s="73" t="str">
        <f>Проект!$C$869</f>
        <v>%</v>
      </c>
      <c r="D451" s="101" t="str">
        <f>Проект!$D$869</f>
        <v>int_avg</v>
      </c>
      <c r="E451" s="48"/>
      <c r="F451" s="30">
        <f>Проект!$F$869</f>
        <v>5.6541453874052738E-3</v>
      </c>
      <c r="G451" s="30">
        <f>Проект!$G$869</f>
        <v>5.6541453874052738E-3</v>
      </c>
      <c r="H451" s="30">
        <f>Проект!$H$869</f>
        <v>5.6541453874052738E-3</v>
      </c>
      <c r="I451" s="30">
        <f>Проект!$I$869</f>
        <v>5.6541453874052738E-3</v>
      </c>
      <c r="J451" s="30">
        <f>Проект!$J$869</f>
        <v>5.6541453874052738E-3</v>
      </c>
      <c r="K451" s="30" t="e">
        <f>Проект!#REF!</f>
        <v>#REF!</v>
      </c>
      <c r="L451" s="30" t="e">
        <f>Проект!#REF!</f>
        <v>#REF!</v>
      </c>
      <c r="M451" s="30" t="e">
        <f>Проект!#REF!</f>
        <v>#REF!</v>
      </c>
      <c r="N451" s="30" t="e">
        <f>Проект!#REF!</f>
        <v>#REF!</v>
      </c>
      <c r="O451" s="30" t="e">
        <f>Проект!#REF!</f>
        <v>#REF!</v>
      </c>
      <c r="P451" s="30" t="e">
        <f>Проект!#REF!</f>
        <v>#REF!</v>
      </c>
      <c r="Q451" s="30">
        <f>Проект!$K$869</f>
        <v>5.6541453874052738E-3</v>
      </c>
      <c r="R451" s="48"/>
      <c r="S451" s="41"/>
    </row>
    <row r="452" spans="1:19" hidden="1" x14ac:dyDescent="0.2">
      <c r="A452" s="48" t="str">
        <f ca="1">Проект!$A$870</f>
        <v>в том числе НДС</v>
      </c>
      <c r="B452" s="358">
        <f>Проект!$B$870</f>
        <v>0</v>
      </c>
      <c r="C452" s="73" t="str">
        <f ca="1">Проект!$C$870</f>
        <v>руб.</v>
      </c>
      <c r="D452" s="48" t="str">
        <f>Проект!$D$870</f>
        <v>1_02</v>
      </c>
      <c r="E452" s="48"/>
      <c r="F452" s="84">
        <f>Проект!$F$870</f>
        <v>0</v>
      </c>
      <c r="G452" s="84">
        <f>Проект!$G$870</f>
        <v>0</v>
      </c>
      <c r="H452" s="84">
        <f>Проект!$H$870</f>
        <v>0</v>
      </c>
      <c r="I452" s="84">
        <f>Проект!$I$870</f>
        <v>0</v>
      </c>
      <c r="J452" s="84">
        <f>Проект!$J$870</f>
        <v>0</v>
      </c>
      <c r="K452" s="84" t="e">
        <f>Проект!#REF!</f>
        <v>#REF!</v>
      </c>
      <c r="L452" s="84" t="e">
        <f>Проект!#REF!</f>
        <v>#REF!</v>
      </c>
      <c r="M452" s="84" t="e">
        <f>Проект!#REF!</f>
        <v>#REF!</v>
      </c>
      <c r="N452" s="84" t="e">
        <f>Проект!#REF!</f>
        <v>#REF!</v>
      </c>
      <c r="O452" s="84" t="e">
        <f>Проект!#REF!</f>
        <v>#REF!</v>
      </c>
      <c r="P452" s="84" t="e">
        <f>Проект!#REF!</f>
        <v>#REF!</v>
      </c>
      <c r="Q452" s="84">
        <f>Проект!$K$870</f>
        <v>0</v>
      </c>
      <c r="R452" s="48"/>
      <c r="S452" s="94">
        <f>Проект!$M$870</f>
        <v>0</v>
      </c>
    </row>
    <row r="453" spans="1:19" ht="11.25" customHeight="1" x14ac:dyDescent="0.2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1"/>
    </row>
    <row r="454" spans="1:19" ht="11.25" customHeight="1" x14ac:dyDescent="0.2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359"/>
    </row>
    <row r="455" spans="1:19" ht="11.25" customHeight="1" x14ac:dyDescent="0.2">
      <c r="A455" s="130" t="str">
        <f ca="1">Проект!$A$873</f>
        <v>Общие производственные расходы</v>
      </c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1"/>
    </row>
    <row r="456" spans="1:19" ht="11.25" customHeight="1" x14ac:dyDescent="0.2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1"/>
    </row>
    <row r="457" spans="1:19" ht="11.25" customHeight="1" x14ac:dyDescent="0.2">
      <c r="A457" s="48" t="str">
        <f ca="1">Проект!$A$875</f>
        <v>Зарплата вспомогательного произв. персонала</v>
      </c>
      <c r="B457" s="48"/>
      <c r="C457" s="73" t="str">
        <f ca="1">Проект!$C$875</f>
        <v>руб.</v>
      </c>
      <c r="D457" s="48"/>
      <c r="E457" s="48"/>
      <c r="F457" s="106">
        <f>Проект!$F$875</f>
        <v>0</v>
      </c>
      <c r="G457" s="106">
        <f>Проект!$G$875</f>
        <v>0</v>
      </c>
      <c r="H457" s="106">
        <f>Проект!$H$875</f>
        <v>0</v>
      </c>
      <c r="I457" s="106">
        <f>Проект!$I$875</f>
        <v>0</v>
      </c>
      <c r="J457" s="106">
        <f>Проект!$J$875</f>
        <v>0</v>
      </c>
      <c r="K457" s="106" t="e">
        <f>Проект!#REF!</f>
        <v>#REF!</v>
      </c>
      <c r="L457" s="106" t="e">
        <f>Проект!#REF!</f>
        <v>#REF!</v>
      </c>
      <c r="M457" s="106" t="e">
        <f>Проект!#REF!</f>
        <v>#REF!</v>
      </c>
      <c r="N457" s="106" t="e">
        <f>Проект!#REF!</f>
        <v>#REF!</v>
      </c>
      <c r="O457" s="106" t="e">
        <f>Проект!#REF!</f>
        <v>#REF!</v>
      </c>
      <c r="P457" s="106" t="e">
        <f>Проект!#REF!</f>
        <v>#REF!</v>
      </c>
      <c r="Q457" s="106">
        <f>Проект!$K$875</f>
        <v>0</v>
      </c>
      <c r="R457" s="48"/>
      <c r="S457" s="94">
        <f>Проект!$M$875</f>
        <v>0</v>
      </c>
    </row>
    <row r="458" spans="1:19" ht="11.25" customHeight="1" x14ac:dyDescent="0.2">
      <c r="A458" s="48" t="str">
        <f ca="1">Проект!$A$876</f>
        <v>ЕСН на зарплату вспомогательного произв. персонала</v>
      </c>
      <c r="B458" s="48"/>
      <c r="C458" s="73" t="str">
        <f ca="1">Проект!$C$876</f>
        <v>руб.</v>
      </c>
      <c r="D458" s="48"/>
      <c r="E458" s="48"/>
      <c r="F458" s="106">
        <f>Проект!$F$876</f>
        <v>0</v>
      </c>
      <c r="G458" s="106">
        <f>Проект!$G$876</f>
        <v>0</v>
      </c>
      <c r="H458" s="106">
        <f>Проект!$H$876</f>
        <v>0</v>
      </c>
      <c r="I458" s="106">
        <f>Проект!$I$876</f>
        <v>0</v>
      </c>
      <c r="J458" s="106">
        <f>Проект!$J$876</f>
        <v>0</v>
      </c>
      <c r="K458" s="106" t="e">
        <f>Проект!#REF!</f>
        <v>#REF!</v>
      </c>
      <c r="L458" s="106" t="e">
        <f>Проект!#REF!</f>
        <v>#REF!</v>
      </c>
      <c r="M458" s="106" t="e">
        <f>Проект!#REF!</f>
        <v>#REF!</v>
      </c>
      <c r="N458" s="106" t="e">
        <f>Проект!#REF!</f>
        <v>#REF!</v>
      </c>
      <c r="O458" s="106" t="e">
        <f>Проект!#REF!</f>
        <v>#REF!</v>
      </c>
      <c r="P458" s="106" t="e">
        <f>Проект!#REF!</f>
        <v>#REF!</v>
      </c>
      <c r="Q458" s="106">
        <f>Проект!$K$876</f>
        <v>0</v>
      </c>
      <c r="R458" s="48"/>
      <c r="S458" s="94">
        <f>Проект!$M$876</f>
        <v>0</v>
      </c>
    </row>
    <row r="459" spans="1:19" ht="11.25" customHeight="1" x14ac:dyDescent="0.2">
      <c r="A459" s="48" t="str">
        <f ca="1">Проект!$A$877</f>
        <v>Амортизация</v>
      </c>
      <c r="B459" s="48"/>
      <c r="C459" s="73" t="str">
        <f ca="1">Проект!$C$877</f>
        <v>руб.</v>
      </c>
      <c r="D459" s="48"/>
      <c r="E459" s="48"/>
      <c r="F459" s="106">
        <f ca="1">Проект!$F$877</f>
        <v>0</v>
      </c>
      <c r="G459" s="106">
        <f ca="1">Проект!$G$877</f>
        <v>0</v>
      </c>
      <c r="H459" s="106">
        <f ca="1">Проект!$H$877</f>
        <v>0</v>
      </c>
      <c r="I459" s="106">
        <f ca="1">Проект!$I$877</f>
        <v>20000</v>
      </c>
      <c r="J459" s="106">
        <f ca="1">Проект!$J$877</f>
        <v>20000</v>
      </c>
      <c r="K459" s="106" t="e">
        <f>Проект!#REF!</f>
        <v>#REF!</v>
      </c>
      <c r="L459" s="106" t="e">
        <f>Проект!#REF!</f>
        <v>#REF!</v>
      </c>
      <c r="M459" s="106" t="e">
        <f>Проект!#REF!</f>
        <v>#REF!</v>
      </c>
      <c r="N459" s="106" t="e">
        <f>Проект!#REF!</f>
        <v>#REF!</v>
      </c>
      <c r="O459" s="106" t="e">
        <f>Проект!#REF!</f>
        <v>#REF!</v>
      </c>
      <c r="P459" s="106" t="e">
        <f>Проект!#REF!</f>
        <v>#REF!</v>
      </c>
      <c r="Q459" s="106">
        <f ca="1">Проект!$K$877</f>
        <v>21166.666666666668</v>
      </c>
      <c r="R459" s="48"/>
      <c r="S459" s="94">
        <f ca="1">Проект!$M$877</f>
        <v>61166.666666666672</v>
      </c>
    </row>
    <row r="460" spans="1:19" ht="11.25" customHeight="1" x14ac:dyDescent="0.2">
      <c r="A460" s="48" t="str">
        <f ca="1">Проект!$A$878</f>
        <v>Земельный и другие налоги, относимые на текущие затраты</v>
      </c>
      <c r="B460" s="48"/>
      <c r="C460" s="73" t="str">
        <f ca="1">Проект!$C$878</f>
        <v>руб.</v>
      </c>
      <c r="D460" s="48"/>
      <c r="E460" s="48"/>
      <c r="F460" s="106">
        <f>Проект!$F$878</f>
        <v>0</v>
      </c>
      <c r="G460" s="106">
        <f>Проект!$G$878</f>
        <v>0</v>
      </c>
      <c r="H460" s="106">
        <f>Проект!$H$878</f>
        <v>0</v>
      </c>
      <c r="I460" s="106">
        <f>Проект!$I$878</f>
        <v>0</v>
      </c>
      <c r="J460" s="106">
        <f>Проект!$J$878</f>
        <v>0</v>
      </c>
      <c r="K460" s="106" t="e">
        <f>Проект!#REF!</f>
        <v>#REF!</v>
      </c>
      <c r="L460" s="106" t="e">
        <f>Проект!#REF!</f>
        <v>#REF!</v>
      </c>
      <c r="M460" s="106" t="e">
        <f>Проект!#REF!</f>
        <v>#REF!</v>
      </c>
      <c r="N460" s="106" t="e">
        <f>Проект!#REF!</f>
        <v>#REF!</v>
      </c>
      <c r="O460" s="106" t="e">
        <f>Проект!#REF!</f>
        <v>#REF!</v>
      </c>
      <c r="P460" s="106" t="e">
        <f>Проект!#REF!</f>
        <v>#REF!</v>
      </c>
      <c r="Q460" s="106">
        <f>Проект!$K$878</f>
        <v>0</v>
      </c>
      <c r="R460" s="48"/>
      <c r="S460" s="94">
        <f>Проект!$M$878</f>
        <v>0</v>
      </c>
    </row>
    <row r="461" spans="1:19" ht="11.25" customHeight="1" x14ac:dyDescent="0.2">
      <c r="A461" s="48"/>
      <c r="B461" s="197" t="str">
        <f ca="1">Проект!$B$879</f>
        <v>Валюта</v>
      </c>
      <c r="C461" s="48"/>
      <c r="D461" s="48">
        <f>Проект!$D$879</f>
        <v>1</v>
      </c>
      <c r="E461" s="48">
        <f>Проект!$E$879</f>
        <v>4</v>
      </c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1"/>
    </row>
    <row r="462" spans="1:19" ht="11.25" customHeight="1" x14ac:dyDescent="0.2">
      <c r="A462" s="333" t="str">
        <f>Проект!$A$880</f>
        <v>Прочие производственные расходы</v>
      </c>
      <c r="B462" s="334">
        <f>Проект!$B$880</f>
        <v>1</v>
      </c>
      <c r="C462" s="50" t="str">
        <f ca="1">Проект!$C$880</f>
        <v>руб.</v>
      </c>
      <c r="D462" s="101" t="str">
        <f>Проект!$D$880</f>
        <v>1_01</v>
      </c>
      <c r="E462" s="48"/>
      <c r="F462" s="352">
        <f>Проект!$F$880</f>
        <v>0</v>
      </c>
      <c r="G462" s="352">
        <f>Проект!$G$880</f>
        <v>0</v>
      </c>
      <c r="H462" s="352">
        <f>Проект!$H$880</f>
        <v>0</v>
      </c>
      <c r="I462" s="352">
        <f>Проект!$I$880</f>
        <v>0</v>
      </c>
      <c r="J462" s="352">
        <f>Проект!$J$880</f>
        <v>0</v>
      </c>
      <c r="K462" s="352" t="e">
        <f>Проект!#REF!</f>
        <v>#REF!</v>
      </c>
      <c r="L462" s="352" t="e">
        <f>Проект!#REF!</f>
        <v>#REF!</v>
      </c>
      <c r="M462" s="352" t="e">
        <f>Проект!#REF!</f>
        <v>#REF!</v>
      </c>
      <c r="N462" s="352" t="e">
        <f>Проект!#REF!</f>
        <v>#REF!</v>
      </c>
      <c r="O462" s="352" t="e">
        <f>Проект!#REF!</f>
        <v>#REF!</v>
      </c>
      <c r="P462" s="352" t="e">
        <f>Проект!#REF!</f>
        <v>#REF!</v>
      </c>
      <c r="Q462" s="352">
        <f>Проект!$K$880</f>
        <v>0</v>
      </c>
      <c r="R462" s="48"/>
      <c r="S462" s="94">
        <f>Проект!$M$880</f>
        <v>0</v>
      </c>
    </row>
    <row r="463" spans="1:19" hidden="1" x14ac:dyDescent="0.2">
      <c r="A463" s="48" t="str">
        <f ca="1">Проект!$A$881</f>
        <v>Предполагаемый темп годового роста цен</v>
      </c>
      <c r="B463" s="48"/>
      <c r="C463" s="73" t="str">
        <f>Проект!$C$881</f>
        <v>%</v>
      </c>
      <c r="D463" s="101" t="str">
        <f>Проект!$D$881</f>
        <v>int_avg</v>
      </c>
      <c r="E463" s="48"/>
      <c r="F463" s="357">
        <f>Проект!$F$881</f>
        <v>7.0000000000000007E-2</v>
      </c>
      <c r="G463" s="357">
        <f>Проект!$G$881</f>
        <v>7.0000000000000007E-2</v>
      </c>
      <c r="H463" s="357">
        <f>Проект!$H$881</f>
        <v>7.0000000000000007E-2</v>
      </c>
      <c r="I463" s="357">
        <f>Проект!$I$881</f>
        <v>7.0000000000000007E-2</v>
      </c>
      <c r="J463" s="357">
        <f>Проект!$J$881</f>
        <v>7.0000000000000007E-2</v>
      </c>
      <c r="K463" s="357" t="e">
        <f>Проект!#REF!</f>
        <v>#REF!</v>
      </c>
      <c r="L463" s="357" t="e">
        <f>Проект!#REF!</f>
        <v>#REF!</v>
      </c>
      <c r="M463" s="357" t="e">
        <f>Проект!#REF!</f>
        <v>#REF!</v>
      </c>
      <c r="N463" s="357" t="e">
        <f>Проект!#REF!</f>
        <v>#REF!</v>
      </c>
      <c r="O463" s="357" t="e">
        <f>Проект!#REF!</f>
        <v>#REF!</v>
      </c>
      <c r="P463" s="357" t="e">
        <f>Проект!#REF!</f>
        <v>#REF!</v>
      </c>
      <c r="Q463" s="357">
        <f>Проект!$K$881</f>
        <v>7.0000000000000007E-2</v>
      </c>
      <c r="R463" s="48"/>
      <c r="S463" s="41"/>
    </row>
    <row r="464" spans="1:19" hidden="1" x14ac:dyDescent="0.2">
      <c r="A464" s="48" t="str">
        <f ca="1">Проект!$A$882</f>
        <v>То же, в пересчете на период, равный шагу проекта</v>
      </c>
      <c r="B464" s="48"/>
      <c r="C464" s="73" t="str">
        <f>Проект!$C$882</f>
        <v>%</v>
      </c>
      <c r="D464" s="101" t="str">
        <f>Проект!$D$882</f>
        <v>int_avg</v>
      </c>
      <c r="E464" s="48"/>
      <c r="F464" s="30">
        <f>Проект!$F$882</f>
        <v>5.6541453874052738E-3</v>
      </c>
      <c r="G464" s="30">
        <f>Проект!$G$882</f>
        <v>5.6541453874052738E-3</v>
      </c>
      <c r="H464" s="30">
        <f>Проект!$H$882</f>
        <v>5.6541453874052738E-3</v>
      </c>
      <c r="I464" s="30">
        <f>Проект!$I$882</f>
        <v>5.6541453874052738E-3</v>
      </c>
      <c r="J464" s="30">
        <f>Проект!$J$882</f>
        <v>5.6541453874052738E-3</v>
      </c>
      <c r="K464" s="30" t="e">
        <f>Проект!#REF!</f>
        <v>#REF!</v>
      </c>
      <c r="L464" s="30" t="e">
        <f>Проект!#REF!</f>
        <v>#REF!</v>
      </c>
      <c r="M464" s="30" t="e">
        <f>Проект!#REF!</f>
        <v>#REF!</v>
      </c>
      <c r="N464" s="30" t="e">
        <f>Проект!#REF!</f>
        <v>#REF!</v>
      </c>
      <c r="O464" s="30" t="e">
        <f>Проект!#REF!</f>
        <v>#REF!</v>
      </c>
      <c r="P464" s="30" t="e">
        <f>Проект!#REF!</f>
        <v>#REF!</v>
      </c>
      <c r="Q464" s="30">
        <f>Проект!$K$882</f>
        <v>5.6541453874052738E-3</v>
      </c>
      <c r="R464" s="48"/>
      <c r="S464" s="41"/>
    </row>
    <row r="465" spans="1:19" hidden="1" x14ac:dyDescent="0.2">
      <c r="A465" s="48" t="str">
        <f ca="1">Проект!$A$883</f>
        <v>в том числе НДС</v>
      </c>
      <c r="B465" s="358">
        <f>Проект!$B$883</f>
        <v>0</v>
      </c>
      <c r="C465" s="73" t="str">
        <f ca="1">Проект!$C$883</f>
        <v>руб.</v>
      </c>
      <c r="D465" s="48" t="str">
        <f>Проект!$D$883</f>
        <v>1_02</v>
      </c>
      <c r="E465" s="48"/>
      <c r="F465" s="84">
        <f>Проект!$F$883</f>
        <v>0</v>
      </c>
      <c r="G465" s="84">
        <f>Проект!$G$883</f>
        <v>0</v>
      </c>
      <c r="H465" s="84">
        <f>Проект!$H$883</f>
        <v>0</v>
      </c>
      <c r="I465" s="84">
        <f>Проект!$I$883</f>
        <v>0</v>
      </c>
      <c r="J465" s="84">
        <f>Проект!$J$883</f>
        <v>0</v>
      </c>
      <c r="K465" s="84" t="e">
        <f>Проект!#REF!</f>
        <v>#REF!</v>
      </c>
      <c r="L465" s="84" t="e">
        <f>Проект!#REF!</f>
        <v>#REF!</v>
      </c>
      <c r="M465" s="84" t="e">
        <f>Проект!#REF!</f>
        <v>#REF!</v>
      </c>
      <c r="N465" s="84" t="e">
        <f>Проект!#REF!</f>
        <v>#REF!</v>
      </c>
      <c r="O465" s="84" t="e">
        <f>Проект!#REF!</f>
        <v>#REF!</v>
      </c>
      <c r="P465" s="84" t="e">
        <f>Проект!#REF!</f>
        <v>#REF!</v>
      </c>
      <c r="Q465" s="84">
        <f>Проект!$K$883</f>
        <v>0</v>
      </c>
      <c r="R465" s="48"/>
      <c r="S465" s="94">
        <f>Проект!$M$883</f>
        <v>0</v>
      </c>
    </row>
    <row r="466" spans="1:19" ht="11.25" customHeight="1" x14ac:dyDescent="0.2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1"/>
    </row>
    <row r="467" spans="1:19" ht="11.25" customHeight="1" x14ac:dyDescent="0.2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359"/>
    </row>
    <row r="468" spans="1:19" ht="11.25" customHeight="1" x14ac:dyDescent="0.2">
      <c r="A468" s="130" t="str">
        <f ca="1">Проект!$A$886</f>
        <v>Административные расходы</v>
      </c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1"/>
    </row>
    <row r="469" spans="1:19" ht="11.25" customHeight="1" x14ac:dyDescent="0.2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1"/>
    </row>
    <row r="470" spans="1:19" ht="11.25" customHeight="1" x14ac:dyDescent="0.2">
      <c r="A470" s="48" t="str">
        <f ca="1">Проект!$A$888</f>
        <v>Зарплата административного персонала</v>
      </c>
      <c r="B470" s="48"/>
      <c r="C470" s="73" t="str">
        <f ca="1">Проект!$C$888</f>
        <v>руб.</v>
      </c>
      <c r="D470" s="48"/>
      <c r="E470" s="48"/>
      <c r="F470" s="106">
        <f>Проект!$F$888</f>
        <v>0</v>
      </c>
      <c r="G470" s="106">
        <f>Проект!$G$888</f>
        <v>0</v>
      </c>
      <c r="H470" s="106">
        <f>Проект!$H$888</f>
        <v>0</v>
      </c>
      <c r="I470" s="106">
        <f>Проект!$I$888</f>
        <v>0</v>
      </c>
      <c r="J470" s="106">
        <f>Проект!$J$888</f>
        <v>0</v>
      </c>
      <c r="K470" s="106" t="e">
        <f>Проект!#REF!</f>
        <v>#REF!</v>
      </c>
      <c r="L470" s="106" t="e">
        <f>Проект!#REF!</f>
        <v>#REF!</v>
      </c>
      <c r="M470" s="106" t="e">
        <f>Проект!#REF!</f>
        <v>#REF!</v>
      </c>
      <c r="N470" s="106" t="e">
        <f>Проект!#REF!</f>
        <v>#REF!</v>
      </c>
      <c r="O470" s="106" t="e">
        <f>Проект!#REF!</f>
        <v>#REF!</v>
      </c>
      <c r="P470" s="106" t="e">
        <f>Проект!#REF!</f>
        <v>#REF!</v>
      </c>
      <c r="Q470" s="106">
        <f>Проект!$K$888</f>
        <v>0</v>
      </c>
      <c r="R470" s="48"/>
      <c r="S470" s="94">
        <f>Проект!$M$888</f>
        <v>0</v>
      </c>
    </row>
    <row r="471" spans="1:19" ht="11.25" customHeight="1" x14ac:dyDescent="0.2">
      <c r="A471" s="48" t="str">
        <f ca="1">Проект!$A$889</f>
        <v>ЕСН на зарплату административного персонала</v>
      </c>
      <c r="B471" s="48"/>
      <c r="C471" s="73" t="str">
        <f ca="1">Проект!$C$889</f>
        <v>руб.</v>
      </c>
      <c r="D471" s="48"/>
      <c r="E471" s="48"/>
      <c r="F471" s="106">
        <f>Проект!$F$889</f>
        <v>0</v>
      </c>
      <c r="G471" s="106">
        <f>Проект!$G$889</f>
        <v>0</v>
      </c>
      <c r="H471" s="106">
        <f>Проект!$H$889</f>
        <v>0</v>
      </c>
      <c r="I471" s="106">
        <f>Проект!$I$889</f>
        <v>0</v>
      </c>
      <c r="J471" s="106">
        <f>Проект!$J$889</f>
        <v>0</v>
      </c>
      <c r="K471" s="106" t="e">
        <f>Проект!#REF!</f>
        <v>#REF!</v>
      </c>
      <c r="L471" s="106" t="e">
        <f>Проект!#REF!</f>
        <v>#REF!</v>
      </c>
      <c r="M471" s="106" t="e">
        <f>Проект!#REF!</f>
        <v>#REF!</v>
      </c>
      <c r="N471" s="106" t="e">
        <f>Проект!#REF!</f>
        <v>#REF!</v>
      </c>
      <c r="O471" s="106" t="e">
        <f>Проект!#REF!</f>
        <v>#REF!</v>
      </c>
      <c r="P471" s="106" t="e">
        <f>Проект!#REF!</f>
        <v>#REF!</v>
      </c>
      <c r="Q471" s="106">
        <f>Проект!$K$889</f>
        <v>0</v>
      </c>
      <c r="R471" s="48"/>
      <c r="S471" s="94">
        <f>Проект!$M$889</f>
        <v>0</v>
      </c>
    </row>
    <row r="472" spans="1:19" ht="11.25" customHeight="1" x14ac:dyDescent="0.2">
      <c r="A472" s="48"/>
      <c r="B472" s="197" t="str">
        <f ca="1">Проект!$B$890</f>
        <v>Валюта</v>
      </c>
      <c r="C472" s="48"/>
      <c r="D472" s="48">
        <f>Проект!$D$890</f>
        <v>1</v>
      </c>
      <c r="E472" s="48">
        <f>Проект!$E$890</f>
        <v>4</v>
      </c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1"/>
    </row>
    <row r="473" spans="1:19" ht="11.25" customHeight="1" x14ac:dyDescent="0.2">
      <c r="A473" s="333" t="str">
        <f>Проект!$A$891</f>
        <v>Нормативные расходы на АУП</v>
      </c>
      <c r="B473" s="334">
        <f>Проект!$B$891</f>
        <v>1</v>
      </c>
      <c r="C473" s="50" t="str">
        <f ca="1">Проект!$C$891</f>
        <v>руб.</v>
      </c>
      <c r="D473" s="101" t="str">
        <f>Проект!$D$891</f>
        <v>1_01</v>
      </c>
      <c r="E473" s="48"/>
      <c r="F473" s="352">
        <f>Проект!$F$891</f>
        <v>0</v>
      </c>
      <c r="G473" s="352">
        <f>Проект!$G$891</f>
        <v>0</v>
      </c>
      <c r="H473" s="352">
        <f>Проект!$H$891</f>
        <v>0</v>
      </c>
      <c r="I473" s="352">
        <f>Проект!$I$891</f>
        <v>0</v>
      </c>
      <c r="J473" s="352">
        <f>Проект!$J$891</f>
        <v>0</v>
      </c>
      <c r="K473" s="352" t="e">
        <f>Проект!#REF!</f>
        <v>#REF!</v>
      </c>
      <c r="L473" s="352" t="e">
        <f>Проект!#REF!</f>
        <v>#REF!</v>
      </c>
      <c r="M473" s="352" t="e">
        <f>Проект!#REF!</f>
        <v>#REF!</v>
      </c>
      <c r="N473" s="352" t="e">
        <f>Проект!#REF!</f>
        <v>#REF!</v>
      </c>
      <c r="O473" s="352" t="e">
        <f>Проект!#REF!</f>
        <v>#REF!</v>
      </c>
      <c r="P473" s="352" t="e">
        <f>Проект!#REF!</f>
        <v>#REF!</v>
      </c>
      <c r="Q473" s="352">
        <f>Проект!$K$891</f>
        <v>0</v>
      </c>
      <c r="R473" s="48"/>
      <c r="S473" s="94">
        <f>Проект!$M$891</f>
        <v>0</v>
      </c>
    </row>
    <row r="474" spans="1:19" hidden="1" x14ac:dyDescent="0.2">
      <c r="A474" s="48" t="str">
        <f ca="1">Проект!$A$892</f>
        <v>Предполагаемый темп годового роста цен</v>
      </c>
      <c r="B474" s="48"/>
      <c r="C474" s="73" t="str">
        <f>Проект!$C$892</f>
        <v>%</v>
      </c>
      <c r="D474" s="101" t="str">
        <f>Проект!$D$892</f>
        <v>int_avg</v>
      </c>
      <c r="E474" s="48"/>
      <c r="F474" s="357">
        <f>Проект!$F$892</f>
        <v>7.0000000000000007E-2</v>
      </c>
      <c r="G474" s="357">
        <f>Проект!$G$892</f>
        <v>7.0000000000000007E-2</v>
      </c>
      <c r="H474" s="357">
        <f>Проект!$H$892</f>
        <v>7.0000000000000007E-2</v>
      </c>
      <c r="I474" s="357">
        <f>Проект!$I$892</f>
        <v>7.0000000000000007E-2</v>
      </c>
      <c r="J474" s="357">
        <f>Проект!$J$892</f>
        <v>7.0000000000000007E-2</v>
      </c>
      <c r="K474" s="357" t="e">
        <f>Проект!#REF!</f>
        <v>#REF!</v>
      </c>
      <c r="L474" s="357" t="e">
        <f>Проект!#REF!</f>
        <v>#REF!</v>
      </c>
      <c r="M474" s="357" t="e">
        <f>Проект!#REF!</f>
        <v>#REF!</v>
      </c>
      <c r="N474" s="357" t="e">
        <f>Проект!#REF!</f>
        <v>#REF!</v>
      </c>
      <c r="O474" s="357" t="e">
        <f>Проект!#REF!</f>
        <v>#REF!</v>
      </c>
      <c r="P474" s="357" t="e">
        <f>Проект!#REF!</f>
        <v>#REF!</v>
      </c>
      <c r="Q474" s="357">
        <f>Проект!$K$892</f>
        <v>7.0000000000000007E-2</v>
      </c>
      <c r="R474" s="48"/>
      <c r="S474" s="41"/>
    </row>
    <row r="475" spans="1:19" hidden="1" x14ac:dyDescent="0.2">
      <c r="A475" s="48" t="str">
        <f ca="1">Проект!$A$893</f>
        <v>То же, в пересчете на период, равный шагу проекта</v>
      </c>
      <c r="B475" s="48"/>
      <c r="C475" s="73" t="str">
        <f>Проект!$C$893</f>
        <v>%</v>
      </c>
      <c r="D475" s="101" t="str">
        <f>Проект!$D$893</f>
        <v>int_avg</v>
      </c>
      <c r="E475" s="48"/>
      <c r="F475" s="30">
        <f>Проект!$F$893</f>
        <v>5.6541453874052738E-3</v>
      </c>
      <c r="G475" s="30">
        <f>Проект!$G$893</f>
        <v>5.6541453874052738E-3</v>
      </c>
      <c r="H475" s="30">
        <f>Проект!$H$893</f>
        <v>5.6541453874052738E-3</v>
      </c>
      <c r="I475" s="30">
        <f>Проект!$I$893</f>
        <v>5.6541453874052738E-3</v>
      </c>
      <c r="J475" s="30">
        <f>Проект!$J$893</f>
        <v>5.6541453874052738E-3</v>
      </c>
      <c r="K475" s="30" t="e">
        <f>Проект!#REF!</f>
        <v>#REF!</v>
      </c>
      <c r="L475" s="30" t="e">
        <f>Проект!#REF!</f>
        <v>#REF!</v>
      </c>
      <c r="M475" s="30" t="e">
        <f>Проект!#REF!</f>
        <v>#REF!</v>
      </c>
      <c r="N475" s="30" t="e">
        <f>Проект!#REF!</f>
        <v>#REF!</v>
      </c>
      <c r="O475" s="30" t="e">
        <f>Проект!#REF!</f>
        <v>#REF!</v>
      </c>
      <c r="P475" s="30" t="e">
        <f>Проект!#REF!</f>
        <v>#REF!</v>
      </c>
      <c r="Q475" s="30">
        <f>Проект!$K$893</f>
        <v>5.6541453874052738E-3</v>
      </c>
      <c r="R475" s="48"/>
      <c r="S475" s="41"/>
    </row>
    <row r="476" spans="1:19" hidden="1" x14ac:dyDescent="0.2">
      <c r="A476" s="48" t="str">
        <f ca="1">Проект!$A$894</f>
        <v>в том числе НДС</v>
      </c>
      <c r="B476" s="358">
        <f>Проект!$B$894</f>
        <v>0</v>
      </c>
      <c r="C476" s="73" t="str">
        <f ca="1">Проект!$C$894</f>
        <v>руб.</v>
      </c>
      <c r="D476" s="48" t="str">
        <f>Проект!$D$894</f>
        <v>1_02</v>
      </c>
      <c r="E476" s="48"/>
      <c r="F476" s="84">
        <f>Проект!$F$894</f>
        <v>0</v>
      </c>
      <c r="G476" s="84">
        <f>Проект!$G$894</f>
        <v>0</v>
      </c>
      <c r="H476" s="84">
        <f>Проект!$H$894</f>
        <v>0</v>
      </c>
      <c r="I476" s="84">
        <f>Проект!$I$894</f>
        <v>0</v>
      </c>
      <c r="J476" s="84">
        <f>Проект!$J$894</f>
        <v>0</v>
      </c>
      <c r="K476" s="84" t="e">
        <f>Проект!#REF!</f>
        <v>#REF!</v>
      </c>
      <c r="L476" s="84" t="e">
        <f>Проект!#REF!</f>
        <v>#REF!</v>
      </c>
      <c r="M476" s="84" t="e">
        <f>Проект!#REF!</f>
        <v>#REF!</v>
      </c>
      <c r="N476" s="84" t="e">
        <f>Проект!#REF!</f>
        <v>#REF!</v>
      </c>
      <c r="O476" s="84" t="e">
        <f>Проект!#REF!</f>
        <v>#REF!</v>
      </c>
      <c r="P476" s="84" t="e">
        <f>Проект!#REF!</f>
        <v>#REF!</v>
      </c>
      <c r="Q476" s="84">
        <f>Проект!$K$894</f>
        <v>0</v>
      </c>
      <c r="R476" s="48"/>
      <c r="S476" s="94">
        <f>Проект!$M$894</f>
        <v>0</v>
      </c>
    </row>
    <row r="477" spans="1:19" ht="11.25" customHeight="1" x14ac:dyDescent="0.2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1"/>
    </row>
    <row r="478" spans="1:19" ht="11.25" customHeight="1" x14ac:dyDescent="0.2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359"/>
    </row>
    <row r="479" spans="1:19" ht="11.25" customHeight="1" x14ac:dyDescent="0.2">
      <c r="A479" s="125" t="str">
        <f ca="1">Проект!$A$897</f>
        <v>Коммерческие расходы</v>
      </c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77"/>
    </row>
    <row r="480" spans="1:19" ht="11.25" customHeight="1" x14ac:dyDescent="0.2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1"/>
    </row>
    <row r="481" spans="1:19" ht="11.25" customHeight="1" x14ac:dyDescent="0.2">
      <c r="A481" s="48" t="str">
        <f ca="1">Проект!$A$899</f>
        <v>Зарплата коммерческого персонала</v>
      </c>
      <c r="B481" s="48"/>
      <c r="C481" s="73" t="str">
        <f ca="1">Проект!$C$899</f>
        <v>руб.</v>
      </c>
      <c r="D481" s="48"/>
      <c r="E481" s="48"/>
      <c r="F481" s="106">
        <f>Проект!$F$899</f>
        <v>35000</v>
      </c>
      <c r="G481" s="106">
        <f>Проект!$G$899</f>
        <v>35000</v>
      </c>
      <c r="H481" s="106">
        <f>Проект!$H$899</f>
        <v>35000</v>
      </c>
      <c r="I481" s="106">
        <f>Проект!$I$899</f>
        <v>35000</v>
      </c>
      <c r="J481" s="106">
        <f>Проект!$J$899</f>
        <v>35000</v>
      </c>
      <c r="K481" s="106" t="e">
        <f>Проект!#REF!</f>
        <v>#REF!</v>
      </c>
      <c r="L481" s="106" t="e">
        <f>Проект!#REF!</f>
        <v>#REF!</v>
      </c>
      <c r="M481" s="106" t="e">
        <f>Проект!#REF!</f>
        <v>#REF!</v>
      </c>
      <c r="N481" s="106" t="e">
        <f>Проект!#REF!</f>
        <v>#REF!</v>
      </c>
      <c r="O481" s="106" t="e">
        <f>Проект!#REF!</f>
        <v>#REF!</v>
      </c>
      <c r="P481" s="106" t="e">
        <f>Проект!#REF!</f>
        <v>#REF!</v>
      </c>
      <c r="Q481" s="106">
        <f>Проект!$K$899</f>
        <v>35000</v>
      </c>
      <c r="R481" s="48"/>
      <c r="S481" s="94">
        <f>Проект!$M$899</f>
        <v>210000</v>
      </c>
    </row>
    <row r="482" spans="1:19" ht="11.25" customHeight="1" x14ac:dyDescent="0.2">
      <c r="A482" s="48" t="str">
        <f ca="1">Проект!$A$900</f>
        <v>ЕСН на зарплату коммерческого персонала</v>
      </c>
      <c r="B482" s="48"/>
      <c r="C482" s="73" t="str">
        <f ca="1">Проект!$C$900</f>
        <v>руб.</v>
      </c>
      <c r="D482" s="48"/>
      <c r="E482" s="48"/>
      <c r="F482" s="106">
        <f>Проект!$F$900</f>
        <v>4900.0000000000009</v>
      </c>
      <c r="G482" s="106">
        <f>Проект!$G$900</f>
        <v>4900.0000000000009</v>
      </c>
      <c r="H482" s="106">
        <f>Проект!$H$900</f>
        <v>4900.0000000000009</v>
      </c>
      <c r="I482" s="106">
        <f>Проект!$I$900</f>
        <v>4900.0000000000009</v>
      </c>
      <c r="J482" s="106">
        <f>Проект!$J$900</f>
        <v>4900.0000000000009</v>
      </c>
      <c r="K482" s="106" t="e">
        <f>Проект!#REF!</f>
        <v>#REF!</v>
      </c>
      <c r="L482" s="106" t="e">
        <f>Проект!#REF!</f>
        <v>#REF!</v>
      </c>
      <c r="M482" s="106" t="e">
        <f>Проект!#REF!</f>
        <v>#REF!</v>
      </c>
      <c r="N482" s="106" t="e">
        <f>Проект!#REF!</f>
        <v>#REF!</v>
      </c>
      <c r="O482" s="106" t="e">
        <f>Проект!#REF!</f>
        <v>#REF!</v>
      </c>
      <c r="P482" s="106" t="e">
        <f>Проект!#REF!</f>
        <v>#REF!</v>
      </c>
      <c r="Q482" s="106">
        <f>Проект!$K$900</f>
        <v>4900.0000000000009</v>
      </c>
      <c r="R482" s="48"/>
      <c r="S482" s="94">
        <f>Проект!$M$900</f>
        <v>29400.000000000004</v>
      </c>
    </row>
    <row r="483" spans="1:19" ht="11.25" customHeight="1" x14ac:dyDescent="0.2">
      <c r="A483" s="48"/>
      <c r="B483" s="197" t="str">
        <f ca="1">Проект!$B$901</f>
        <v>Валюта</v>
      </c>
      <c r="C483" s="48"/>
      <c r="D483" s="48">
        <f>Проект!$D$901</f>
        <v>2</v>
      </c>
      <c r="E483" s="48">
        <f>Проект!$E$901</f>
        <v>5</v>
      </c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1"/>
    </row>
    <row r="484" spans="1:19" ht="11.25" customHeight="1" x14ac:dyDescent="0.2">
      <c r="A484" s="333" t="str">
        <f ca="1">Проект!$A$902</f>
        <v>Наименование</v>
      </c>
      <c r="B484" s="334">
        <f>Проект!$B$902</f>
        <v>1</v>
      </c>
      <c r="C484" s="50" t="str">
        <f ca="1">Проект!$C$902</f>
        <v>руб.</v>
      </c>
      <c r="D484" s="101" t="str">
        <f>Проект!$D$902</f>
        <v>1_01</v>
      </c>
      <c r="E484" s="48"/>
      <c r="F484" s="352">
        <f>Проект!$F$902</f>
        <v>0</v>
      </c>
      <c r="G484" s="352">
        <f>Проект!$G$902</f>
        <v>0</v>
      </c>
      <c r="H484" s="352">
        <f>Проект!$H$902</f>
        <v>0</v>
      </c>
      <c r="I484" s="352">
        <f>Проект!$I$902</f>
        <v>0</v>
      </c>
      <c r="J484" s="352">
        <f>Проект!$J$902</f>
        <v>0</v>
      </c>
      <c r="K484" s="352" t="e">
        <f>Проект!#REF!</f>
        <v>#REF!</v>
      </c>
      <c r="L484" s="352" t="e">
        <f>Проект!#REF!</f>
        <v>#REF!</v>
      </c>
      <c r="M484" s="352" t="e">
        <f>Проект!#REF!</f>
        <v>#REF!</v>
      </c>
      <c r="N484" s="352" t="e">
        <f>Проект!#REF!</f>
        <v>#REF!</v>
      </c>
      <c r="O484" s="352" t="e">
        <f>Проект!#REF!</f>
        <v>#REF!</v>
      </c>
      <c r="P484" s="352" t="e">
        <f>Проект!#REF!</f>
        <v>#REF!</v>
      </c>
      <c r="Q484" s="352">
        <f>Проект!$K$902</f>
        <v>0</v>
      </c>
      <c r="R484" s="48"/>
      <c r="S484" s="94">
        <f>Проект!$M$902</f>
        <v>0</v>
      </c>
    </row>
    <row r="485" spans="1:19" ht="11.25" customHeight="1" x14ac:dyDescent="0.2">
      <c r="A485" s="48" t="str">
        <f ca="1">Проект!$A$903</f>
        <v>Коммерческие расходы как % от продаж</v>
      </c>
      <c r="B485" s="358">
        <f>Проект!$B$903</f>
        <v>0.02</v>
      </c>
      <c r="C485" s="73" t="str">
        <f ca="1">Проект!$C$903</f>
        <v>руб.</v>
      </c>
      <c r="D485" s="101" t="str">
        <f>Проект!$D$903</f>
        <v>int_avg</v>
      </c>
      <c r="E485" s="48"/>
      <c r="F485" s="75">
        <f>Проект!$F$903</f>
        <v>0</v>
      </c>
      <c r="G485" s="75">
        <f>Проект!$G$903</f>
        <v>0</v>
      </c>
      <c r="H485" s="75">
        <f>Проект!$H$903</f>
        <v>0</v>
      </c>
      <c r="I485" s="75">
        <f>Проект!$I$903</f>
        <v>0</v>
      </c>
      <c r="J485" s="75">
        <f>Проект!$J$903</f>
        <v>0</v>
      </c>
      <c r="K485" s="75" t="e">
        <f>Проект!#REF!</f>
        <v>#REF!</v>
      </c>
      <c r="L485" s="75" t="e">
        <f>Проект!#REF!</f>
        <v>#REF!</v>
      </c>
      <c r="M485" s="75" t="e">
        <f>Проект!#REF!</f>
        <v>#REF!</v>
      </c>
      <c r="N485" s="75" t="e">
        <f>Проект!#REF!</f>
        <v>#REF!</v>
      </c>
      <c r="O485" s="75" t="e">
        <f>Проект!#REF!</f>
        <v>#REF!</v>
      </c>
      <c r="P485" s="75" t="e">
        <f>Проект!#REF!</f>
        <v>#REF!</v>
      </c>
      <c r="Q485" s="75">
        <f>Проект!$K$903</f>
        <v>0</v>
      </c>
      <c r="R485" s="48"/>
      <c r="S485" s="94"/>
    </row>
    <row r="486" spans="1:19" hidden="1" x14ac:dyDescent="0.2">
      <c r="A486" s="48" t="str">
        <f ca="1">Проект!$A$904</f>
        <v>Предполагаемый темп годового роста цен</v>
      </c>
      <c r="B486" s="48"/>
      <c r="C486" s="73" t="str">
        <f>Проект!$C$904</f>
        <v>%</v>
      </c>
      <c r="D486" s="101" t="str">
        <f>Проект!$D$904</f>
        <v>int_avg</v>
      </c>
      <c r="E486" s="48"/>
      <c r="F486" s="357">
        <f>Проект!$F$904</f>
        <v>7.0000000000000007E-2</v>
      </c>
      <c r="G486" s="357">
        <f>Проект!$G$904</f>
        <v>7.0000000000000007E-2</v>
      </c>
      <c r="H486" s="357">
        <f>Проект!$H$904</f>
        <v>7.0000000000000007E-2</v>
      </c>
      <c r="I486" s="357">
        <f>Проект!$I$904</f>
        <v>7.0000000000000007E-2</v>
      </c>
      <c r="J486" s="357">
        <f>Проект!$J$904</f>
        <v>7.0000000000000007E-2</v>
      </c>
      <c r="K486" s="357" t="e">
        <f>Проект!#REF!</f>
        <v>#REF!</v>
      </c>
      <c r="L486" s="357" t="e">
        <f>Проект!#REF!</f>
        <v>#REF!</v>
      </c>
      <c r="M486" s="357" t="e">
        <f>Проект!#REF!</f>
        <v>#REF!</v>
      </c>
      <c r="N486" s="357" t="e">
        <f>Проект!#REF!</f>
        <v>#REF!</v>
      </c>
      <c r="O486" s="357" t="e">
        <f>Проект!#REF!</f>
        <v>#REF!</v>
      </c>
      <c r="P486" s="357" t="e">
        <f>Проект!#REF!</f>
        <v>#REF!</v>
      </c>
      <c r="Q486" s="357">
        <f>Проект!$K$904</f>
        <v>7.0000000000000007E-2</v>
      </c>
      <c r="R486" s="48"/>
      <c r="S486" s="41"/>
    </row>
    <row r="487" spans="1:19" hidden="1" x14ac:dyDescent="0.2">
      <c r="A487" s="48" t="str">
        <f ca="1">Проект!$A$905</f>
        <v>То же, в пересчете на период, равный шагу проекта</v>
      </c>
      <c r="B487" s="48"/>
      <c r="C487" s="73" t="str">
        <f>Проект!$C$905</f>
        <v>%</v>
      </c>
      <c r="D487" s="101" t="str">
        <f>Проект!$D$905</f>
        <v>int_avg</v>
      </c>
      <c r="E487" s="48"/>
      <c r="F487" s="30">
        <f>Проект!$F$905</f>
        <v>5.6541453874052738E-3</v>
      </c>
      <c r="G487" s="30">
        <f>Проект!$G$905</f>
        <v>5.6541453874052738E-3</v>
      </c>
      <c r="H487" s="30">
        <f>Проект!$H$905</f>
        <v>5.6541453874052738E-3</v>
      </c>
      <c r="I487" s="30">
        <f>Проект!$I$905</f>
        <v>5.6541453874052738E-3</v>
      </c>
      <c r="J487" s="30">
        <f>Проект!$J$905</f>
        <v>5.6541453874052738E-3</v>
      </c>
      <c r="K487" s="30" t="e">
        <f>Проект!#REF!</f>
        <v>#REF!</v>
      </c>
      <c r="L487" s="30" t="e">
        <f>Проект!#REF!</f>
        <v>#REF!</v>
      </c>
      <c r="M487" s="30" t="e">
        <f>Проект!#REF!</f>
        <v>#REF!</v>
      </c>
      <c r="N487" s="30" t="e">
        <f>Проект!#REF!</f>
        <v>#REF!</v>
      </c>
      <c r="O487" s="30" t="e">
        <f>Проект!#REF!</f>
        <v>#REF!</v>
      </c>
      <c r="P487" s="30" t="e">
        <f>Проект!#REF!</f>
        <v>#REF!</v>
      </c>
      <c r="Q487" s="30">
        <f>Проект!$K$905</f>
        <v>5.6541453874052738E-3</v>
      </c>
      <c r="R487" s="48"/>
      <c r="S487" s="41"/>
    </row>
    <row r="488" spans="1:19" hidden="1" x14ac:dyDescent="0.2">
      <c r="A488" s="48" t="str">
        <f ca="1">Проект!$A$906</f>
        <v>в том числе НДС</v>
      </c>
      <c r="B488" s="358">
        <f>Проект!$B$906</f>
        <v>0</v>
      </c>
      <c r="C488" s="73" t="str">
        <f ca="1">Проект!$C$906</f>
        <v>руб.</v>
      </c>
      <c r="D488" s="48" t="str">
        <f>Проект!$D$906</f>
        <v>1_02</v>
      </c>
      <c r="E488" s="48"/>
      <c r="F488" s="84">
        <f>Проект!$F$906</f>
        <v>0</v>
      </c>
      <c r="G488" s="84">
        <f>Проект!$G$906</f>
        <v>0</v>
      </c>
      <c r="H488" s="84">
        <f>Проект!$H$906</f>
        <v>0</v>
      </c>
      <c r="I488" s="84">
        <f>Проект!$I$906</f>
        <v>0</v>
      </c>
      <c r="J488" s="84">
        <f>Проект!$J$906</f>
        <v>0</v>
      </c>
      <c r="K488" s="84" t="e">
        <f>Проект!#REF!</f>
        <v>#REF!</v>
      </c>
      <c r="L488" s="84" t="e">
        <f>Проект!#REF!</f>
        <v>#REF!</v>
      </c>
      <c r="M488" s="84" t="e">
        <f>Проект!#REF!</f>
        <v>#REF!</v>
      </c>
      <c r="N488" s="84" t="e">
        <f>Проект!#REF!</f>
        <v>#REF!</v>
      </c>
      <c r="O488" s="84" t="e">
        <f>Проект!#REF!</f>
        <v>#REF!</v>
      </c>
      <c r="P488" s="84" t="e">
        <f>Проект!#REF!</f>
        <v>#REF!</v>
      </c>
      <c r="Q488" s="84">
        <f>Проект!$K$906</f>
        <v>0</v>
      </c>
      <c r="R488" s="48"/>
      <c r="S488" s="94">
        <f>Проект!$M$906</f>
        <v>0</v>
      </c>
    </row>
    <row r="489" spans="1:19" ht="11.25" customHeight="1" x14ac:dyDescent="0.2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1"/>
    </row>
    <row r="490" spans="1:19" ht="11.25" customHeight="1" x14ac:dyDescent="0.2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359"/>
    </row>
    <row r="491" spans="1:19" ht="11.25" customHeight="1" x14ac:dyDescent="0.2">
      <c r="A491" s="130" t="str">
        <f ca="1">Проект!$A$914</f>
        <v xml:space="preserve"> = Итого: затраты в отчете о прибылях и убытках</v>
      </c>
      <c r="B491" s="48"/>
      <c r="C491" s="73" t="str">
        <f ca="1">Проект!$C$914</f>
        <v>руб.</v>
      </c>
      <c r="D491" s="48"/>
      <c r="E491" s="48"/>
      <c r="F491" s="360">
        <f ca="1">Проект!$F$914</f>
        <v>20712500</v>
      </c>
      <c r="G491" s="360">
        <f ca="1">Проект!$G$914</f>
        <v>20872100</v>
      </c>
      <c r="H491" s="360">
        <f ca="1">Проект!$H$914</f>
        <v>21031700</v>
      </c>
      <c r="I491" s="360">
        <f ca="1">Проект!$I$914</f>
        <v>21131500</v>
      </c>
      <c r="J491" s="360">
        <f ca="1">Проект!$J$914</f>
        <v>21131500</v>
      </c>
      <c r="K491" s="360" t="e">
        <f>Проект!#REF!</f>
        <v>#REF!</v>
      </c>
      <c r="L491" s="360" t="e">
        <f>Проект!#REF!</f>
        <v>#REF!</v>
      </c>
      <c r="M491" s="360" t="e">
        <f>Проект!#REF!</f>
        <v>#REF!</v>
      </c>
      <c r="N491" s="360" t="e">
        <f>Проект!#REF!</f>
        <v>#REF!</v>
      </c>
      <c r="O491" s="360" t="e">
        <f>Проект!#REF!</f>
        <v>#REF!</v>
      </c>
      <c r="P491" s="360" t="e">
        <f>Проект!#REF!</f>
        <v>#REF!</v>
      </c>
      <c r="Q491" s="360">
        <f ca="1">Проект!$K$914</f>
        <v>21132666.666666668</v>
      </c>
      <c r="R491" s="160"/>
      <c r="S491" s="95">
        <f ca="1">Проект!$M$914</f>
        <v>126011966.66666667</v>
      </c>
    </row>
    <row r="492" spans="1:19" hidden="1" x14ac:dyDescent="0.2">
      <c r="A492" s="48" t="str">
        <f ca="1">Проект!$A$915</f>
        <v xml:space="preserve">    материалы и комплектующие</v>
      </c>
      <c r="B492" s="48"/>
      <c r="C492" s="73" t="str">
        <f ca="1">Проект!$C$915</f>
        <v>руб.</v>
      </c>
      <c r="D492" s="48"/>
      <c r="E492" s="48"/>
      <c r="F492" s="106">
        <f>Проект!$F$915</f>
        <v>0</v>
      </c>
      <c r="G492" s="106">
        <f>Проект!$G$915</f>
        <v>0</v>
      </c>
      <c r="H492" s="106">
        <f>Проект!$H$915</f>
        <v>0</v>
      </c>
      <c r="I492" s="106">
        <f>Проект!$I$915</f>
        <v>0</v>
      </c>
      <c r="J492" s="106">
        <f>Проект!$J$915</f>
        <v>0</v>
      </c>
      <c r="K492" s="106" t="e">
        <f>Проект!#REF!</f>
        <v>#REF!</v>
      </c>
      <c r="L492" s="106" t="e">
        <f>Проект!#REF!</f>
        <v>#REF!</v>
      </c>
      <c r="M492" s="106" t="e">
        <f>Проект!#REF!</f>
        <v>#REF!</v>
      </c>
      <c r="N492" s="106" t="e">
        <f>Проект!#REF!</f>
        <v>#REF!</v>
      </c>
      <c r="O492" s="106" t="e">
        <f>Проект!#REF!</f>
        <v>#REF!</v>
      </c>
      <c r="P492" s="106" t="e">
        <f>Проект!#REF!</f>
        <v>#REF!</v>
      </c>
      <c r="Q492" s="106">
        <f>Проект!$K$915</f>
        <v>0</v>
      </c>
      <c r="R492" s="106"/>
      <c r="S492" s="94">
        <f>Проект!$M$915</f>
        <v>0</v>
      </c>
    </row>
    <row r="493" spans="1:19" hidden="1" x14ac:dyDescent="0.2">
      <c r="A493" s="48" t="str">
        <f ca="1">Проект!$A$916</f>
        <v xml:space="preserve">    прочие переменные затраты</v>
      </c>
      <c r="B493" s="48"/>
      <c r="C493" s="73" t="str">
        <f ca="1">Проект!$C$916</f>
        <v>руб.</v>
      </c>
      <c r="D493" s="48"/>
      <c r="E493" s="48"/>
      <c r="F493" s="106">
        <f>Проект!$F$916</f>
        <v>0</v>
      </c>
      <c r="G493" s="106">
        <f>Проект!$G$916</f>
        <v>0</v>
      </c>
      <c r="H493" s="106">
        <f>Проект!$H$916</f>
        <v>0</v>
      </c>
      <c r="I493" s="106">
        <f>Проект!$I$916</f>
        <v>0</v>
      </c>
      <c r="J493" s="106">
        <f>Проект!$J$916</f>
        <v>0</v>
      </c>
      <c r="K493" s="106" t="e">
        <f>Проект!#REF!</f>
        <v>#REF!</v>
      </c>
      <c r="L493" s="106" t="e">
        <f>Проект!#REF!</f>
        <v>#REF!</v>
      </c>
      <c r="M493" s="106" t="e">
        <f>Проект!#REF!</f>
        <v>#REF!</v>
      </c>
      <c r="N493" s="106" t="e">
        <f>Проект!#REF!</f>
        <v>#REF!</v>
      </c>
      <c r="O493" s="106" t="e">
        <f>Проект!#REF!</f>
        <v>#REF!</v>
      </c>
      <c r="P493" s="106" t="e">
        <f>Проект!#REF!</f>
        <v>#REF!</v>
      </c>
      <c r="Q493" s="106">
        <f>Проект!$K$916</f>
        <v>0</v>
      </c>
      <c r="R493" s="106"/>
      <c r="S493" s="94">
        <f>Проект!$M$916</f>
        <v>0</v>
      </c>
    </row>
    <row r="494" spans="1:19" hidden="1" x14ac:dyDescent="0.2">
      <c r="A494" s="48" t="str">
        <f ca="1">Проект!$A$917</f>
        <v xml:space="preserve">    оплата труда</v>
      </c>
      <c r="B494" s="48"/>
      <c r="C494" s="73" t="str">
        <f ca="1">Проект!$C$917</f>
        <v>руб.</v>
      </c>
      <c r="D494" s="48"/>
      <c r="E494" s="48"/>
      <c r="F494" s="106">
        <f>Проект!$F$917</f>
        <v>712500</v>
      </c>
      <c r="G494" s="106">
        <f>Проект!$G$917</f>
        <v>872100</v>
      </c>
      <c r="H494" s="106">
        <f>Проект!$H$917</f>
        <v>1031700</v>
      </c>
      <c r="I494" s="106">
        <f>Проект!$I$917</f>
        <v>1111500</v>
      </c>
      <c r="J494" s="106">
        <f>Проект!$J$917</f>
        <v>1111500</v>
      </c>
      <c r="K494" s="106" t="e">
        <f>Проект!#REF!</f>
        <v>#REF!</v>
      </c>
      <c r="L494" s="106" t="e">
        <f>Проект!#REF!</f>
        <v>#REF!</v>
      </c>
      <c r="M494" s="106" t="e">
        <f>Проект!#REF!</f>
        <v>#REF!</v>
      </c>
      <c r="N494" s="106" t="e">
        <f>Проект!#REF!</f>
        <v>#REF!</v>
      </c>
      <c r="O494" s="106" t="e">
        <f>Проект!#REF!</f>
        <v>#REF!</v>
      </c>
      <c r="P494" s="106" t="e">
        <f>Проект!#REF!</f>
        <v>#REF!</v>
      </c>
      <c r="Q494" s="106">
        <f>Проект!$K$917</f>
        <v>1111500</v>
      </c>
      <c r="R494" s="106"/>
      <c r="S494" s="94">
        <f>Проект!$M$917</f>
        <v>5950800</v>
      </c>
    </row>
    <row r="495" spans="1:19" hidden="1" x14ac:dyDescent="0.2">
      <c r="A495" s="48" t="str">
        <f ca="1">Проект!$A$918</f>
        <v xml:space="preserve">    налоги, относимые на текущие затраты</v>
      </c>
      <c r="B495" s="48"/>
      <c r="C495" s="73" t="str">
        <f ca="1">Проект!$C$918</f>
        <v>руб.</v>
      </c>
      <c r="D495" s="48"/>
      <c r="E495" s="48"/>
      <c r="F495" s="210">
        <f>Проект!$F$918</f>
        <v>0</v>
      </c>
      <c r="G495" s="210">
        <f>Проект!$G$918</f>
        <v>0</v>
      </c>
      <c r="H495" s="210">
        <f>Проект!$H$918</f>
        <v>0</v>
      </c>
      <c r="I495" s="210">
        <f>Проект!$I$918</f>
        <v>0</v>
      </c>
      <c r="J495" s="210">
        <f>Проект!$J$918</f>
        <v>0</v>
      </c>
      <c r="K495" s="210" t="e">
        <f>Проект!#REF!</f>
        <v>#REF!</v>
      </c>
      <c r="L495" s="210" t="e">
        <f>Проект!#REF!</f>
        <v>#REF!</v>
      </c>
      <c r="M495" s="210" t="e">
        <f>Проект!#REF!</f>
        <v>#REF!</v>
      </c>
      <c r="N495" s="210" t="e">
        <f>Проект!#REF!</f>
        <v>#REF!</v>
      </c>
      <c r="O495" s="210" t="e">
        <f>Проект!#REF!</f>
        <v>#REF!</v>
      </c>
      <c r="P495" s="210" t="e">
        <f>Проект!#REF!</f>
        <v>#REF!</v>
      </c>
      <c r="Q495" s="210">
        <f>Проект!$K$918</f>
        <v>0</v>
      </c>
      <c r="R495" s="106"/>
      <c r="S495" s="94">
        <f>Проект!$M$918</f>
        <v>0</v>
      </c>
    </row>
    <row r="496" spans="1:19" hidden="1" x14ac:dyDescent="0.2">
      <c r="A496" s="48" t="str">
        <f ca="1">Проект!$A$919</f>
        <v xml:space="preserve">    производственные расходы</v>
      </c>
      <c r="B496" s="48"/>
      <c r="C496" s="73" t="str">
        <f ca="1">Проект!$C$919</f>
        <v>руб.</v>
      </c>
      <c r="D496" s="48"/>
      <c r="E496" s="48"/>
      <c r="F496" s="83">
        <f>Проект!$F$919</f>
        <v>0</v>
      </c>
      <c r="G496" s="83">
        <f>Проект!$G$919</f>
        <v>0</v>
      </c>
      <c r="H496" s="83">
        <f>Проект!$H$919</f>
        <v>0</v>
      </c>
      <c r="I496" s="83">
        <f>Проект!$I$919</f>
        <v>0</v>
      </c>
      <c r="J496" s="83">
        <f>Проект!$J$919</f>
        <v>0</v>
      </c>
      <c r="K496" s="83" t="e">
        <f>Проект!#REF!</f>
        <v>#REF!</v>
      </c>
      <c r="L496" s="83" t="e">
        <f>Проект!#REF!</f>
        <v>#REF!</v>
      </c>
      <c r="M496" s="83" t="e">
        <f>Проект!#REF!</f>
        <v>#REF!</v>
      </c>
      <c r="N496" s="83" t="e">
        <f>Проект!#REF!</f>
        <v>#REF!</v>
      </c>
      <c r="O496" s="83" t="e">
        <f>Проект!#REF!</f>
        <v>#REF!</v>
      </c>
      <c r="P496" s="83" t="e">
        <f>Проект!#REF!</f>
        <v>#REF!</v>
      </c>
      <c r="Q496" s="83">
        <f>Проект!$K$919</f>
        <v>0</v>
      </c>
      <c r="R496" s="106"/>
      <c r="S496" s="94">
        <f>Проект!$M$919</f>
        <v>0</v>
      </c>
    </row>
    <row r="497" spans="1:19" hidden="1" x14ac:dyDescent="0.2">
      <c r="A497" s="48" t="str">
        <f ca="1">Проект!$A$920</f>
        <v xml:space="preserve">    начисленные лизинговые платежи</v>
      </c>
      <c r="B497" s="48"/>
      <c r="C497" s="73" t="str">
        <f ca="1">Проект!$C$920</f>
        <v>руб.</v>
      </c>
      <c r="D497" s="48"/>
      <c r="E497" s="48"/>
      <c r="F497" s="210">
        <f ca="1">Проект!$F$920</f>
        <v>0</v>
      </c>
      <c r="G497" s="210">
        <f ca="1">Проект!$G$920</f>
        <v>0</v>
      </c>
      <c r="H497" s="210">
        <f ca="1">Проект!$H$920</f>
        <v>0</v>
      </c>
      <c r="I497" s="210">
        <f ca="1">Проект!$I$920</f>
        <v>0</v>
      </c>
      <c r="J497" s="210">
        <f ca="1">Проект!$J$920</f>
        <v>0</v>
      </c>
      <c r="K497" s="210" t="e">
        <f>Проект!#REF!</f>
        <v>#REF!</v>
      </c>
      <c r="L497" s="210" t="e">
        <f>Проект!#REF!</f>
        <v>#REF!</v>
      </c>
      <c r="M497" s="210" t="e">
        <f>Проект!#REF!</f>
        <v>#REF!</v>
      </c>
      <c r="N497" s="210" t="e">
        <f>Проект!#REF!</f>
        <v>#REF!</v>
      </c>
      <c r="O497" s="210" t="e">
        <f>Проект!#REF!</f>
        <v>#REF!</v>
      </c>
      <c r="P497" s="210" t="e">
        <f>Проект!#REF!</f>
        <v>#REF!</v>
      </c>
      <c r="Q497" s="210">
        <f ca="1">Проект!$K$920</f>
        <v>0</v>
      </c>
      <c r="R497" s="106"/>
      <c r="S497" s="94">
        <f ca="1">Проект!$M$920</f>
        <v>0</v>
      </c>
    </row>
    <row r="498" spans="1:19" hidden="1" x14ac:dyDescent="0.2">
      <c r="A498" s="48" t="str">
        <f ca="1">Проект!$A$921</f>
        <v xml:space="preserve">    амортизация</v>
      </c>
      <c r="B498" s="48"/>
      <c r="C498" s="73" t="str">
        <f ca="1">Проект!$C$921</f>
        <v>руб.</v>
      </c>
      <c r="D498" s="48"/>
      <c r="E498" s="48"/>
      <c r="F498" s="210">
        <f ca="1">Проект!$F$921</f>
        <v>0</v>
      </c>
      <c r="G498" s="210">
        <f ca="1">Проект!$G$921</f>
        <v>0</v>
      </c>
      <c r="H498" s="210">
        <f ca="1">Проект!$H$921</f>
        <v>0</v>
      </c>
      <c r="I498" s="210">
        <f ca="1">Проект!$I$921</f>
        <v>20000</v>
      </c>
      <c r="J498" s="210">
        <f ca="1">Проект!$J$921</f>
        <v>20000</v>
      </c>
      <c r="K498" s="210" t="e">
        <f>Проект!#REF!</f>
        <v>#REF!</v>
      </c>
      <c r="L498" s="210" t="e">
        <f>Проект!#REF!</f>
        <v>#REF!</v>
      </c>
      <c r="M498" s="210" t="e">
        <f>Проект!#REF!</f>
        <v>#REF!</v>
      </c>
      <c r="N498" s="210" t="e">
        <f>Проект!#REF!</f>
        <v>#REF!</v>
      </c>
      <c r="O498" s="210" t="e">
        <f>Проект!#REF!</f>
        <v>#REF!</v>
      </c>
      <c r="P498" s="210" t="e">
        <f>Проект!#REF!</f>
        <v>#REF!</v>
      </c>
      <c r="Q498" s="210">
        <f ca="1">Проект!$K$921</f>
        <v>21166.666666666668</v>
      </c>
      <c r="R498" s="106"/>
      <c r="S498" s="94">
        <f ca="1">Проект!$M$921</f>
        <v>61166.666666666672</v>
      </c>
    </row>
    <row r="499" spans="1:19" hidden="1" x14ac:dyDescent="0.2">
      <c r="A499" s="48" t="str">
        <f ca="1">Проект!$A$922</f>
        <v xml:space="preserve">    коммерческие расходы</v>
      </c>
      <c r="B499" s="48"/>
      <c r="C499" s="73" t="str">
        <f ca="1">Проект!$C$922</f>
        <v>руб.</v>
      </c>
      <c r="D499" s="48"/>
      <c r="E499" s="48"/>
      <c r="F499" s="210">
        <f>Проект!$F$922</f>
        <v>20000000</v>
      </c>
      <c r="G499" s="210">
        <f>Проект!$G$922</f>
        <v>20000000</v>
      </c>
      <c r="H499" s="210">
        <f>Проект!$H$922</f>
        <v>20000000</v>
      </c>
      <c r="I499" s="210">
        <f>Проект!$I$922</f>
        <v>20000000</v>
      </c>
      <c r="J499" s="210">
        <f>Проект!$J$922</f>
        <v>20000000</v>
      </c>
      <c r="K499" s="210" t="e">
        <f>Проект!#REF!</f>
        <v>#REF!</v>
      </c>
      <c r="L499" s="210" t="e">
        <f>Проект!#REF!</f>
        <v>#REF!</v>
      </c>
      <c r="M499" s="210" t="e">
        <f>Проект!#REF!</f>
        <v>#REF!</v>
      </c>
      <c r="N499" s="210" t="e">
        <f>Проект!#REF!</f>
        <v>#REF!</v>
      </c>
      <c r="O499" s="210" t="e">
        <f>Проект!#REF!</f>
        <v>#REF!</v>
      </c>
      <c r="P499" s="210" t="e">
        <f>Проект!#REF!</f>
        <v>#REF!</v>
      </c>
      <c r="Q499" s="210">
        <f>Проект!$K$922</f>
        <v>20000000</v>
      </c>
      <c r="R499" s="106"/>
      <c r="S499" s="94">
        <f>Проект!$M$922</f>
        <v>120000000</v>
      </c>
    </row>
    <row r="500" spans="1:19" hidden="1" x14ac:dyDescent="0.2">
      <c r="A500" s="48" t="str">
        <f ca="1">Проект!$A$923</f>
        <v xml:space="preserve">    административные расходы</v>
      </c>
      <c r="B500" s="48"/>
      <c r="C500" s="73" t="str">
        <f ca="1">Проект!$C$923</f>
        <v>руб.</v>
      </c>
      <c r="D500" s="48"/>
      <c r="E500" s="48"/>
      <c r="F500" s="210">
        <f>Проект!$F$923</f>
        <v>0</v>
      </c>
      <c r="G500" s="210">
        <f>Проект!$G$923</f>
        <v>0</v>
      </c>
      <c r="H500" s="210">
        <f>Проект!$H$923</f>
        <v>0</v>
      </c>
      <c r="I500" s="210">
        <f>Проект!$I$923</f>
        <v>0</v>
      </c>
      <c r="J500" s="210">
        <f>Проект!$J$923</f>
        <v>0</v>
      </c>
      <c r="K500" s="210" t="e">
        <f>Проект!#REF!</f>
        <v>#REF!</v>
      </c>
      <c r="L500" s="210" t="e">
        <f>Проект!#REF!</f>
        <v>#REF!</v>
      </c>
      <c r="M500" s="210" t="e">
        <f>Проект!#REF!</f>
        <v>#REF!</v>
      </c>
      <c r="N500" s="210" t="e">
        <f>Проект!#REF!</f>
        <v>#REF!</v>
      </c>
      <c r="O500" s="210" t="e">
        <f>Проект!#REF!</f>
        <v>#REF!</v>
      </c>
      <c r="P500" s="210" t="e">
        <f>Проект!#REF!</f>
        <v>#REF!</v>
      </c>
      <c r="Q500" s="210">
        <f>Проект!$K$923</f>
        <v>0</v>
      </c>
      <c r="R500" s="106"/>
      <c r="S500" s="94">
        <f>Проект!$M$923</f>
        <v>0</v>
      </c>
    </row>
    <row r="501" spans="1:19" ht="11.25" customHeight="1" x14ac:dyDescent="0.2">
      <c r="A501" s="130" t="str">
        <f ca="1">Проект!$A$924</f>
        <v xml:space="preserve"> = Итого: оплата текущих расходов</v>
      </c>
      <c r="B501" s="48"/>
      <c r="C501" s="73" t="str">
        <f ca="1">Проект!$C$924</f>
        <v>руб.</v>
      </c>
      <c r="D501" s="48"/>
      <c r="E501" s="48"/>
      <c r="F501" s="361">
        <f>Проект!$F$924</f>
        <v>20712500</v>
      </c>
      <c r="G501" s="361">
        <f>Проект!$G$924</f>
        <v>20872100</v>
      </c>
      <c r="H501" s="361">
        <f>Проект!$H$924</f>
        <v>21031700</v>
      </c>
      <c r="I501" s="361">
        <f>Проект!$I$924</f>
        <v>21111500</v>
      </c>
      <c r="J501" s="361">
        <f>Проект!$J$924</f>
        <v>21111500</v>
      </c>
      <c r="K501" s="361" t="e">
        <f>Проект!#REF!</f>
        <v>#REF!</v>
      </c>
      <c r="L501" s="361" t="e">
        <f>Проект!#REF!</f>
        <v>#REF!</v>
      </c>
      <c r="M501" s="361" t="e">
        <f>Проект!#REF!</f>
        <v>#REF!</v>
      </c>
      <c r="N501" s="361" t="e">
        <f>Проект!#REF!</f>
        <v>#REF!</v>
      </c>
      <c r="O501" s="361" t="e">
        <f>Проект!#REF!</f>
        <v>#REF!</v>
      </c>
      <c r="P501" s="361" t="e">
        <f>Проект!#REF!</f>
        <v>#REF!</v>
      </c>
      <c r="Q501" s="361">
        <f>Проект!$K$924</f>
        <v>21111500</v>
      </c>
      <c r="R501" s="160"/>
      <c r="S501" s="95">
        <f>Проект!$M$924</f>
        <v>125950800</v>
      </c>
    </row>
    <row r="502" spans="1:19" hidden="1" x14ac:dyDescent="0.2">
      <c r="A502" s="48" t="str">
        <f ca="1">Проект!$A$925</f>
        <v xml:space="preserve">    Материалы и комплектующие</v>
      </c>
      <c r="B502" s="48"/>
      <c r="C502" s="73" t="str">
        <f ca="1">Проект!$C$925</f>
        <v>руб.</v>
      </c>
      <c r="D502" s="48"/>
      <c r="E502" s="48"/>
      <c r="F502" s="106">
        <f>Проект!$F$925</f>
        <v>0</v>
      </c>
      <c r="G502" s="106">
        <f>Проект!$G$925</f>
        <v>0</v>
      </c>
      <c r="H502" s="106">
        <f>Проект!$H$925</f>
        <v>0</v>
      </c>
      <c r="I502" s="106">
        <f>Проект!$I$925</f>
        <v>0</v>
      </c>
      <c r="J502" s="106">
        <f>Проект!$J$925</f>
        <v>0</v>
      </c>
      <c r="K502" s="106" t="e">
        <f>Проект!#REF!</f>
        <v>#REF!</v>
      </c>
      <c r="L502" s="106" t="e">
        <f>Проект!#REF!</f>
        <v>#REF!</v>
      </c>
      <c r="M502" s="106" t="e">
        <f>Проект!#REF!</f>
        <v>#REF!</v>
      </c>
      <c r="N502" s="106" t="e">
        <f>Проект!#REF!</f>
        <v>#REF!</v>
      </c>
      <c r="O502" s="106" t="e">
        <f>Проект!#REF!</f>
        <v>#REF!</v>
      </c>
      <c r="P502" s="106" t="e">
        <f>Проект!#REF!</f>
        <v>#REF!</v>
      </c>
      <c r="Q502" s="106">
        <f>Проект!$K$925</f>
        <v>0</v>
      </c>
      <c r="R502" s="106"/>
      <c r="S502" s="94">
        <f>Проект!$M$925</f>
        <v>0</v>
      </c>
    </row>
    <row r="503" spans="1:19" hidden="1" x14ac:dyDescent="0.2">
      <c r="A503" s="48" t="str">
        <f ca="1">Проект!$A$926</f>
        <v xml:space="preserve">    Прочие переменные затраты</v>
      </c>
      <c r="B503" s="48"/>
      <c r="C503" s="73" t="str">
        <f ca="1">Проект!$C$926</f>
        <v>руб.</v>
      </c>
      <c r="D503" s="48"/>
      <c r="E503" s="48"/>
      <c r="F503" s="106">
        <f>Проект!$F$926</f>
        <v>0</v>
      </c>
      <c r="G503" s="106">
        <f>Проект!$G$926</f>
        <v>0</v>
      </c>
      <c r="H503" s="106">
        <f>Проект!$H$926</f>
        <v>0</v>
      </c>
      <c r="I503" s="106">
        <f>Проект!$I$926</f>
        <v>0</v>
      </c>
      <c r="J503" s="106">
        <f>Проект!$J$926</f>
        <v>0</v>
      </c>
      <c r="K503" s="106" t="e">
        <f>Проект!#REF!</f>
        <v>#REF!</v>
      </c>
      <c r="L503" s="106" t="e">
        <f>Проект!#REF!</f>
        <v>#REF!</v>
      </c>
      <c r="M503" s="106" t="e">
        <f>Проект!#REF!</f>
        <v>#REF!</v>
      </c>
      <c r="N503" s="106" t="e">
        <f>Проект!#REF!</f>
        <v>#REF!</v>
      </c>
      <c r="O503" s="106" t="e">
        <f>Проект!#REF!</f>
        <v>#REF!</v>
      </c>
      <c r="P503" s="106" t="e">
        <f>Проект!#REF!</f>
        <v>#REF!</v>
      </c>
      <c r="Q503" s="106">
        <f>Проект!$K$926</f>
        <v>0</v>
      </c>
      <c r="R503" s="106"/>
      <c r="S503" s="94">
        <f>Проект!$M$926</f>
        <v>0</v>
      </c>
    </row>
    <row r="504" spans="1:19" hidden="1" x14ac:dyDescent="0.2">
      <c r="A504" s="48" t="str">
        <f ca="1">Проект!$A$927</f>
        <v xml:space="preserve">    Оплата труда (вкл. ЕСН и страхование)</v>
      </c>
      <c r="B504" s="48"/>
      <c r="C504" s="73" t="str">
        <f ca="1">Проект!$C$927</f>
        <v>руб.</v>
      </c>
      <c r="D504" s="48"/>
      <c r="E504" s="48"/>
      <c r="F504" s="106">
        <f>Проект!$F$927</f>
        <v>712500</v>
      </c>
      <c r="G504" s="106">
        <f>Проект!$G$927</f>
        <v>872100</v>
      </c>
      <c r="H504" s="106">
        <f>Проект!$H$927</f>
        <v>1031700</v>
      </c>
      <c r="I504" s="106">
        <f>Проект!$I$927</f>
        <v>1111500</v>
      </c>
      <c r="J504" s="106">
        <f>Проект!$J$927</f>
        <v>1111500</v>
      </c>
      <c r="K504" s="106" t="e">
        <f>Проект!#REF!</f>
        <v>#REF!</v>
      </c>
      <c r="L504" s="106" t="e">
        <f>Проект!#REF!</f>
        <v>#REF!</v>
      </c>
      <c r="M504" s="106" t="e">
        <f>Проект!#REF!</f>
        <v>#REF!</v>
      </c>
      <c r="N504" s="106" t="e">
        <f>Проект!#REF!</f>
        <v>#REF!</v>
      </c>
      <c r="O504" s="106" t="e">
        <f>Проект!#REF!</f>
        <v>#REF!</v>
      </c>
      <c r="P504" s="106" t="e">
        <f>Проект!#REF!</f>
        <v>#REF!</v>
      </c>
      <c r="Q504" s="106">
        <f>Проект!$K$927</f>
        <v>1111500</v>
      </c>
      <c r="R504" s="106"/>
      <c r="S504" s="94">
        <f>Проект!$M$927</f>
        <v>5950800</v>
      </c>
    </row>
    <row r="505" spans="1:19" hidden="1" x14ac:dyDescent="0.2">
      <c r="A505" s="48" t="str">
        <f ca="1">Проект!$A$928</f>
        <v xml:space="preserve">    Земельный и другие налоги, относимые на текущие затраты</v>
      </c>
      <c r="B505" s="48"/>
      <c r="C505" s="73" t="str">
        <f ca="1">Проект!$C$928</f>
        <v>руб.</v>
      </c>
      <c r="D505" s="48"/>
      <c r="E505" s="48"/>
      <c r="F505" s="106">
        <f>Проект!$F$928</f>
        <v>0</v>
      </c>
      <c r="G505" s="106">
        <f>Проект!$G$928</f>
        <v>0</v>
      </c>
      <c r="H505" s="106">
        <f>Проект!$H$928</f>
        <v>0</v>
      </c>
      <c r="I505" s="106">
        <f>Проект!$I$928</f>
        <v>0</v>
      </c>
      <c r="J505" s="106">
        <f>Проект!$J$928</f>
        <v>0</v>
      </c>
      <c r="K505" s="106" t="e">
        <f>Проект!#REF!</f>
        <v>#REF!</v>
      </c>
      <c r="L505" s="106" t="e">
        <f>Проект!#REF!</f>
        <v>#REF!</v>
      </c>
      <c r="M505" s="106" t="e">
        <f>Проект!#REF!</f>
        <v>#REF!</v>
      </c>
      <c r="N505" s="106" t="e">
        <f>Проект!#REF!</f>
        <v>#REF!</v>
      </c>
      <c r="O505" s="106" t="e">
        <f>Проект!#REF!</f>
        <v>#REF!</v>
      </c>
      <c r="P505" s="106" t="e">
        <f>Проект!#REF!</f>
        <v>#REF!</v>
      </c>
      <c r="Q505" s="106">
        <f>Проект!$K$928</f>
        <v>0</v>
      </c>
      <c r="R505" s="106"/>
      <c r="S505" s="94">
        <f>Проект!$M$928</f>
        <v>0</v>
      </c>
    </row>
    <row r="506" spans="1:19" hidden="1" x14ac:dyDescent="0.2">
      <c r="A506" s="48" t="str">
        <f ca="1">Проект!$A$929</f>
        <v xml:space="preserve">    Производственные расходы</v>
      </c>
      <c r="B506" s="48"/>
      <c r="C506" s="73" t="str">
        <f ca="1">Проект!$C$929</f>
        <v>руб.</v>
      </c>
      <c r="D506" s="48"/>
      <c r="E506" s="48"/>
      <c r="F506" s="84">
        <f>Проект!$F$929</f>
        <v>0</v>
      </c>
      <c r="G506" s="84">
        <f>Проект!$G$929</f>
        <v>0</v>
      </c>
      <c r="H506" s="84">
        <f>Проект!$H$929</f>
        <v>0</v>
      </c>
      <c r="I506" s="84">
        <f>Проект!$I$929</f>
        <v>0</v>
      </c>
      <c r="J506" s="84">
        <f>Проект!$J$929</f>
        <v>0</v>
      </c>
      <c r="K506" s="84" t="e">
        <f>Проект!#REF!</f>
        <v>#REF!</v>
      </c>
      <c r="L506" s="84" t="e">
        <f>Проект!#REF!</f>
        <v>#REF!</v>
      </c>
      <c r="M506" s="84" t="e">
        <f>Проект!#REF!</f>
        <v>#REF!</v>
      </c>
      <c r="N506" s="84" t="e">
        <f>Проект!#REF!</f>
        <v>#REF!</v>
      </c>
      <c r="O506" s="84" t="e">
        <f>Проект!#REF!</f>
        <v>#REF!</v>
      </c>
      <c r="P506" s="84" t="e">
        <f>Проект!#REF!</f>
        <v>#REF!</v>
      </c>
      <c r="Q506" s="84">
        <f>Проект!$K$929</f>
        <v>0</v>
      </c>
      <c r="R506" s="106"/>
      <c r="S506" s="94">
        <f>Проект!$M$929</f>
        <v>0</v>
      </c>
    </row>
    <row r="507" spans="1:19" hidden="1" x14ac:dyDescent="0.2">
      <c r="A507" s="48" t="str">
        <f ca="1">Проект!$A$930</f>
        <v xml:space="preserve">        сумма без НДС</v>
      </c>
      <c r="B507" s="48"/>
      <c r="C507" s="73" t="str">
        <f ca="1">Проект!$C$930</f>
        <v>руб.</v>
      </c>
      <c r="D507" s="48"/>
      <c r="E507" s="48"/>
      <c r="F507" s="84">
        <f>Проект!$F$930</f>
        <v>0</v>
      </c>
      <c r="G507" s="84">
        <f>Проект!$G$930</f>
        <v>0</v>
      </c>
      <c r="H507" s="84">
        <f>Проект!$H$930</f>
        <v>0</v>
      </c>
      <c r="I507" s="84">
        <f>Проект!$I$930</f>
        <v>0</v>
      </c>
      <c r="J507" s="84">
        <f>Проект!$J$930</f>
        <v>0</v>
      </c>
      <c r="K507" s="84" t="e">
        <f>Проект!#REF!</f>
        <v>#REF!</v>
      </c>
      <c r="L507" s="84" t="e">
        <f>Проект!#REF!</f>
        <v>#REF!</v>
      </c>
      <c r="M507" s="84" t="e">
        <f>Проект!#REF!</f>
        <v>#REF!</v>
      </c>
      <c r="N507" s="84" t="e">
        <f>Проект!#REF!</f>
        <v>#REF!</v>
      </c>
      <c r="O507" s="84" t="e">
        <f>Проект!#REF!</f>
        <v>#REF!</v>
      </c>
      <c r="P507" s="84" t="e">
        <f>Проект!#REF!</f>
        <v>#REF!</v>
      </c>
      <c r="Q507" s="84">
        <f>Проект!$K$930</f>
        <v>0</v>
      </c>
      <c r="R507" s="106"/>
      <c r="S507" s="94">
        <f>Проект!$M$930</f>
        <v>0</v>
      </c>
    </row>
    <row r="508" spans="1:19" hidden="1" x14ac:dyDescent="0.2">
      <c r="A508" s="48" t="str">
        <f ca="1">Проект!$A$931</f>
        <v xml:space="preserve">        НДС</v>
      </c>
      <c r="B508" s="48"/>
      <c r="C508" s="73" t="str">
        <f ca="1">Проект!$C$931</f>
        <v>руб.</v>
      </c>
      <c r="D508" s="48"/>
      <c r="E508" s="48"/>
      <c r="F508" s="106">
        <f>Проект!$F$931</f>
        <v>0</v>
      </c>
      <c r="G508" s="106">
        <f>Проект!$G$931</f>
        <v>0</v>
      </c>
      <c r="H508" s="106">
        <f>Проект!$H$931</f>
        <v>0</v>
      </c>
      <c r="I508" s="106">
        <f>Проект!$I$931</f>
        <v>0</v>
      </c>
      <c r="J508" s="106">
        <f>Проект!$J$931</f>
        <v>0</v>
      </c>
      <c r="K508" s="106" t="e">
        <f>Проект!#REF!</f>
        <v>#REF!</v>
      </c>
      <c r="L508" s="106" t="e">
        <f>Проект!#REF!</f>
        <v>#REF!</v>
      </c>
      <c r="M508" s="106" t="e">
        <f>Проект!#REF!</f>
        <v>#REF!</v>
      </c>
      <c r="N508" s="106" t="e">
        <f>Проект!#REF!</f>
        <v>#REF!</v>
      </c>
      <c r="O508" s="106" t="e">
        <f>Проект!#REF!</f>
        <v>#REF!</v>
      </c>
      <c r="P508" s="106" t="e">
        <f>Проект!#REF!</f>
        <v>#REF!</v>
      </c>
      <c r="Q508" s="106">
        <f>Проект!$K$931</f>
        <v>0</v>
      </c>
      <c r="R508" s="106"/>
      <c r="S508" s="94">
        <f>Проект!$M$931</f>
        <v>0</v>
      </c>
    </row>
    <row r="509" spans="1:19" hidden="1" x14ac:dyDescent="0.2">
      <c r="A509" s="48" t="str">
        <f ca="1">Проект!$A$932</f>
        <v xml:space="preserve">    Административные расходы</v>
      </c>
      <c r="B509" s="48"/>
      <c r="C509" s="73" t="str">
        <f ca="1">Проект!$C$932</f>
        <v>руб.</v>
      </c>
      <c r="D509" s="48"/>
      <c r="E509" s="48"/>
      <c r="F509" s="106">
        <f>Проект!$F$932</f>
        <v>0</v>
      </c>
      <c r="G509" s="106">
        <f>Проект!$G$932</f>
        <v>0</v>
      </c>
      <c r="H509" s="106">
        <f>Проект!$H$932</f>
        <v>0</v>
      </c>
      <c r="I509" s="106">
        <f>Проект!$I$932</f>
        <v>0</v>
      </c>
      <c r="J509" s="106">
        <f>Проект!$J$932</f>
        <v>0</v>
      </c>
      <c r="K509" s="106" t="e">
        <f>Проект!#REF!</f>
        <v>#REF!</v>
      </c>
      <c r="L509" s="106" t="e">
        <f>Проект!#REF!</f>
        <v>#REF!</v>
      </c>
      <c r="M509" s="106" t="e">
        <f>Проект!#REF!</f>
        <v>#REF!</v>
      </c>
      <c r="N509" s="106" t="e">
        <f>Проект!#REF!</f>
        <v>#REF!</v>
      </c>
      <c r="O509" s="106" t="e">
        <f>Проект!#REF!</f>
        <v>#REF!</v>
      </c>
      <c r="P509" s="106" t="e">
        <f>Проект!#REF!</f>
        <v>#REF!</v>
      </c>
      <c r="Q509" s="106">
        <f>Проект!$K$932</f>
        <v>0</v>
      </c>
      <c r="R509" s="106"/>
      <c r="S509" s="94">
        <f>Проект!$M$932</f>
        <v>0</v>
      </c>
    </row>
    <row r="510" spans="1:19" hidden="1" x14ac:dyDescent="0.2">
      <c r="A510" s="48" t="str">
        <f ca="1">Проект!$A$933</f>
        <v xml:space="preserve">        сумма без НДС</v>
      </c>
      <c r="B510" s="48"/>
      <c r="C510" s="73" t="str">
        <f ca="1">Проект!$C$933</f>
        <v>руб.</v>
      </c>
      <c r="D510" s="48"/>
      <c r="E510" s="48"/>
      <c r="F510" s="84">
        <f>Проект!$F$933</f>
        <v>0</v>
      </c>
      <c r="G510" s="84">
        <f>Проект!$G$933</f>
        <v>0</v>
      </c>
      <c r="H510" s="84">
        <f>Проект!$H$933</f>
        <v>0</v>
      </c>
      <c r="I510" s="84">
        <f>Проект!$I$933</f>
        <v>0</v>
      </c>
      <c r="J510" s="84">
        <f>Проект!$J$933</f>
        <v>0</v>
      </c>
      <c r="K510" s="84" t="e">
        <f>Проект!#REF!</f>
        <v>#REF!</v>
      </c>
      <c r="L510" s="84" t="e">
        <f>Проект!#REF!</f>
        <v>#REF!</v>
      </c>
      <c r="M510" s="84" t="e">
        <f>Проект!#REF!</f>
        <v>#REF!</v>
      </c>
      <c r="N510" s="84" t="e">
        <f>Проект!#REF!</f>
        <v>#REF!</v>
      </c>
      <c r="O510" s="84" t="e">
        <f>Проект!#REF!</f>
        <v>#REF!</v>
      </c>
      <c r="P510" s="84" t="e">
        <f>Проект!#REF!</f>
        <v>#REF!</v>
      </c>
      <c r="Q510" s="84">
        <f>Проект!$K$933</f>
        <v>0</v>
      </c>
      <c r="R510" s="106"/>
      <c r="S510" s="94">
        <f>Проект!$M$933</f>
        <v>0</v>
      </c>
    </row>
    <row r="511" spans="1:19" hidden="1" x14ac:dyDescent="0.2">
      <c r="A511" s="48" t="str">
        <f ca="1">Проект!$A$934</f>
        <v xml:space="preserve">        НДС</v>
      </c>
      <c r="B511" s="48"/>
      <c r="C511" s="73" t="str">
        <f ca="1">Проект!$C$934</f>
        <v>руб.</v>
      </c>
      <c r="D511" s="48"/>
      <c r="E511" s="48"/>
      <c r="F511" s="106">
        <f>Проект!$F$934</f>
        <v>0</v>
      </c>
      <c r="G511" s="106">
        <f>Проект!$G$934</f>
        <v>0</v>
      </c>
      <c r="H511" s="106">
        <f>Проект!$H$934</f>
        <v>0</v>
      </c>
      <c r="I511" s="106">
        <f>Проект!$I$934</f>
        <v>0</v>
      </c>
      <c r="J511" s="106">
        <f>Проект!$J$934</f>
        <v>0</v>
      </c>
      <c r="K511" s="106" t="e">
        <f>Проект!#REF!</f>
        <v>#REF!</v>
      </c>
      <c r="L511" s="106" t="e">
        <f>Проект!#REF!</f>
        <v>#REF!</v>
      </c>
      <c r="M511" s="106" t="e">
        <f>Проект!#REF!</f>
        <v>#REF!</v>
      </c>
      <c r="N511" s="106" t="e">
        <f>Проект!#REF!</f>
        <v>#REF!</v>
      </c>
      <c r="O511" s="106" t="e">
        <f>Проект!#REF!</f>
        <v>#REF!</v>
      </c>
      <c r="P511" s="106" t="e">
        <f>Проект!#REF!</f>
        <v>#REF!</v>
      </c>
      <c r="Q511" s="106">
        <f>Проект!$K$934</f>
        <v>0</v>
      </c>
      <c r="R511" s="106"/>
      <c r="S511" s="94">
        <f>Проект!$M$934</f>
        <v>0</v>
      </c>
    </row>
    <row r="512" spans="1:19" hidden="1" x14ac:dyDescent="0.2">
      <c r="A512" s="48" t="str">
        <f ca="1">Проект!$A$935</f>
        <v xml:space="preserve">    Коммерческие расходы</v>
      </c>
      <c r="B512" s="48"/>
      <c r="C512" s="73" t="str">
        <f ca="1">Проект!$C$935</f>
        <v>руб.</v>
      </c>
      <c r="D512" s="48"/>
      <c r="E512" s="48"/>
      <c r="F512" s="106">
        <f>Проект!$F$935</f>
        <v>20000000</v>
      </c>
      <c r="G512" s="106">
        <f>Проект!$G$935</f>
        <v>20000000</v>
      </c>
      <c r="H512" s="106">
        <f>Проект!$H$935</f>
        <v>20000000</v>
      </c>
      <c r="I512" s="106">
        <f>Проект!$I$935</f>
        <v>20000000</v>
      </c>
      <c r="J512" s="106">
        <f>Проект!$J$935</f>
        <v>20000000</v>
      </c>
      <c r="K512" s="106" t="e">
        <f>Проект!#REF!</f>
        <v>#REF!</v>
      </c>
      <c r="L512" s="106" t="e">
        <f>Проект!#REF!</f>
        <v>#REF!</v>
      </c>
      <c r="M512" s="106" t="e">
        <f>Проект!#REF!</f>
        <v>#REF!</v>
      </c>
      <c r="N512" s="106" t="e">
        <f>Проект!#REF!</f>
        <v>#REF!</v>
      </c>
      <c r="O512" s="106" t="e">
        <f>Проект!#REF!</f>
        <v>#REF!</v>
      </c>
      <c r="P512" s="106" t="e">
        <f>Проект!#REF!</f>
        <v>#REF!</v>
      </c>
      <c r="Q512" s="106">
        <f>Проект!$K$935</f>
        <v>20000000</v>
      </c>
      <c r="R512" s="106"/>
      <c r="S512" s="94">
        <f>Проект!$M$935</f>
        <v>120000000</v>
      </c>
    </row>
    <row r="513" spans="1:19" hidden="1" x14ac:dyDescent="0.2">
      <c r="A513" s="48" t="str">
        <f ca="1">Проект!$A$936</f>
        <v xml:space="preserve">        сумма без НДС</v>
      </c>
      <c r="B513" s="48"/>
      <c r="C513" s="73" t="str">
        <f ca="1">Проект!$C$936</f>
        <v>руб.</v>
      </c>
      <c r="D513" s="48"/>
      <c r="E513" s="48"/>
      <c r="F513" s="84">
        <f>Проект!$F$936</f>
        <v>20000000</v>
      </c>
      <c r="G513" s="84">
        <f>Проект!$G$936</f>
        <v>20000000</v>
      </c>
      <c r="H513" s="84">
        <f>Проект!$H$936</f>
        <v>20000000</v>
      </c>
      <c r="I513" s="84">
        <f>Проект!$I$936</f>
        <v>20000000</v>
      </c>
      <c r="J513" s="84">
        <f>Проект!$J$936</f>
        <v>20000000</v>
      </c>
      <c r="K513" s="84" t="e">
        <f>Проект!#REF!</f>
        <v>#REF!</v>
      </c>
      <c r="L513" s="84" t="e">
        <f>Проект!#REF!</f>
        <v>#REF!</v>
      </c>
      <c r="M513" s="84" t="e">
        <f>Проект!#REF!</f>
        <v>#REF!</v>
      </c>
      <c r="N513" s="84" t="e">
        <f>Проект!#REF!</f>
        <v>#REF!</v>
      </c>
      <c r="O513" s="84" t="e">
        <f>Проект!#REF!</f>
        <v>#REF!</v>
      </c>
      <c r="P513" s="84" t="e">
        <f>Проект!#REF!</f>
        <v>#REF!</v>
      </c>
      <c r="Q513" s="84">
        <f>Проект!$K$936</f>
        <v>20000000</v>
      </c>
      <c r="R513" s="106"/>
      <c r="S513" s="94">
        <f>Проект!$M$936</f>
        <v>120000000</v>
      </c>
    </row>
    <row r="514" spans="1:19" hidden="1" x14ac:dyDescent="0.2">
      <c r="A514" s="48" t="str">
        <f ca="1">Проект!$A$937</f>
        <v xml:space="preserve">        НДС</v>
      </c>
      <c r="B514" s="48"/>
      <c r="C514" s="73" t="str">
        <f ca="1">Проект!$C$937</f>
        <v>руб.</v>
      </c>
      <c r="D514" s="48"/>
      <c r="E514" s="48"/>
      <c r="F514" s="106">
        <f>Проект!$F$937</f>
        <v>0</v>
      </c>
      <c r="G514" s="106">
        <f>Проект!$G$937</f>
        <v>0</v>
      </c>
      <c r="H514" s="106">
        <f>Проект!$H$937</f>
        <v>0</v>
      </c>
      <c r="I514" s="106">
        <f>Проект!$I$937</f>
        <v>0</v>
      </c>
      <c r="J514" s="106">
        <f>Проект!$J$937</f>
        <v>0</v>
      </c>
      <c r="K514" s="106" t="e">
        <f>Проект!#REF!</f>
        <v>#REF!</v>
      </c>
      <c r="L514" s="106" t="e">
        <f>Проект!#REF!</f>
        <v>#REF!</v>
      </c>
      <c r="M514" s="106" t="e">
        <f>Проект!#REF!</f>
        <v>#REF!</v>
      </c>
      <c r="N514" s="106" t="e">
        <f>Проект!#REF!</f>
        <v>#REF!</v>
      </c>
      <c r="O514" s="106" t="e">
        <f>Проект!#REF!</f>
        <v>#REF!</v>
      </c>
      <c r="P514" s="106" t="e">
        <f>Проект!#REF!</f>
        <v>#REF!</v>
      </c>
      <c r="Q514" s="106">
        <f>Проект!$K$937</f>
        <v>0</v>
      </c>
      <c r="R514" s="106"/>
      <c r="S514" s="94">
        <f>Проект!$M$937</f>
        <v>0</v>
      </c>
    </row>
    <row r="517" spans="1:19" ht="15.9" customHeight="1" thickBot="1" x14ac:dyDescent="0.25">
      <c r="A517" s="166" t="str">
        <f ca="1">Проект!$A$940</f>
        <v xml:space="preserve">         ОБОРОТНЫЙ КАПИТАЛ</v>
      </c>
      <c r="B517" s="166"/>
      <c r="C517" s="166"/>
      <c r="D517" s="166"/>
      <c r="E517" s="166"/>
      <c r="F517" s="178" t="str">
        <f>Проект!$F$940</f>
        <v>4/ 2020</v>
      </c>
      <c r="G517" s="178" t="str">
        <f>Проект!$G$940</f>
        <v>5/ 2020</v>
      </c>
      <c r="H517" s="178" t="str">
        <f>Проект!$H$940</f>
        <v>6/ 2020</v>
      </c>
      <c r="I517" s="178" t="str">
        <f>Проект!$I$940</f>
        <v>7/ 2020</v>
      </c>
      <c r="J517" s="178" t="str">
        <f>Проект!$J$940</f>
        <v>8/ 2020</v>
      </c>
      <c r="K517" s="178" t="e">
        <f>Проект!#REF!</f>
        <v>#REF!</v>
      </c>
      <c r="L517" s="178" t="e">
        <f>Проект!#REF!</f>
        <v>#REF!</v>
      </c>
      <c r="M517" s="178" t="e">
        <f>Проект!#REF!</f>
        <v>#REF!</v>
      </c>
      <c r="N517" s="178" t="e">
        <f>Проект!#REF!</f>
        <v>#REF!</v>
      </c>
      <c r="O517" s="178" t="e">
        <f>Проект!#REF!</f>
        <v>#REF!</v>
      </c>
      <c r="P517" s="178" t="e">
        <f>Проект!#REF!</f>
        <v>#REF!</v>
      </c>
      <c r="Q517" s="178" t="str">
        <f>Проект!$K$940</f>
        <v>9/ 2020</v>
      </c>
      <c r="R517" s="178"/>
      <c r="S517" s="195" t="str">
        <f ca="1">Проект!$M$940</f>
        <v>ИТОГО</v>
      </c>
    </row>
    <row r="518" spans="1:19" ht="12" customHeight="1" thickTop="1" x14ac:dyDescent="0.2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1"/>
    </row>
    <row r="519" spans="1:19" ht="11.25" customHeight="1" x14ac:dyDescent="0.2">
      <c r="A519" s="130" t="str">
        <f ca="1">Проект!$A$942</f>
        <v>ЗАПАСЫ</v>
      </c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1"/>
    </row>
    <row r="520" spans="1:19" ht="11.25" customHeight="1" x14ac:dyDescent="0.2">
      <c r="A520" s="48" t="str">
        <f ca="1">Проект!$A$943</f>
        <v>Запасы сырья и материалов</v>
      </c>
      <c r="B520" s="48"/>
      <c r="C520" s="73" t="str">
        <f ca="1">Проект!$C$943</f>
        <v>руб.</v>
      </c>
      <c r="D520" s="101" t="str">
        <f>Проект!$D$943</f>
        <v>int_end</v>
      </c>
      <c r="E520" s="84">
        <f>Проект!$E$943</f>
        <v>0</v>
      </c>
      <c r="F520" s="84">
        <f>Проект!$F$943</f>
        <v>0</v>
      </c>
      <c r="G520" s="84">
        <f>Проект!$G$943</f>
        <v>0</v>
      </c>
      <c r="H520" s="84">
        <f>Проект!$H$943</f>
        <v>0</v>
      </c>
      <c r="I520" s="84">
        <f>Проект!$I$943</f>
        <v>0</v>
      </c>
      <c r="J520" s="84">
        <f>Проект!$J$943</f>
        <v>0</v>
      </c>
      <c r="K520" s="84" t="e">
        <f>Проект!#REF!</f>
        <v>#REF!</v>
      </c>
      <c r="L520" s="84" t="e">
        <f>Проект!#REF!</f>
        <v>#REF!</v>
      </c>
      <c r="M520" s="84" t="e">
        <f>Проект!#REF!</f>
        <v>#REF!</v>
      </c>
      <c r="N520" s="84" t="e">
        <f>Проект!#REF!</f>
        <v>#REF!</v>
      </c>
      <c r="O520" s="84" t="e">
        <f>Проект!#REF!</f>
        <v>#REF!</v>
      </c>
      <c r="P520" s="84" t="e">
        <f>Проект!#REF!</f>
        <v>#REF!</v>
      </c>
      <c r="Q520" s="84">
        <f>Проект!$K$943</f>
        <v>0</v>
      </c>
      <c r="R520" s="48"/>
      <c r="S520" s="41"/>
    </row>
    <row r="521" spans="1:19" ht="11.25" customHeight="1" x14ac:dyDescent="0.2">
      <c r="A521" s="48" t="str">
        <f ca="1">Проект!$A$944</f>
        <v xml:space="preserve">    среднее время хранения</v>
      </c>
      <c r="B521" s="348">
        <f>Проект!$B$944</f>
        <v>0</v>
      </c>
      <c r="C521" s="73" t="str">
        <f ca="1">Проект!$C$944</f>
        <v>дн.</v>
      </c>
      <c r="D521" s="101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1"/>
    </row>
    <row r="522" spans="1:19" hidden="1" x14ac:dyDescent="0.2">
      <c r="A522" s="48" t="str">
        <f ca="1">Проект!$A$945</f>
        <v xml:space="preserve">    запасы на основе периодов оборота</v>
      </c>
      <c r="B522" s="50"/>
      <c r="C522" s="73" t="str">
        <f ca="1">Проект!$C$945</f>
        <v>руб.</v>
      </c>
      <c r="D522" s="101" t="str">
        <f>Проект!$D$945</f>
        <v>int_end</v>
      </c>
      <c r="E522" s="48">
        <f>Проект!$E$945</f>
        <v>0</v>
      </c>
      <c r="F522" s="106">
        <f>Проект!$F$945</f>
        <v>0</v>
      </c>
      <c r="G522" s="106">
        <f>Проект!$G$945</f>
        <v>0</v>
      </c>
      <c r="H522" s="106">
        <f>Проект!$H$945</f>
        <v>0</v>
      </c>
      <c r="I522" s="106">
        <f>Проект!$I$945</f>
        <v>0</v>
      </c>
      <c r="J522" s="106">
        <f>Проект!$J$945</f>
        <v>0</v>
      </c>
      <c r="K522" s="106" t="e">
        <f>Проект!#REF!</f>
        <v>#REF!</v>
      </c>
      <c r="L522" s="106" t="e">
        <f>Проект!#REF!</f>
        <v>#REF!</v>
      </c>
      <c r="M522" s="106" t="e">
        <f>Проект!#REF!</f>
        <v>#REF!</v>
      </c>
      <c r="N522" s="106" t="e">
        <f>Проект!#REF!</f>
        <v>#REF!</v>
      </c>
      <c r="O522" s="106" t="e">
        <f>Проект!#REF!</f>
        <v>#REF!</v>
      </c>
      <c r="P522" s="106" t="e">
        <f>Проект!#REF!</f>
        <v>#REF!</v>
      </c>
      <c r="Q522" s="106">
        <f>Проект!$K$945</f>
        <v>0</v>
      </c>
      <c r="R522" s="48"/>
      <c r="S522" s="41"/>
    </row>
    <row r="523" spans="1:19" hidden="1" x14ac:dyDescent="0.2">
      <c r="A523" s="48" t="str">
        <f ca="1">Проект!$A$946</f>
        <v xml:space="preserve">    запасы на основе графика оплаты</v>
      </c>
      <c r="B523" s="50"/>
      <c r="C523" s="73" t="str">
        <f ca="1">Проект!$C$946</f>
        <v>руб.</v>
      </c>
      <c r="D523" s="101" t="str">
        <f>Проект!$D$946</f>
        <v>int_end</v>
      </c>
      <c r="E523" s="48"/>
      <c r="F523" s="106">
        <f>Проект!$F$946</f>
        <v>0</v>
      </c>
      <c r="G523" s="106">
        <f>Проект!$G$946</f>
        <v>0</v>
      </c>
      <c r="H523" s="106">
        <f>Проект!$H$946</f>
        <v>0</v>
      </c>
      <c r="I523" s="106">
        <f>Проект!$I$946</f>
        <v>0</v>
      </c>
      <c r="J523" s="106">
        <f>Проект!$J$946</f>
        <v>0</v>
      </c>
      <c r="K523" s="106" t="e">
        <f>Проект!#REF!</f>
        <v>#REF!</v>
      </c>
      <c r="L523" s="106" t="e">
        <f>Проект!#REF!</f>
        <v>#REF!</v>
      </c>
      <c r="M523" s="106" t="e">
        <f>Проект!#REF!</f>
        <v>#REF!</v>
      </c>
      <c r="N523" s="106" t="e">
        <f>Проект!#REF!</f>
        <v>#REF!</v>
      </c>
      <c r="O523" s="106" t="e">
        <f>Проект!#REF!</f>
        <v>#REF!</v>
      </c>
      <c r="P523" s="106" t="e">
        <f>Проект!#REF!</f>
        <v>#REF!</v>
      </c>
      <c r="Q523" s="106">
        <f>Проект!$K$946</f>
        <v>0</v>
      </c>
      <c r="R523" s="48"/>
      <c r="S523" s="41"/>
    </row>
    <row r="524" spans="1:19" ht="11.25" customHeight="1" x14ac:dyDescent="0.2">
      <c r="A524" s="48" t="str">
        <f ca="1">Проект!$A$947</f>
        <v>Незавершенное производство</v>
      </c>
      <c r="B524" s="50"/>
      <c r="C524" s="73" t="str">
        <f ca="1">Проект!$C$947</f>
        <v>руб.</v>
      </c>
      <c r="D524" s="101" t="str">
        <f>Проект!$D$947</f>
        <v>int_end</v>
      </c>
      <c r="E524" s="84">
        <f>Проект!$E$947</f>
        <v>0</v>
      </c>
      <c r="F524" s="84">
        <f>Проект!$F$947</f>
        <v>0</v>
      </c>
      <c r="G524" s="84">
        <f>Проект!$G$947</f>
        <v>0</v>
      </c>
      <c r="H524" s="84">
        <f>Проект!$H$947</f>
        <v>0</v>
      </c>
      <c r="I524" s="84">
        <f>Проект!$I$947</f>
        <v>0</v>
      </c>
      <c r="J524" s="84">
        <f>Проект!$J$947</f>
        <v>0</v>
      </c>
      <c r="K524" s="84" t="e">
        <f>Проект!#REF!</f>
        <v>#REF!</v>
      </c>
      <c r="L524" s="84" t="e">
        <f>Проект!#REF!</f>
        <v>#REF!</v>
      </c>
      <c r="M524" s="84" t="e">
        <f>Проект!#REF!</f>
        <v>#REF!</v>
      </c>
      <c r="N524" s="84" t="e">
        <f>Проект!#REF!</f>
        <v>#REF!</v>
      </c>
      <c r="O524" s="84" t="e">
        <f>Проект!#REF!</f>
        <v>#REF!</v>
      </c>
      <c r="P524" s="84" t="e">
        <f>Проект!#REF!</f>
        <v>#REF!</v>
      </c>
      <c r="Q524" s="84">
        <f>Проект!$K$947</f>
        <v>0</v>
      </c>
      <c r="R524" s="48"/>
      <c r="S524" s="41"/>
    </row>
    <row r="525" spans="1:19" ht="11.25" customHeight="1" x14ac:dyDescent="0.2">
      <c r="A525" s="48" t="str">
        <f ca="1">Проект!$A$948</f>
        <v xml:space="preserve">    длительность производственного цикла</v>
      </c>
      <c r="B525" s="348">
        <f>Проект!$B$948</f>
        <v>60</v>
      </c>
      <c r="C525" s="73" t="str">
        <f ca="1">Проект!$C$948</f>
        <v>дн.</v>
      </c>
      <c r="D525" s="101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1"/>
    </row>
    <row r="526" spans="1:19" hidden="1" x14ac:dyDescent="0.2">
      <c r="A526" s="48" t="str">
        <f ca="1">Проект!$A$949</f>
        <v xml:space="preserve">    запасы на основе периодов оборота</v>
      </c>
      <c r="B526" s="50"/>
      <c r="C526" s="73" t="str">
        <f ca="1">Проект!$C$949</f>
        <v>руб.</v>
      </c>
      <c r="D526" s="101" t="str">
        <f>Проект!$D$949</f>
        <v>int_end</v>
      </c>
      <c r="E526" s="48">
        <f>Проект!$E$949</f>
        <v>0</v>
      </c>
      <c r="F526" s="106">
        <f>Проект!$F$949</f>
        <v>0</v>
      </c>
      <c r="G526" s="106">
        <f>Проект!$G$949</f>
        <v>0</v>
      </c>
      <c r="H526" s="106">
        <f>Проект!$H$949</f>
        <v>0</v>
      </c>
      <c r="I526" s="106">
        <f>Проект!$I$949</f>
        <v>0</v>
      </c>
      <c r="J526" s="106">
        <f>Проект!$J$949</f>
        <v>0</v>
      </c>
      <c r="K526" s="106" t="e">
        <f>Проект!#REF!</f>
        <v>#REF!</v>
      </c>
      <c r="L526" s="106" t="e">
        <f>Проект!#REF!</f>
        <v>#REF!</v>
      </c>
      <c r="M526" s="106" t="e">
        <f>Проект!#REF!</f>
        <v>#REF!</v>
      </c>
      <c r="N526" s="106" t="e">
        <f>Проект!#REF!</f>
        <v>#REF!</v>
      </c>
      <c r="O526" s="106" t="e">
        <f>Проект!#REF!</f>
        <v>#REF!</v>
      </c>
      <c r="P526" s="106" t="e">
        <f>Проект!#REF!</f>
        <v>#REF!</v>
      </c>
      <c r="Q526" s="106">
        <f>Проект!$K$949</f>
        <v>0</v>
      </c>
      <c r="R526" s="48"/>
      <c r="S526" s="41"/>
    </row>
    <row r="527" spans="1:19" hidden="1" x14ac:dyDescent="0.2">
      <c r="A527" s="48" t="str">
        <f ca="1">Проект!$A$950</f>
        <v xml:space="preserve">    запасы на основе графика оплаты</v>
      </c>
      <c r="B527" s="50"/>
      <c r="C527" s="73" t="str">
        <f ca="1">Проект!$C$950</f>
        <v>руб.</v>
      </c>
      <c r="D527" s="101" t="str">
        <f>Проект!$D$950</f>
        <v>int_end</v>
      </c>
      <c r="E527" s="48"/>
      <c r="F527" s="106">
        <f>Проект!$F$950</f>
        <v>0</v>
      </c>
      <c r="G527" s="106">
        <f>Проект!$G$950</f>
        <v>0</v>
      </c>
      <c r="H527" s="106">
        <f>Проект!$H$950</f>
        <v>0</v>
      </c>
      <c r="I527" s="106">
        <f>Проект!$I$950</f>
        <v>0</v>
      </c>
      <c r="J527" s="106">
        <f>Проект!$J$950</f>
        <v>0</v>
      </c>
      <c r="K527" s="106" t="e">
        <f>Проект!#REF!</f>
        <v>#REF!</v>
      </c>
      <c r="L527" s="106" t="e">
        <f>Проект!#REF!</f>
        <v>#REF!</v>
      </c>
      <c r="M527" s="106" t="e">
        <f>Проект!#REF!</f>
        <v>#REF!</v>
      </c>
      <c r="N527" s="106" t="e">
        <f>Проект!#REF!</f>
        <v>#REF!</v>
      </c>
      <c r="O527" s="106" t="e">
        <f>Проект!#REF!</f>
        <v>#REF!</v>
      </c>
      <c r="P527" s="106" t="e">
        <f>Проект!#REF!</f>
        <v>#REF!</v>
      </c>
      <c r="Q527" s="106">
        <f>Проект!$K$950</f>
        <v>0</v>
      </c>
      <c r="R527" s="48"/>
      <c r="S527" s="41"/>
    </row>
    <row r="528" spans="1:19" ht="11.25" customHeight="1" x14ac:dyDescent="0.2">
      <c r="A528" s="48" t="str">
        <f ca="1">Проект!$A$951</f>
        <v>Запасы готовой продукции</v>
      </c>
      <c r="B528" s="50"/>
      <c r="C528" s="73" t="str">
        <f ca="1">Проект!$C$951</f>
        <v>руб.</v>
      </c>
      <c r="D528" s="101" t="str">
        <f>Проект!$D$951</f>
        <v>int_end</v>
      </c>
      <c r="E528" s="84">
        <f>Проект!$E$951</f>
        <v>0</v>
      </c>
      <c r="F528" s="84">
        <f>Проект!$F$951</f>
        <v>0</v>
      </c>
      <c r="G528" s="84">
        <f>Проект!$G$951</f>
        <v>0</v>
      </c>
      <c r="H528" s="84">
        <f>Проект!$H$951</f>
        <v>0</v>
      </c>
      <c r="I528" s="84">
        <f>Проект!$I$951</f>
        <v>0</v>
      </c>
      <c r="J528" s="84">
        <f>Проект!$J$951</f>
        <v>0</v>
      </c>
      <c r="K528" s="84" t="e">
        <f>Проект!#REF!</f>
        <v>#REF!</v>
      </c>
      <c r="L528" s="84" t="e">
        <f>Проект!#REF!</f>
        <v>#REF!</v>
      </c>
      <c r="M528" s="84" t="e">
        <f>Проект!#REF!</f>
        <v>#REF!</v>
      </c>
      <c r="N528" s="84" t="e">
        <f>Проект!#REF!</f>
        <v>#REF!</v>
      </c>
      <c r="O528" s="84" t="e">
        <f>Проект!#REF!</f>
        <v>#REF!</v>
      </c>
      <c r="P528" s="84" t="e">
        <f>Проект!#REF!</f>
        <v>#REF!</v>
      </c>
      <c r="Q528" s="84">
        <f>Проект!$K$951</f>
        <v>0</v>
      </c>
      <c r="R528" s="48"/>
      <c r="S528" s="41"/>
    </row>
    <row r="529" spans="1:19" ht="11.25" customHeight="1" x14ac:dyDescent="0.2">
      <c r="A529" s="45" t="str">
        <f ca="1">Проект!$A$952</f>
        <v xml:space="preserve">    среднее время хранения</v>
      </c>
      <c r="B529" s="362">
        <f>Проект!$B$952</f>
        <v>0</v>
      </c>
      <c r="C529" s="100" t="str">
        <f ca="1">Проект!$C$952</f>
        <v>дн.</v>
      </c>
      <c r="D529" s="74"/>
      <c r="E529" s="45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45"/>
      <c r="S529" s="77"/>
    </row>
    <row r="530" spans="1:19" hidden="1" x14ac:dyDescent="0.2">
      <c r="A530" s="45" t="str">
        <f ca="1">Проект!$A$953</f>
        <v xml:space="preserve">    запасы на основе периодов оборота</v>
      </c>
      <c r="B530" s="148"/>
      <c r="C530" s="73" t="str">
        <f ca="1">Проект!$C$953</f>
        <v>руб.</v>
      </c>
      <c r="D530" s="101" t="str">
        <f>Проект!$D$953</f>
        <v>int_end</v>
      </c>
      <c r="E530" s="45">
        <f>Проект!$E$953</f>
        <v>0</v>
      </c>
      <c r="F530" s="102">
        <f>Проект!$F$953</f>
        <v>0</v>
      </c>
      <c r="G530" s="102">
        <f>Проект!$G$953</f>
        <v>0</v>
      </c>
      <c r="H530" s="102">
        <f>Проект!$H$953</f>
        <v>0</v>
      </c>
      <c r="I530" s="102">
        <f>Проект!$I$953</f>
        <v>0</v>
      </c>
      <c r="J530" s="102">
        <f>Проект!$J$953</f>
        <v>0</v>
      </c>
      <c r="K530" s="102" t="e">
        <f>Проект!#REF!</f>
        <v>#REF!</v>
      </c>
      <c r="L530" s="102" t="e">
        <f>Проект!#REF!</f>
        <v>#REF!</v>
      </c>
      <c r="M530" s="102" t="e">
        <f>Проект!#REF!</f>
        <v>#REF!</v>
      </c>
      <c r="N530" s="102" t="e">
        <f>Проект!#REF!</f>
        <v>#REF!</v>
      </c>
      <c r="O530" s="102" t="e">
        <f>Проект!#REF!</f>
        <v>#REF!</v>
      </c>
      <c r="P530" s="102" t="e">
        <f>Проект!#REF!</f>
        <v>#REF!</v>
      </c>
      <c r="Q530" s="102">
        <f>Проект!$K$953</f>
        <v>0</v>
      </c>
      <c r="R530" s="45"/>
      <c r="S530" s="77"/>
    </row>
    <row r="531" spans="1:19" hidden="1" x14ac:dyDescent="0.2">
      <c r="A531" s="45" t="str">
        <f ca="1">Проект!$A$954</f>
        <v xml:space="preserve">    запасы на основе графика оплаты</v>
      </c>
      <c r="B531" s="50"/>
      <c r="C531" s="73" t="str">
        <f ca="1">Проект!$C$954</f>
        <v>руб.</v>
      </c>
      <c r="D531" s="101" t="str">
        <f>Проект!$D$954</f>
        <v>int_end</v>
      </c>
      <c r="E531" s="45"/>
      <c r="F531" s="102">
        <f>Проект!$F$954</f>
        <v>0</v>
      </c>
      <c r="G531" s="102">
        <f>Проект!$G$954</f>
        <v>0</v>
      </c>
      <c r="H531" s="102">
        <f>Проект!$H$954</f>
        <v>0</v>
      </c>
      <c r="I531" s="102">
        <f>Проект!$I$954</f>
        <v>0</v>
      </c>
      <c r="J531" s="102">
        <f>Проект!$J$954</f>
        <v>0</v>
      </c>
      <c r="K531" s="102" t="e">
        <f>Проект!#REF!</f>
        <v>#REF!</v>
      </c>
      <c r="L531" s="102" t="e">
        <f>Проект!#REF!</f>
        <v>#REF!</v>
      </c>
      <c r="M531" s="102" t="e">
        <f>Проект!#REF!</f>
        <v>#REF!</v>
      </c>
      <c r="N531" s="102" t="e">
        <f>Проект!#REF!</f>
        <v>#REF!</v>
      </c>
      <c r="O531" s="102" t="e">
        <f>Проект!#REF!</f>
        <v>#REF!</v>
      </c>
      <c r="P531" s="102" t="e">
        <f>Проект!#REF!</f>
        <v>#REF!</v>
      </c>
      <c r="Q531" s="102">
        <f>Проект!$K$954</f>
        <v>0</v>
      </c>
      <c r="R531" s="45"/>
      <c r="S531" s="77"/>
    </row>
    <row r="532" spans="1:19" ht="11.25" customHeight="1" x14ac:dyDescent="0.2">
      <c r="A532" s="76"/>
      <c r="B532" s="76"/>
      <c r="C532" s="76"/>
      <c r="D532" s="363"/>
      <c r="E532" s="76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76"/>
      <c r="S532" s="359"/>
    </row>
    <row r="533" spans="1:19" ht="11.25" customHeight="1" x14ac:dyDescent="0.2">
      <c r="A533" s="125" t="str">
        <f ca="1">Проект!$A$956</f>
        <v>РАСЧЕТЫ С ПОКУПАТЕЛЯМИ</v>
      </c>
      <c r="B533" s="45"/>
      <c r="C533" s="45"/>
      <c r="D533" s="74"/>
      <c r="E533" s="45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45"/>
      <c r="S533" s="77"/>
    </row>
    <row r="534" spans="1:19" ht="11.25" customHeight="1" x14ac:dyDescent="0.2">
      <c r="A534" s="48" t="str">
        <f ca="1">Проект!$A$957</f>
        <v>Поступления денег от продаж:</v>
      </c>
      <c r="B534" s="197" t="str">
        <f ca="1">Проект!$B$957</f>
        <v>доля</v>
      </c>
      <c r="C534" s="197" t="str">
        <f ca="1">Проект!$C$957</f>
        <v>срок, дн.</v>
      </c>
      <c r="D534" s="101"/>
      <c r="E534" s="48"/>
      <c r="F534" s="106"/>
      <c r="G534" s="106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48"/>
      <c r="S534" s="41"/>
    </row>
    <row r="535" spans="1:19" ht="11.25" customHeight="1" x14ac:dyDescent="0.2">
      <c r="A535" s="48" t="str">
        <f ca="1">Проект!$A$958</f>
        <v xml:space="preserve">    немедленная оплата</v>
      </c>
      <c r="B535" s="81">
        <f>Проект!$B$958</f>
        <v>1</v>
      </c>
      <c r="C535" s="50" t="str">
        <f>Проект!$C$958</f>
        <v>-</v>
      </c>
      <c r="D535" s="101"/>
      <c r="E535" s="48"/>
      <c r="F535" s="106"/>
      <c r="G535" s="106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48"/>
      <c r="S535" s="41"/>
    </row>
    <row r="536" spans="1:19" ht="11.25" customHeight="1" x14ac:dyDescent="0.2">
      <c r="A536" s="48" t="str">
        <f ca="1">Проект!$A$959</f>
        <v xml:space="preserve">    продажи с предоплатой</v>
      </c>
      <c r="B536" s="358">
        <f>Проект!$B$959</f>
        <v>1</v>
      </c>
      <c r="C536" s="348">
        <f>Проект!$C$959</f>
        <v>0</v>
      </c>
      <c r="D536" s="101"/>
      <c r="E536" s="48"/>
      <c r="F536" s="106"/>
      <c r="G536" s="106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48"/>
      <c r="S536" s="41"/>
    </row>
    <row r="537" spans="1:19" ht="11.25" customHeight="1" x14ac:dyDescent="0.2">
      <c r="A537" s="48" t="str">
        <f ca="1">Проект!$A$960</f>
        <v xml:space="preserve">    продажи в кредит</v>
      </c>
      <c r="B537" s="358">
        <f>Проект!$B$960</f>
        <v>0</v>
      </c>
      <c r="C537" s="348">
        <f>Проект!$C$960</f>
        <v>60</v>
      </c>
      <c r="D537" s="101"/>
      <c r="E537" s="48"/>
      <c r="F537" s="106"/>
      <c r="G537" s="106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48"/>
      <c r="S537" s="41"/>
    </row>
    <row r="538" spans="1:19" ht="11.25" customHeight="1" x14ac:dyDescent="0.2">
      <c r="A538" s="48" t="str">
        <f ca="1">Проект!$A$961</f>
        <v>Сумма счетов к получению</v>
      </c>
      <c r="B538" s="48"/>
      <c r="C538" s="73" t="str">
        <f ca="1">Проект!$C$961</f>
        <v>руб.</v>
      </c>
      <c r="D538" s="101" t="str">
        <f>Проект!$D$961</f>
        <v>int_end</v>
      </c>
      <c r="E538" s="106">
        <f>Проект!$E$961</f>
        <v>0</v>
      </c>
      <c r="F538" s="106">
        <f>Проект!$F$961</f>
        <v>0</v>
      </c>
      <c r="G538" s="106">
        <f>Проект!$G$961</f>
        <v>0</v>
      </c>
      <c r="H538" s="106">
        <f>Проект!$H$961</f>
        <v>0</v>
      </c>
      <c r="I538" s="106">
        <f>Проект!$I$961</f>
        <v>0</v>
      </c>
      <c r="J538" s="106">
        <f>Проект!$J$961</f>
        <v>0</v>
      </c>
      <c r="K538" s="106" t="e">
        <f>Проект!#REF!</f>
        <v>#REF!</v>
      </c>
      <c r="L538" s="106" t="e">
        <f>Проект!#REF!</f>
        <v>#REF!</v>
      </c>
      <c r="M538" s="106" t="e">
        <f>Проект!#REF!</f>
        <v>#REF!</v>
      </c>
      <c r="N538" s="106" t="e">
        <f>Проект!#REF!</f>
        <v>#REF!</v>
      </c>
      <c r="O538" s="106" t="e">
        <f>Проект!#REF!</f>
        <v>#REF!</v>
      </c>
      <c r="P538" s="106" t="e">
        <f>Проект!#REF!</f>
        <v>#REF!</v>
      </c>
      <c r="Q538" s="106">
        <f>Проект!$K$961</f>
        <v>0</v>
      </c>
      <c r="R538" s="48"/>
      <c r="S538" s="41"/>
    </row>
    <row r="539" spans="1:19" hidden="1" x14ac:dyDescent="0.2">
      <c r="A539" s="48" t="str">
        <f ca="1">Проект!$A$962</f>
        <v xml:space="preserve">    на основе циклов оборачиваемости</v>
      </c>
      <c r="B539" s="48"/>
      <c r="C539" s="73" t="str">
        <f ca="1">Проект!$C$962</f>
        <v>руб.</v>
      </c>
      <c r="D539" s="101" t="str">
        <f>Проект!$D$962</f>
        <v>int_end</v>
      </c>
      <c r="E539" s="48">
        <f>Проект!$E$962</f>
        <v>0</v>
      </c>
      <c r="F539" s="106">
        <f>Проект!$F$962</f>
        <v>0</v>
      </c>
      <c r="G539" s="106">
        <f>Проект!$G$962</f>
        <v>0</v>
      </c>
      <c r="H539" s="106">
        <f>Проект!$H$962</f>
        <v>0</v>
      </c>
      <c r="I539" s="106">
        <f>Проект!$I$962</f>
        <v>0</v>
      </c>
      <c r="J539" s="106">
        <f>Проект!$J$962</f>
        <v>0</v>
      </c>
      <c r="K539" s="106" t="e">
        <f>Проект!#REF!</f>
        <v>#REF!</v>
      </c>
      <c r="L539" s="106" t="e">
        <f>Проект!#REF!</f>
        <v>#REF!</v>
      </c>
      <c r="M539" s="106" t="e">
        <f>Проект!#REF!</f>
        <v>#REF!</v>
      </c>
      <c r="N539" s="106" t="e">
        <f>Проект!#REF!</f>
        <v>#REF!</v>
      </c>
      <c r="O539" s="106" t="e">
        <f>Проект!#REF!</f>
        <v>#REF!</v>
      </c>
      <c r="P539" s="106" t="e">
        <f>Проект!#REF!</f>
        <v>#REF!</v>
      </c>
      <c r="Q539" s="106">
        <f>Проект!$K$962</f>
        <v>0</v>
      </c>
      <c r="R539" s="48"/>
      <c r="S539" s="41"/>
    </row>
    <row r="540" spans="1:19" hidden="1" x14ac:dyDescent="0.2">
      <c r="A540" s="48" t="str">
        <f ca="1">Проект!$A$963</f>
        <v xml:space="preserve">    в соответствии с графиком оплаты продукции</v>
      </c>
      <c r="B540" s="48"/>
      <c r="C540" s="73" t="str">
        <f ca="1">Проект!$C$963</f>
        <v>руб.</v>
      </c>
      <c r="D540" s="101" t="str">
        <f>Проект!$D$963</f>
        <v>int_end</v>
      </c>
      <c r="E540" s="48"/>
      <c r="F540" s="106">
        <f>Проект!$F$963</f>
        <v>0</v>
      </c>
      <c r="G540" s="106">
        <f>Проект!$G$963</f>
        <v>0</v>
      </c>
      <c r="H540" s="106">
        <f>Проект!$H$963</f>
        <v>0</v>
      </c>
      <c r="I540" s="106">
        <f>Проект!$I$963</f>
        <v>0</v>
      </c>
      <c r="J540" s="106">
        <f>Проект!$J$963</f>
        <v>0</v>
      </c>
      <c r="K540" s="106" t="e">
        <f>Проект!#REF!</f>
        <v>#REF!</v>
      </c>
      <c r="L540" s="106" t="e">
        <f>Проект!#REF!</f>
        <v>#REF!</v>
      </c>
      <c r="M540" s="106" t="e">
        <f>Проект!#REF!</f>
        <v>#REF!</v>
      </c>
      <c r="N540" s="106" t="e">
        <f>Проект!#REF!</f>
        <v>#REF!</v>
      </c>
      <c r="O540" s="106" t="e">
        <f>Проект!#REF!</f>
        <v>#REF!</v>
      </c>
      <c r="P540" s="106" t="e">
        <f>Проект!#REF!</f>
        <v>#REF!</v>
      </c>
      <c r="Q540" s="106">
        <f>Проект!$K$963</f>
        <v>0</v>
      </c>
      <c r="R540" s="48"/>
      <c r="S540" s="41"/>
    </row>
    <row r="541" spans="1:19" ht="11.25" customHeight="1" x14ac:dyDescent="0.2">
      <c r="A541" s="48" t="str">
        <f ca="1">Проект!$A$964</f>
        <v>Сумма полученных авансов</v>
      </c>
      <c r="B541" s="48"/>
      <c r="C541" s="73" t="str">
        <f ca="1">Проект!$C$964</f>
        <v>руб.</v>
      </c>
      <c r="D541" s="74" t="str">
        <f>Проект!$D$964</f>
        <v>int_end</v>
      </c>
      <c r="E541" s="106">
        <f>Проект!$E$964</f>
        <v>0</v>
      </c>
      <c r="F541" s="106">
        <f>Проект!$F$964</f>
        <v>0</v>
      </c>
      <c r="G541" s="106">
        <f>Проект!$G$964</f>
        <v>0</v>
      </c>
      <c r="H541" s="106">
        <f>Проект!$H$964</f>
        <v>0</v>
      </c>
      <c r="I541" s="106">
        <f>Проект!$I$964</f>
        <v>0</v>
      </c>
      <c r="J541" s="106">
        <f>Проект!$J$964</f>
        <v>0</v>
      </c>
      <c r="K541" s="106" t="e">
        <f>Проект!#REF!</f>
        <v>#REF!</v>
      </c>
      <c r="L541" s="106" t="e">
        <f>Проект!#REF!</f>
        <v>#REF!</v>
      </c>
      <c r="M541" s="106" t="e">
        <f>Проект!#REF!</f>
        <v>#REF!</v>
      </c>
      <c r="N541" s="106" t="e">
        <f>Проект!#REF!</f>
        <v>#REF!</v>
      </c>
      <c r="O541" s="106" t="e">
        <f>Проект!#REF!</f>
        <v>#REF!</v>
      </c>
      <c r="P541" s="106" t="e">
        <f>Проект!#REF!</f>
        <v>#REF!</v>
      </c>
      <c r="Q541" s="106">
        <f>Проект!$K$964</f>
        <v>0</v>
      </c>
      <c r="R541" s="48"/>
      <c r="S541" s="41"/>
    </row>
    <row r="542" spans="1:19" hidden="1" x14ac:dyDescent="0.2">
      <c r="A542" s="48" t="str">
        <f ca="1">Проект!$A$965</f>
        <v xml:space="preserve">    на основе циклов оборачиваемости (c НДС на аванс)</v>
      </c>
      <c r="B542" s="48"/>
      <c r="C542" s="73" t="str">
        <f ca="1">Проект!$C$965</f>
        <v>руб.</v>
      </c>
      <c r="D542" s="101" t="str">
        <f>Проект!$D$965</f>
        <v>int_end</v>
      </c>
      <c r="E542" s="48">
        <f>Проект!$E$965</f>
        <v>0</v>
      </c>
      <c r="F542" s="106">
        <f>Проект!$F$965</f>
        <v>0</v>
      </c>
      <c r="G542" s="106">
        <f>Проект!$G$965</f>
        <v>0</v>
      </c>
      <c r="H542" s="106">
        <f>Проект!$H$965</f>
        <v>0</v>
      </c>
      <c r="I542" s="106">
        <f>Проект!$I$965</f>
        <v>0</v>
      </c>
      <c r="J542" s="106">
        <f>Проект!$J$965</f>
        <v>0</v>
      </c>
      <c r="K542" s="106" t="e">
        <f>Проект!#REF!</f>
        <v>#REF!</v>
      </c>
      <c r="L542" s="106" t="e">
        <f>Проект!#REF!</f>
        <v>#REF!</v>
      </c>
      <c r="M542" s="106" t="e">
        <f>Проект!#REF!</f>
        <v>#REF!</v>
      </c>
      <c r="N542" s="106" t="e">
        <f>Проект!#REF!</f>
        <v>#REF!</v>
      </c>
      <c r="O542" s="106" t="e">
        <f>Проект!#REF!</f>
        <v>#REF!</v>
      </c>
      <c r="P542" s="106" t="e">
        <f>Проект!#REF!</f>
        <v>#REF!</v>
      </c>
      <c r="Q542" s="106">
        <f>Проект!$K$965</f>
        <v>0</v>
      </c>
      <c r="R542" s="48"/>
      <c r="S542" s="41"/>
    </row>
    <row r="543" spans="1:19" hidden="1" x14ac:dyDescent="0.2">
      <c r="A543" s="45" t="str">
        <f ca="1">Проект!$A$966</f>
        <v xml:space="preserve">    в соответствии с графиком оплаты продукции</v>
      </c>
      <c r="B543" s="45"/>
      <c r="C543" s="100" t="str">
        <f ca="1">Проект!$C$966</f>
        <v>руб.</v>
      </c>
      <c r="D543" s="74" t="str">
        <f>Проект!$D$966</f>
        <v>int_end</v>
      </c>
      <c r="E543" s="45"/>
      <c r="F543" s="102">
        <f>Проект!$F$966</f>
        <v>0</v>
      </c>
      <c r="G543" s="102">
        <f>Проект!$G$966</f>
        <v>0</v>
      </c>
      <c r="H543" s="102">
        <f>Проект!$H$966</f>
        <v>0</v>
      </c>
      <c r="I543" s="102">
        <f>Проект!$I$966</f>
        <v>0</v>
      </c>
      <c r="J543" s="102">
        <f>Проект!$J$966</f>
        <v>0</v>
      </c>
      <c r="K543" s="102" t="e">
        <f>Проект!#REF!</f>
        <v>#REF!</v>
      </c>
      <c r="L543" s="102" t="e">
        <f>Проект!#REF!</f>
        <v>#REF!</v>
      </c>
      <c r="M543" s="102" t="e">
        <f>Проект!#REF!</f>
        <v>#REF!</v>
      </c>
      <c r="N543" s="102" t="e">
        <f>Проект!#REF!</f>
        <v>#REF!</v>
      </c>
      <c r="O543" s="102" t="e">
        <f>Проект!#REF!</f>
        <v>#REF!</v>
      </c>
      <c r="P543" s="102" t="e">
        <f>Проект!#REF!</f>
        <v>#REF!</v>
      </c>
      <c r="Q543" s="102">
        <f>Проект!$K$966</f>
        <v>0</v>
      </c>
      <c r="R543" s="45"/>
      <c r="S543" s="77"/>
    </row>
    <row r="544" spans="1:19" ht="11.25" customHeight="1" x14ac:dyDescent="0.2">
      <c r="A544" s="76"/>
      <c r="B544" s="76"/>
      <c r="C544" s="76"/>
      <c r="D544" s="363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359"/>
    </row>
    <row r="545" spans="1:19" ht="11.25" customHeight="1" x14ac:dyDescent="0.2">
      <c r="A545" s="130" t="str">
        <f ca="1">Проект!$A$968</f>
        <v>РАСЧЕТЫ С ПОСТАВЩИКАМИ</v>
      </c>
      <c r="B545" s="48"/>
      <c r="C545" s="48"/>
      <c r="D545" s="101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1"/>
    </row>
    <row r="546" spans="1:19" ht="11.25" customHeight="1" x14ac:dyDescent="0.2">
      <c r="A546" s="48" t="str">
        <f ca="1">Проект!$A$969</f>
        <v>Оплата материалов и комплектующих:</v>
      </c>
      <c r="B546" s="197" t="str">
        <f ca="1">Проект!$B$969</f>
        <v>доля</v>
      </c>
      <c r="C546" s="197" t="str">
        <f ca="1">Проект!$C$969</f>
        <v>срок, дн.</v>
      </c>
      <c r="D546" s="101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1"/>
    </row>
    <row r="547" spans="1:19" ht="11.25" customHeight="1" x14ac:dyDescent="0.2">
      <c r="A547" s="48" t="str">
        <f ca="1">Проект!$A$970</f>
        <v xml:space="preserve">    немедленная оплата</v>
      </c>
      <c r="B547" s="81">
        <f>Проект!$B$970</f>
        <v>0</v>
      </c>
      <c r="C547" s="50" t="str">
        <f>Проект!$C$970</f>
        <v>-</v>
      </c>
      <c r="D547" s="101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1"/>
    </row>
    <row r="548" spans="1:19" ht="11.25" customHeight="1" x14ac:dyDescent="0.2">
      <c r="A548" s="48" t="str">
        <f ca="1">Проект!$A$971</f>
        <v xml:space="preserve">    авансовая оплата</v>
      </c>
      <c r="B548" s="358">
        <f>Проект!$B$971</f>
        <v>0</v>
      </c>
      <c r="C548" s="348">
        <f>Проект!$C$971</f>
        <v>0</v>
      </c>
      <c r="D548" s="101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1"/>
    </row>
    <row r="549" spans="1:19" ht="11.25" customHeight="1" x14ac:dyDescent="0.2">
      <c r="A549" s="48" t="str">
        <f ca="1">Проект!$A$972</f>
        <v xml:space="preserve">    оплата в кредит</v>
      </c>
      <c r="B549" s="358">
        <f>Проект!$B$972</f>
        <v>1</v>
      </c>
      <c r="C549" s="348">
        <f>Проект!$C$972</f>
        <v>0</v>
      </c>
      <c r="D549" s="101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1"/>
    </row>
    <row r="550" spans="1:19" ht="11.25" customHeight="1" x14ac:dyDescent="0.2">
      <c r="A550" s="48" t="str">
        <f ca="1">Проект!$A$973</f>
        <v>Сумма счетов к оплате</v>
      </c>
      <c r="B550" s="48"/>
      <c r="C550" s="73" t="str">
        <f ca="1">Проект!$C$973</f>
        <v>руб.</v>
      </c>
      <c r="D550" s="101" t="str">
        <f>Проект!$D$973</f>
        <v>int_end</v>
      </c>
      <c r="E550" s="106">
        <f>Проект!$E$973</f>
        <v>0</v>
      </c>
      <c r="F550" s="106">
        <f>Проект!$F$973</f>
        <v>0</v>
      </c>
      <c r="G550" s="106">
        <f>Проект!$G$973</f>
        <v>0</v>
      </c>
      <c r="H550" s="106">
        <f>Проект!$H$973</f>
        <v>0</v>
      </c>
      <c r="I550" s="106">
        <f>Проект!$I$973</f>
        <v>0</v>
      </c>
      <c r="J550" s="106">
        <f>Проект!$J$973</f>
        <v>0</v>
      </c>
      <c r="K550" s="106" t="e">
        <f>Проект!#REF!</f>
        <v>#REF!</v>
      </c>
      <c r="L550" s="106" t="e">
        <f>Проект!#REF!</f>
        <v>#REF!</v>
      </c>
      <c r="M550" s="106" t="e">
        <f>Проект!#REF!</f>
        <v>#REF!</v>
      </c>
      <c r="N550" s="106" t="e">
        <f>Проект!#REF!</f>
        <v>#REF!</v>
      </c>
      <c r="O550" s="106" t="e">
        <f>Проект!#REF!</f>
        <v>#REF!</v>
      </c>
      <c r="P550" s="106" t="e">
        <f>Проект!#REF!</f>
        <v>#REF!</v>
      </c>
      <c r="Q550" s="106">
        <f>Проект!$K$973</f>
        <v>0</v>
      </c>
      <c r="R550" s="48"/>
      <c r="S550" s="41"/>
    </row>
    <row r="551" spans="1:19" hidden="1" x14ac:dyDescent="0.2">
      <c r="A551" s="48" t="str">
        <f ca="1">Проект!$A$974</f>
        <v xml:space="preserve">    на основе циклов оборачиваемости</v>
      </c>
      <c r="B551" s="48"/>
      <c r="C551" s="73" t="str">
        <f ca="1">Проект!$C$974</f>
        <v>руб.</v>
      </c>
      <c r="D551" s="101" t="str">
        <f>Проект!$D$974</f>
        <v>int_end</v>
      </c>
      <c r="E551" s="48">
        <f>Проект!$E$974</f>
        <v>0</v>
      </c>
      <c r="F551" s="106">
        <f>Проект!$F$974</f>
        <v>0</v>
      </c>
      <c r="G551" s="106">
        <f>Проект!$G$974</f>
        <v>0</v>
      </c>
      <c r="H551" s="106">
        <f>Проект!$H$974</f>
        <v>0</v>
      </c>
      <c r="I551" s="106">
        <f>Проект!$I$974</f>
        <v>0</v>
      </c>
      <c r="J551" s="106">
        <f>Проект!$J$974</f>
        <v>0</v>
      </c>
      <c r="K551" s="106" t="e">
        <f>Проект!#REF!</f>
        <v>#REF!</v>
      </c>
      <c r="L551" s="106" t="e">
        <f>Проект!#REF!</f>
        <v>#REF!</v>
      </c>
      <c r="M551" s="106" t="e">
        <f>Проект!#REF!</f>
        <v>#REF!</v>
      </c>
      <c r="N551" s="106" t="e">
        <f>Проект!#REF!</f>
        <v>#REF!</v>
      </c>
      <c r="O551" s="106" t="e">
        <f>Проект!#REF!</f>
        <v>#REF!</v>
      </c>
      <c r="P551" s="106" t="e">
        <f>Проект!#REF!</f>
        <v>#REF!</v>
      </c>
      <c r="Q551" s="106">
        <f>Проект!$K$974</f>
        <v>0</v>
      </c>
      <c r="R551" s="48"/>
      <c r="S551" s="41"/>
    </row>
    <row r="552" spans="1:19" hidden="1" x14ac:dyDescent="0.2">
      <c r="A552" s="48" t="str">
        <f ca="1">Проект!$A$975</f>
        <v xml:space="preserve">    в соответствии с графиком оплаты затрат</v>
      </c>
      <c r="B552" s="48"/>
      <c r="C552" s="73" t="str">
        <f ca="1">Проект!$C$975</f>
        <v>руб.</v>
      </c>
      <c r="D552" s="101" t="str">
        <f>Проект!$D$975</f>
        <v>int_end</v>
      </c>
      <c r="E552" s="48"/>
      <c r="F552" s="106">
        <f>Проект!$F$975</f>
        <v>0</v>
      </c>
      <c r="G552" s="106">
        <f>Проект!$G$975</f>
        <v>0</v>
      </c>
      <c r="H552" s="106">
        <f>Проект!$H$975</f>
        <v>0</v>
      </c>
      <c r="I552" s="106">
        <f>Проект!$I$975</f>
        <v>0</v>
      </c>
      <c r="J552" s="106">
        <f>Проект!$J$975</f>
        <v>0</v>
      </c>
      <c r="K552" s="106" t="e">
        <f>Проект!#REF!</f>
        <v>#REF!</v>
      </c>
      <c r="L552" s="106" t="e">
        <f>Проект!#REF!</f>
        <v>#REF!</v>
      </c>
      <c r="M552" s="106" t="e">
        <f>Проект!#REF!</f>
        <v>#REF!</v>
      </c>
      <c r="N552" s="106" t="e">
        <f>Проект!#REF!</f>
        <v>#REF!</v>
      </c>
      <c r="O552" s="106" t="e">
        <f>Проект!#REF!</f>
        <v>#REF!</v>
      </c>
      <c r="P552" s="106" t="e">
        <f>Проект!#REF!</f>
        <v>#REF!</v>
      </c>
      <c r="Q552" s="106">
        <f>Проект!$K$975</f>
        <v>0</v>
      </c>
      <c r="R552" s="48"/>
      <c r="S552" s="41"/>
    </row>
    <row r="553" spans="1:19" ht="11.25" customHeight="1" x14ac:dyDescent="0.2">
      <c r="A553" s="48" t="str">
        <f ca="1">Проект!$A$976</f>
        <v>Сумма уплаченных авансов</v>
      </c>
      <c r="B553" s="48"/>
      <c r="C553" s="73" t="str">
        <f ca="1">Проект!$C$976</f>
        <v>руб.</v>
      </c>
      <c r="D553" s="101" t="str">
        <f>Проект!$D$976</f>
        <v>int_end</v>
      </c>
      <c r="E553" s="106">
        <f>Проект!$E$976</f>
        <v>0</v>
      </c>
      <c r="F553" s="106">
        <f>Проект!$F$976</f>
        <v>0</v>
      </c>
      <c r="G553" s="106">
        <f>Проект!$G$976</f>
        <v>0</v>
      </c>
      <c r="H553" s="106">
        <f>Проект!$H$976</f>
        <v>0</v>
      </c>
      <c r="I553" s="106">
        <f>Проект!$I$976</f>
        <v>0</v>
      </c>
      <c r="J553" s="106">
        <f>Проект!$J$976</f>
        <v>0</v>
      </c>
      <c r="K553" s="106" t="e">
        <f>Проект!#REF!</f>
        <v>#REF!</v>
      </c>
      <c r="L553" s="106" t="e">
        <f>Проект!#REF!</f>
        <v>#REF!</v>
      </c>
      <c r="M553" s="106" t="e">
        <f>Проект!#REF!</f>
        <v>#REF!</v>
      </c>
      <c r="N553" s="106" t="e">
        <f>Проект!#REF!</f>
        <v>#REF!</v>
      </c>
      <c r="O553" s="106" t="e">
        <f>Проект!#REF!</f>
        <v>#REF!</v>
      </c>
      <c r="P553" s="106" t="e">
        <f>Проект!#REF!</f>
        <v>#REF!</v>
      </c>
      <c r="Q553" s="106">
        <f>Проект!$K$976</f>
        <v>0</v>
      </c>
      <c r="R553" s="48"/>
      <c r="S553" s="41"/>
    </row>
    <row r="554" spans="1:19" hidden="1" x14ac:dyDescent="0.2">
      <c r="A554" s="48" t="str">
        <f ca="1">Проект!$A$977</f>
        <v xml:space="preserve">    на основе циклов оборачиваемости</v>
      </c>
      <c r="B554" s="48"/>
      <c r="C554" s="73" t="str">
        <f ca="1">Проект!$C$977</f>
        <v>руб.</v>
      </c>
      <c r="D554" s="101" t="str">
        <f>Проект!$D$977</f>
        <v>int_end</v>
      </c>
      <c r="E554" s="48">
        <f>Проект!$E$977</f>
        <v>0</v>
      </c>
      <c r="F554" s="106">
        <f>Проект!$F$977</f>
        <v>0</v>
      </c>
      <c r="G554" s="106">
        <f>Проект!$G$977</f>
        <v>0</v>
      </c>
      <c r="H554" s="106">
        <f>Проект!$H$977</f>
        <v>0</v>
      </c>
      <c r="I554" s="106">
        <f>Проект!$I$977</f>
        <v>0</v>
      </c>
      <c r="J554" s="106">
        <f>Проект!$J$977</f>
        <v>0</v>
      </c>
      <c r="K554" s="106" t="e">
        <f>Проект!#REF!</f>
        <v>#REF!</v>
      </c>
      <c r="L554" s="106" t="e">
        <f>Проект!#REF!</f>
        <v>#REF!</v>
      </c>
      <c r="M554" s="106" t="e">
        <f>Проект!#REF!</f>
        <v>#REF!</v>
      </c>
      <c r="N554" s="106" t="e">
        <f>Проект!#REF!</f>
        <v>#REF!</v>
      </c>
      <c r="O554" s="106" t="e">
        <f>Проект!#REF!</f>
        <v>#REF!</v>
      </c>
      <c r="P554" s="106" t="e">
        <f>Проект!#REF!</f>
        <v>#REF!</v>
      </c>
      <c r="Q554" s="106">
        <f>Проект!$K$977</f>
        <v>0</v>
      </c>
      <c r="R554" s="48"/>
      <c r="S554" s="41"/>
    </row>
    <row r="555" spans="1:19" hidden="1" x14ac:dyDescent="0.2">
      <c r="A555" s="173" t="str">
        <f ca="1">Проект!$A$978</f>
        <v xml:space="preserve">    в соответствии с графиком оплаты затрат</v>
      </c>
      <c r="B555" s="173"/>
      <c r="C555" s="365" t="str">
        <f ca="1">Проект!$C$978</f>
        <v>руб.</v>
      </c>
      <c r="D555" s="101" t="str">
        <f>Проект!$D$978</f>
        <v>int_end</v>
      </c>
      <c r="E555" s="173"/>
      <c r="F555" s="142">
        <f>Проект!$F$978</f>
        <v>0</v>
      </c>
      <c r="G555" s="142">
        <f>Проект!$G$978</f>
        <v>0</v>
      </c>
      <c r="H555" s="142">
        <f>Проект!$H$978</f>
        <v>0</v>
      </c>
      <c r="I555" s="142">
        <f>Проект!$I$978</f>
        <v>0</v>
      </c>
      <c r="J555" s="142">
        <f>Проект!$J$978</f>
        <v>0</v>
      </c>
      <c r="K555" s="142" t="e">
        <f>Проект!#REF!</f>
        <v>#REF!</v>
      </c>
      <c r="L555" s="142" t="e">
        <f>Проект!#REF!</f>
        <v>#REF!</v>
      </c>
      <c r="M555" s="142" t="e">
        <f>Проект!#REF!</f>
        <v>#REF!</v>
      </c>
      <c r="N555" s="142" t="e">
        <f>Проект!#REF!</f>
        <v>#REF!</v>
      </c>
      <c r="O555" s="142" t="e">
        <f>Проект!#REF!</f>
        <v>#REF!</v>
      </c>
      <c r="P555" s="142" t="e">
        <f>Проект!#REF!</f>
        <v>#REF!</v>
      </c>
      <c r="Q555" s="142">
        <f>Проект!$K$978</f>
        <v>0</v>
      </c>
      <c r="R555" s="173"/>
      <c r="S555" s="366"/>
    </row>
    <row r="556" spans="1:19" ht="11.25" customHeight="1" x14ac:dyDescent="0.2">
      <c r="A556" s="48"/>
      <c r="B556" s="48"/>
      <c r="C556" s="48"/>
      <c r="D556" s="363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1"/>
    </row>
    <row r="557" spans="1:19" ht="11.25" customHeight="1" x14ac:dyDescent="0.2">
      <c r="A557" s="130" t="str">
        <f ca="1">Проект!$A$980</f>
        <v>РАСЧЕТЫ С БЮДЖЕТОМ</v>
      </c>
      <c r="B557" s="48"/>
      <c r="C557" s="73" t="str">
        <f ca="1">Проект!$C$980</f>
        <v>руб.</v>
      </c>
      <c r="D557" s="101"/>
      <c r="E557" s="48">
        <f>Проект!$E$980</f>
        <v>0</v>
      </c>
      <c r="F557" s="106">
        <f ca="1">Проект!$F$980</f>
        <v>6742500</v>
      </c>
      <c r="G557" s="106">
        <f ca="1">Проект!$G$980</f>
        <v>15441300</v>
      </c>
      <c r="H557" s="106">
        <f ca="1">Проект!$H$980</f>
        <v>21980100</v>
      </c>
      <c r="I557" s="106">
        <f ca="1">Проект!$I$980</f>
        <v>22009500</v>
      </c>
      <c r="J557" s="106">
        <f ca="1">Проект!$J$980</f>
        <v>22009500</v>
      </c>
      <c r="K557" s="106" t="e">
        <f>Проект!#REF!</f>
        <v>#REF!</v>
      </c>
      <c r="L557" s="106" t="e">
        <f>Проект!#REF!</f>
        <v>#REF!</v>
      </c>
      <c r="M557" s="106" t="e">
        <f>Проект!#REF!</f>
        <v>#REF!</v>
      </c>
      <c r="N557" s="106" t="e">
        <f>Проект!#REF!</f>
        <v>#REF!</v>
      </c>
      <c r="O557" s="106" t="e">
        <f>Проект!#REF!</f>
        <v>#REF!</v>
      </c>
      <c r="P557" s="106" t="e">
        <f>Проект!#REF!</f>
        <v>#REF!</v>
      </c>
      <c r="Q557" s="106">
        <f ca="1">Проект!$K$980</f>
        <v>22009500</v>
      </c>
      <c r="R557" s="48"/>
      <c r="S557" s="41"/>
    </row>
    <row r="558" spans="1:19" ht="11.25" customHeight="1" x14ac:dyDescent="0.2">
      <c r="A558" s="48" t="str">
        <f ca="1">Проект!$A$981</f>
        <v>По НДС</v>
      </c>
      <c r="B558" s="48"/>
      <c r="C558" s="73" t="str">
        <f ca="1">Проект!$C$981</f>
        <v>руб.</v>
      </c>
      <c r="D558" s="101" t="str">
        <f>Проект!$D$981</f>
        <v>int_end</v>
      </c>
      <c r="E558" s="48"/>
      <c r="F558" s="84">
        <f ca="1">Проект!$F$981</f>
        <v>0</v>
      </c>
      <c r="G558" s="84">
        <f ca="1">Проект!$G$981</f>
        <v>0</v>
      </c>
      <c r="H558" s="84">
        <f ca="1">Проект!$H$981</f>
        <v>0</v>
      </c>
      <c r="I558" s="84">
        <f ca="1">Проект!$I$981</f>
        <v>0</v>
      </c>
      <c r="J558" s="84">
        <f ca="1">Проект!$J$981</f>
        <v>0</v>
      </c>
      <c r="K558" s="84" t="e">
        <f>Проект!#REF!</f>
        <v>#REF!</v>
      </c>
      <c r="L558" s="84" t="e">
        <f>Проект!#REF!</f>
        <v>#REF!</v>
      </c>
      <c r="M558" s="84" t="e">
        <f>Проект!#REF!</f>
        <v>#REF!</v>
      </c>
      <c r="N558" s="84" t="e">
        <f>Проект!#REF!</f>
        <v>#REF!</v>
      </c>
      <c r="O558" s="84" t="e">
        <f>Проект!#REF!</f>
        <v>#REF!</v>
      </c>
      <c r="P558" s="84" t="e">
        <f>Проект!#REF!</f>
        <v>#REF!</v>
      </c>
      <c r="Q558" s="84">
        <f ca="1">Проект!$K$981</f>
        <v>0</v>
      </c>
      <c r="R558" s="48"/>
      <c r="S558" s="41"/>
    </row>
    <row r="559" spans="1:19" ht="11.25" customHeight="1" x14ac:dyDescent="0.2">
      <c r="A559" s="48" t="str">
        <f ca="1">Проект!$A$982</f>
        <v>По акцизам и экспортным пошлинам</v>
      </c>
      <c r="B559" s="48"/>
      <c r="C559" s="73" t="str">
        <f ca="1">Проект!$C$982</f>
        <v>руб.</v>
      </c>
      <c r="D559" s="101" t="str">
        <f>Проект!$D$982</f>
        <v>int_end</v>
      </c>
      <c r="E559" s="48"/>
      <c r="F559" s="84">
        <f>Проект!$F$982</f>
        <v>0</v>
      </c>
      <c r="G559" s="84">
        <f>Проект!$G$982</f>
        <v>0</v>
      </c>
      <c r="H559" s="84">
        <f>Проект!$H$982</f>
        <v>0</v>
      </c>
      <c r="I559" s="84">
        <f>Проект!$I$982</f>
        <v>0</v>
      </c>
      <c r="J559" s="84">
        <f>Проект!$J$982</f>
        <v>0</v>
      </c>
      <c r="K559" s="84" t="e">
        <f>Проект!#REF!</f>
        <v>#REF!</v>
      </c>
      <c r="L559" s="84" t="e">
        <f>Проект!#REF!</f>
        <v>#REF!</v>
      </c>
      <c r="M559" s="84" t="e">
        <f>Проект!#REF!</f>
        <v>#REF!</v>
      </c>
      <c r="N559" s="84" t="e">
        <f>Проект!#REF!</f>
        <v>#REF!</v>
      </c>
      <c r="O559" s="84" t="e">
        <f>Проект!#REF!</f>
        <v>#REF!</v>
      </c>
      <c r="P559" s="84" t="e">
        <f>Проект!#REF!</f>
        <v>#REF!</v>
      </c>
      <c r="Q559" s="84">
        <f>Проект!$K$982</f>
        <v>0</v>
      </c>
      <c r="R559" s="48"/>
      <c r="S559" s="41"/>
    </row>
    <row r="560" spans="1:19" ht="11.25" customHeight="1" x14ac:dyDescent="0.2">
      <c r="A560" s="48" t="str">
        <f ca="1">Проект!$A$983</f>
        <v>По импортным пошлинам</v>
      </c>
      <c r="B560" s="48"/>
      <c r="C560" s="73" t="str">
        <f ca="1">Проект!$C$983</f>
        <v>руб.</v>
      </c>
      <c r="D560" s="101" t="str">
        <f>Проект!$D$983</f>
        <v>int_end</v>
      </c>
      <c r="E560" s="48"/>
      <c r="F560" s="84">
        <f>Проект!$F$983</f>
        <v>0</v>
      </c>
      <c r="G560" s="84">
        <f>Проект!$G$983</f>
        <v>0</v>
      </c>
      <c r="H560" s="84">
        <f>Проект!$H$983</f>
        <v>0</v>
      </c>
      <c r="I560" s="84">
        <f>Проект!$I$983</f>
        <v>0</v>
      </c>
      <c r="J560" s="84">
        <f>Проект!$J$983</f>
        <v>0</v>
      </c>
      <c r="K560" s="84" t="e">
        <f>Проект!#REF!</f>
        <v>#REF!</v>
      </c>
      <c r="L560" s="84" t="e">
        <f>Проект!#REF!</f>
        <v>#REF!</v>
      </c>
      <c r="M560" s="84" t="e">
        <f>Проект!#REF!</f>
        <v>#REF!</v>
      </c>
      <c r="N560" s="84" t="e">
        <f>Проект!#REF!</f>
        <v>#REF!</v>
      </c>
      <c r="O560" s="84" t="e">
        <f>Проект!#REF!</f>
        <v>#REF!</v>
      </c>
      <c r="P560" s="84" t="e">
        <f>Проект!#REF!</f>
        <v>#REF!</v>
      </c>
      <c r="Q560" s="84">
        <f>Проект!$K$983</f>
        <v>0</v>
      </c>
      <c r="R560" s="48"/>
      <c r="S560" s="41"/>
    </row>
    <row r="561" spans="1:19" ht="11.25" customHeight="1" x14ac:dyDescent="0.2">
      <c r="A561" s="48" t="str">
        <f ca="1">Проект!$A$984</f>
        <v>По налогу на прибыль</v>
      </c>
      <c r="B561" s="48"/>
      <c r="C561" s="73" t="str">
        <f ca="1">Проект!$C$984</f>
        <v>руб.</v>
      </c>
      <c r="D561" s="101" t="str">
        <f>Проект!$D$984</f>
        <v>int_end</v>
      </c>
      <c r="E561" s="48"/>
      <c r="F561" s="84">
        <f ca="1">Проект!$F$984</f>
        <v>6480000</v>
      </c>
      <c r="G561" s="84">
        <f ca="1">Проект!$G$984</f>
        <v>15120000</v>
      </c>
      <c r="H561" s="84">
        <f ca="1">Проект!$H$984</f>
        <v>21600000</v>
      </c>
      <c r="I561" s="84">
        <f ca="1">Проект!$I$984</f>
        <v>21600000</v>
      </c>
      <c r="J561" s="84">
        <f ca="1">Проект!$J$984</f>
        <v>21600000</v>
      </c>
      <c r="K561" s="84" t="e">
        <f>Проект!#REF!</f>
        <v>#REF!</v>
      </c>
      <c r="L561" s="84" t="e">
        <f>Проект!#REF!</f>
        <v>#REF!</v>
      </c>
      <c r="M561" s="84" t="e">
        <f>Проект!#REF!</f>
        <v>#REF!</v>
      </c>
      <c r="N561" s="84" t="e">
        <f>Проект!#REF!</f>
        <v>#REF!</v>
      </c>
      <c r="O561" s="84" t="e">
        <f>Проект!#REF!</f>
        <v>#REF!</v>
      </c>
      <c r="P561" s="84" t="e">
        <f>Проект!#REF!</f>
        <v>#REF!</v>
      </c>
      <c r="Q561" s="84">
        <f ca="1">Проект!$K$984</f>
        <v>21600000</v>
      </c>
      <c r="R561" s="48"/>
      <c r="S561" s="41"/>
    </row>
    <row r="562" spans="1:19" ht="11.25" customHeight="1" x14ac:dyDescent="0.2">
      <c r="A562" s="173" t="str">
        <f ca="1">Проект!$A$985</f>
        <v>По прочим налогам и платежам</v>
      </c>
      <c r="B562" s="173"/>
      <c r="C562" s="365" t="str">
        <f ca="1">Проект!$C$985</f>
        <v>руб.</v>
      </c>
      <c r="D562" s="101" t="str">
        <f>Проект!$D$985</f>
        <v>int_end</v>
      </c>
      <c r="E562" s="173"/>
      <c r="F562" s="84">
        <f ca="1">Проект!$F$985</f>
        <v>262500.00000000006</v>
      </c>
      <c r="G562" s="84">
        <f ca="1">Проект!$G$985</f>
        <v>321300.00000000006</v>
      </c>
      <c r="H562" s="84">
        <f ca="1">Проект!$H$985</f>
        <v>380100.00000000006</v>
      </c>
      <c r="I562" s="84">
        <f ca="1">Проект!$I$985</f>
        <v>409500</v>
      </c>
      <c r="J562" s="84">
        <f ca="1">Проект!$J$985</f>
        <v>409500</v>
      </c>
      <c r="K562" s="84" t="e">
        <f>Проект!#REF!</f>
        <v>#REF!</v>
      </c>
      <c r="L562" s="84" t="e">
        <f>Проект!#REF!</f>
        <v>#REF!</v>
      </c>
      <c r="M562" s="84" t="e">
        <f>Проект!#REF!</f>
        <v>#REF!</v>
      </c>
      <c r="N562" s="84" t="e">
        <f>Проект!#REF!</f>
        <v>#REF!</v>
      </c>
      <c r="O562" s="84" t="e">
        <f>Проект!#REF!</f>
        <v>#REF!</v>
      </c>
      <c r="P562" s="84" t="e">
        <f>Проект!#REF!</f>
        <v>#REF!</v>
      </c>
      <c r="Q562" s="84">
        <f ca="1">Проект!$K$985</f>
        <v>409500</v>
      </c>
      <c r="R562" s="173"/>
      <c r="S562" s="366"/>
    </row>
    <row r="563" spans="1:19" ht="11.25" customHeight="1" x14ac:dyDescent="0.2">
      <c r="A563" s="48"/>
      <c r="B563" s="48"/>
      <c r="C563" s="48"/>
      <c r="D563" s="363"/>
      <c r="E563" s="48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48"/>
      <c r="S563" s="41"/>
    </row>
    <row r="564" spans="1:19" ht="11.25" customHeight="1" x14ac:dyDescent="0.2">
      <c r="A564" s="130" t="str">
        <f ca="1">Проект!$A$987</f>
        <v>РАСЧЕТЫ С ПЕРСОНАЛОМ</v>
      </c>
      <c r="B564" s="48"/>
      <c r="C564" s="48"/>
      <c r="D564" s="101"/>
      <c r="E564" s="48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8"/>
      <c r="S564" s="41"/>
    </row>
    <row r="565" spans="1:19" ht="11.25" customHeight="1" x14ac:dyDescent="0.2">
      <c r="A565" s="48" t="str">
        <f ca="1">Проект!$A$988</f>
        <v>Текущая задолженность по заработной плате</v>
      </c>
      <c r="B565" s="48"/>
      <c r="C565" s="73" t="str">
        <f ca="1">Проект!$C$988</f>
        <v>руб.</v>
      </c>
      <c r="D565" s="101" t="str">
        <f>Проект!$D$988</f>
        <v>int_end</v>
      </c>
      <c r="E565" s="106">
        <f>Проект!$E$988</f>
        <v>0</v>
      </c>
      <c r="F565" s="106">
        <f>Проект!$F$988</f>
        <v>625000</v>
      </c>
      <c r="G565" s="106">
        <f>Проект!$G$988</f>
        <v>765000</v>
      </c>
      <c r="H565" s="106">
        <f>Проект!$H$988</f>
        <v>905000</v>
      </c>
      <c r="I565" s="106">
        <f>Проект!$I$988</f>
        <v>975000</v>
      </c>
      <c r="J565" s="106">
        <f>Проект!$J$988</f>
        <v>975000</v>
      </c>
      <c r="K565" s="106" t="e">
        <f>Проект!#REF!</f>
        <v>#REF!</v>
      </c>
      <c r="L565" s="106" t="e">
        <f>Проект!#REF!</f>
        <v>#REF!</v>
      </c>
      <c r="M565" s="106" t="e">
        <f>Проект!#REF!</f>
        <v>#REF!</v>
      </c>
      <c r="N565" s="106" t="e">
        <f>Проект!#REF!</f>
        <v>#REF!</v>
      </c>
      <c r="O565" s="106" t="e">
        <f>Проект!#REF!</f>
        <v>#REF!</v>
      </c>
      <c r="P565" s="106" t="e">
        <f>Проект!#REF!</f>
        <v>#REF!</v>
      </c>
      <c r="Q565" s="106">
        <f>Проект!$K$988</f>
        <v>975000</v>
      </c>
      <c r="R565" s="48"/>
      <c r="S565" s="41"/>
    </row>
    <row r="566" spans="1:19" ht="11.25" customHeight="1" x14ac:dyDescent="0.2">
      <c r="A566" s="173" t="str">
        <f ca="1">Проект!$A$989</f>
        <v xml:space="preserve">    частота выплаты заработной платы</v>
      </c>
      <c r="B566" s="367">
        <f>Проект!$B$989</f>
        <v>30</v>
      </c>
      <c r="C566" s="365" t="str">
        <f ca="1">Проект!$C$989</f>
        <v>дн.</v>
      </c>
      <c r="D566" s="101"/>
      <c r="E566" s="173"/>
      <c r="F566" s="173"/>
      <c r="G566" s="173"/>
      <c r="H566" s="173"/>
      <c r="I566" s="173"/>
      <c r="J566" s="173"/>
      <c r="K566" s="173"/>
      <c r="L566" s="173"/>
      <c r="M566" s="173"/>
      <c r="N566" s="173"/>
      <c r="O566" s="173"/>
      <c r="P566" s="173"/>
      <c r="Q566" s="173"/>
      <c r="R566" s="173"/>
      <c r="S566" s="366"/>
    </row>
    <row r="567" spans="1:19" ht="11.25" customHeight="1" x14ac:dyDescent="0.2">
      <c r="A567" s="48"/>
      <c r="B567" s="48"/>
      <c r="C567" s="48"/>
      <c r="D567" s="363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1"/>
    </row>
    <row r="568" spans="1:19" ht="11.25" customHeight="1" x14ac:dyDescent="0.2">
      <c r="A568" s="130" t="str">
        <f ca="1">Проект!$A$991</f>
        <v>РЕЗЕРВ ДЕНЕЖНЫХ СРЕДСТВ</v>
      </c>
      <c r="B568" s="48"/>
      <c r="C568" s="48"/>
      <c r="D568" s="101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1"/>
    </row>
    <row r="569" spans="1:19" ht="11.25" customHeight="1" x14ac:dyDescent="0.2">
      <c r="A569" s="48" t="str">
        <f ca="1">Проект!$A$992</f>
        <v>Резерв средств на обеспечение текущих расчетов</v>
      </c>
      <c r="B569" s="48"/>
      <c r="C569" s="73" t="str">
        <f ca="1">Проект!$C$992</f>
        <v>руб.</v>
      </c>
      <c r="D569" s="101" t="str">
        <f>Проект!$D$992</f>
        <v>int_end</v>
      </c>
      <c r="E569" s="48"/>
      <c r="F569" s="84">
        <f>Проект!$F$992</f>
        <v>4832916.666666667</v>
      </c>
      <c r="G569" s="84">
        <f>Проект!$G$992</f>
        <v>4870156.666666667</v>
      </c>
      <c r="H569" s="84">
        <f>Проект!$H$992</f>
        <v>4907396.666666667</v>
      </c>
      <c r="I569" s="84">
        <f>Проект!$I$992</f>
        <v>4926016.666666667</v>
      </c>
      <c r="J569" s="84">
        <f>Проект!$J$992</f>
        <v>4926016.666666667</v>
      </c>
      <c r="K569" s="84" t="e">
        <f>Проект!#REF!</f>
        <v>#REF!</v>
      </c>
      <c r="L569" s="84" t="e">
        <f>Проект!#REF!</f>
        <v>#REF!</v>
      </c>
      <c r="M569" s="84" t="e">
        <f>Проект!#REF!</f>
        <v>#REF!</v>
      </c>
      <c r="N569" s="84" t="e">
        <f>Проект!#REF!</f>
        <v>#REF!</v>
      </c>
      <c r="O569" s="84" t="e">
        <f>Проект!#REF!</f>
        <v>#REF!</v>
      </c>
      <c r="P569" s="84" t="e">
        <f>Проект!#REF!</f>
        <v>#REF!</v>
      </c>
      <c r="Q569" s="84">
        <f>Проект!$K$992</f>
        <v>4926016.666666667</v>
      </c>
      <c r="R569" s="48"/>
      <c r="S569" s="41"/>
    </row>
    <row r="570" spans="1:19" ht="11.25" customHeight="1" x14ac:dyDescent="0.2">
      <c r="A570" s="48" t="str">
        <f ca="1">Проект!$A$993</f>
        <v xml:space="preserve">    создавать?</v>
      </c>
      <c r="B570" s="334">
        <f>Проект!$B$993</f>
        <v>1</v>
      </c>
      <c r="C570" s="41" t="str">
        <f ca="1">Проект!$C$993</f>
        <v>Создавать резерв</v>
      </c>
      <c r="D570" s="101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1"/>
    </row>
    <row r="571" spans="1:19" ht="11.25" customHeight="1" x14ac:dyDescent="0.2">
      <c r="A571" s="45" t="str">
        <f ca="1">Проект!$A$994</f>
        <v xml:space="preserve">    покрытие потребности</v>
      </c>
      <c r="B571" s="362">
        <f>Проект!$B$994</f>
        <v>7</v>
      </c>
      <c r="C571" s="100" t="str">
        <f ca="1">Проект!$C$994</f>
        <v>дн.</v>
      </c>
      <c r="D571" s="74"/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77"/>
    </row>
    <row r="572" spans="1:19" hidden="1" x14ac:dyDescent="0.2">
      <c r="A572" s="128" t="str">
        <f ca="1">Проект!$A$995</f>
        <v xml:space="preserve">         то же, в итоговой валюте</v>
      </c>
      <c r="B572" s="45"/>
      <c r="C572" s="73" t="str">
        <f ca="1">Проект!$C$995</f>
        <v>руб.</v>
      </c>
      <c r="D572" s="101" t="str">
        <f>Проект!$D$995</f>
        <v>int_end</v>
      </c>
      <c r="E572" s="45"/>
      <c r="F572" s="84">
        <f>Проект!$F$995</f>
        <v>4832916.666666667</v>
      </c>
      <c r="G572" s="84">
        <f>Проект!$G$995</f>
        <v>4870156.666666667</v>
      </c>
      <c r="H572" s="84">
        <f>Проект!$H$995</f>
        <v>4907396.666666667</v>
      </c>
      <c r="I572" s="84">
        <f>Проект!$I$995</f>
        <v>4926016.666666667</v>
      </c>
      <c r="J572" s="84">
        <f>Проект!$J$995</f>
        <v>4926016.666666667</v>
      </c>
      <c r="K572" s="84" t="e">
        <f>Проект!#REF!</f>
        <v>#REF!</v>
      </c>
      <c r="L572" s="84" t="e">
        <f>Проект!#REF!</f>
        <v>#REF!</v>
      </c>
      <c r="M572" s="84" t="e">
        <f>Проект!#REF!</f>
        <v>#REF!</v>
      </c>
      <c r="N572" s="84" t="e">
        <f>Проект!#REF!</f>
        <v>#REF!</v>
      </c>
      <c r="O572" s="84" t="e">
        <f>Проект!#REF!</f>
        <v>#REF!</v>
      </c>
      <c r="P572" s="84" t="e">
        <f>Проект!#REF!</f>
        <v>#REF!</v>
      </c>
      <c r="Q572" s="84">
        <f>Проект!$K$995</f>
        <v>4926016.666666667</v>
      </c>
      <c r="R572" s="45"/>
      <c r="S572" s="104"/>
    </row>
    <row r="573" spans="1:19" ht="11.25" customHeight="1" x14ac:dyDescent="0.2">
      <c r="A573" s="76"/>
      <c r="B573" s="76"/>
      <c r="C573" s="76"/>
      <c r="D573" s="363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359"/>
    </row>
    <row r="574" spans="1:19" ht="11.25" customHeight="1" x14ac:dyDescent="0.2">
      <c r="A574" s="45" t="str">
        <f ca="1">Проект!$A$997</f>
        <v>Итого текущих активов</v>
      </c>
      <c r="B574" s="45"/>
      <c r="C574" s="100" t="str">
        <f ca="1">Проект!$C$997</f>
        <v>руб.</v>
      </c>
      <c r="D574" s="74" t="str">
        <f>Проект!$D$997</f>
        <v>int_end</v>
      </c>
      <c r="E574" s="83">
        <f>Проект!$E$997</f>
        <v>0</v>
      </c>
      <c r="F574" s="83">
        <f>Проект!$F$997</f>
        <v>4832916.666666667</v>
      </c>
      <c r="G574" s="83">
        <f>Проект!$G$997</f>
        <v>4870156.666666667</v>
      </c>
      <c r="H574" s="83">
        <f>Проект!$H$997</f>
        <v>4907396.666666667</v>
      </c>
      <c r="I574" s="83">
        <f>Проект!$I$997</f>
        <v>4926016.666666667</v>
      </c>
      <c r="J574" s="83">
        <f>Проект!$J$997</f>
        <v>4926016.666666667</v>
      </c>
      <c r="K574" s="83" t="e">
        <f>Проект!#REF!</f>
        <v>#REF!</v>
      </c>
      <c r="L574" s="83" t="e">
        <f>Проект!#REF!</f>
        <v>#REF!</v>
      </c>
      <c r="M574" s="83" t="e">
        <f>Проект!#REF!</f>
        <v>#REF!</v>
      </c>
      <c r="N574" s="83" t="e">
        <f>Проект!#REF!</f>
        <v>#REF!</v>
      </c>
      <c r="O574" s="83" t="e">
        <f>Проект!#REF!</f>
        <v>#REF!</v>
      </c>
      <c r="P574" s="83" t="e">
        <f>Проект!#REF!</f>
        <v>#REF!</v>
      </c>
      <c r="Q574" s="83">
        <f>Проект!$K$997</f>
        <v>4926016.666666667</v>
      </c>
      <c r="R574" s="45"/>
      <c r="S574" s="77"/>
    </row>
    <row r="575" spans="1:19" ht="11.25" customHeight="1" x14ac:dyDescent="0.2">
      <c r="A575" s="45" t="str">
        <f ca="1">Проект!$A$998</f>
        <v>Итого текущих обязательств</v>
      </c>
      <c r="B575" s="45"/>
      <c r="C575" s="100" t="str">
        <f ca="1">Проект!$C$998</f>
        <v>руб.</v>
      </c>
      <c r="D575" s="74" t="str">
        <f>Проект!$D$998</f>
        <v>int_end</v>
      </c>
      <c r="E575" s="83">
        <f>Проект!$E$998</f>
        <v>0</v>
      </c>
      <c r="F575" s="83">
        <f ca="1">Проект!$F$998</f>
        <v>7367500</v>
      </c>
      <c r="G575" s="83">
        <f ca="1">Проект!$G$998</f>
        <v>16206300</v>
      </c>
      <c r="H575" s="83">
        <f ca="1">Проект!$H$998</f>
        <v>22885100</v>
      </c>
      <c r="I575" s="83">
        <f ca="1">Проект!$I$998</f>
        <v>22984500</v>
      </c>
      <c r="J575" s="83">
        <f ca="1">Проект!$J$998</f>
        <v>22984500</v>
      </c>
      <c r="K575" s="83" t="e">
        <f>Проект!#REF!</f>
        <v>#REF!</v>
      </c>
      <c r="L575" s="83" t="e">
        <f>Проект!#REF!</f>
        <v>#REF!</v>
      </c>
      <c r="M575" s="83" t="e">
        <f>Проект!#REF!</f>
        <v>#REF!</v>
      </c>
      <c r="N575" s="83" t="e">
        <f>Проект!#REF!</f>
        <v>#REF!</v>
      </c>
      <c r="O575" s="83" t="e">
        <f>Проект!#REF!</f>
        <v>#REF!</v>
      </c>
      <c r="P575" s="83" t="e">
        <f>Проект!#REF!</f>
        <v>#REF!</v>
      </c>
      <c r="Q575" s="83">
        <f ca="1">Проект!$K$998</f>
        <v>22984500</v>
      </c>
      <c r="R575" s="45"/>
      <c r="S575" s="77"/>
    </row>
    <row r="576" spans="1:19" ht="11.25" customHeight="1" x14ac:dyDescent="0.2">
      <c r="A576" s="48" t="str">
        <f ca="1">Проект!$A$999</f>
        <v>Оборотный капитал компании</v>
      </c>
      <c r="B576" s="48"/>
      <c r="C576" s="73" t="str">
        <f ca="1">Проект!$C$999</f>
        <v>руб.</v>
      </c>
      <c r="D576" s="101" t="str">
        <f>Проект!$D$999</f>
        <v>int_end</v>
      </c>
      <c r="E576" s="84">
        <f>Проект!$E$999</f>
        <v>0</v>
      </c>
      <c r="F576" s="84">
        <f ca="1">Проект!$F$999</f>
        <v>-2534583.333333333</v>
      </c>
      <c r="G576" s="84">
        <f ca="1">Проект!$G$999</f>
        <v>-11336143.333333332</v>
      </c>
      <c r="H576" s="84">
        <f ca="1">Проект!$H$999</f>
        <v>-17977703.333333332</v>
      </c>
      <c r="I576" s="84">
        <f ca="1">Проект!$I$999</f>
        <v>-18058483.333333332</v>
      </c>
      <c r="J576" s="84">
        <f ca="1">Проект!$J$999</f>
        <v>-18058483.333333332</v>
      </c>
      <c r="K576" s="84" t="e">
        <f>Проект!#REF!</f>
        <v>#REF!</v>
      </c>
      <c r="L576" s="84" t="e">
        <f>Проект!#REF!</f>
        <v>#REF!</v>
      </c>
      <c r="M576" s="84" t="e">
        <f>Проект!#REF!</f>
        <v>#REF!</v>
      </c>
      <c r="N576" s="84" t="e">
        <f>Проект!#REF!</f>
        <v>#REF!</v>
      </c>
      <c r="O576" s="84" t="e">
        <f>Проект!#REF!</f>
        <v>#REF!</v>
      </c>
      <c r="P576" s="84" t="e">
        <f>Проект!#REF!</f>
        <v>#REF!</v>
      </c>
      <c r="Q576" s="84">
        <f ca="1">Проект!$K$999</f>
        <v>-18058483.333333332</v>
      </c>
      <c r="R576" s="48"/>
      <c r="S576" s="41"/>
    </row>
    <row r="577" spans="1:19" ht="11.25" customHeight="1" x14ac:dyDescent="0.2">
      <c r="A577" s="130" t="str">
        <f ca="1">Проект!$A$1000</f>
        <v>Изменение чистого оборотного капитала</v>
      </c>
      <c r="B577" s="48"/>
      <c r="C577" s="73" t="str">
        <f ca="1">Проект!$C$1000</f>
        <v>руб.</v>
      </c>
      <c r="D577" s="368"/>
      <c r="E577" s="48"/>
      <c r="F577" s="361">
        <f ca="1">Проект!$F$1000</f>
        <v>-2534583.333333333</v>
      </c>
      <c r="G577" s="361">
        <f ca="1">Проект!$G$1000</f>
        <v>-8801560</v>
      </c>
      <c r="H577" s="361">
        <f ca="1">Проект!$H$1000</f>
        <v>-6641560</v>
      </c>
      <c r="I577" s="361">
        <f ca="1">Проект!$I$1000</f>
        <v>-80780</v>
      </c>
      <c r="J577" s="361">
        <f ca="1">Проект!$J$1000</f>
        <v>0</v>
      </c>
      <c r="K577" s="361" t="e">
        <f>Проект!#REF!</f>
        <v>#REF!</v>
      </c>
      <c r="L577" s="361" t="e">
        <f>Проект!#REF!</f>
        <v>#REF!</v>
      </c>
      <c r="M577" s="361" t="e">
        <f>Проект!#REF!</f>
        <v>#REF!</v>
      </c>
      <c r="N577" s="361" t="e">
        <f>Проект!#REF!</f>
        <v>#REF!</v>
      </c>
      <c r="O577" s="361" t="e">
        <f>Проект!#REF!</f>
        <v>#REF!</v>
      </c>
      <c r="P577" s="361" t="e">
        <f>Проект!#REF!</f>
        <v>#REF!</v>
      </c>
      <c r="Q577" s="361">
        <f ca="1">Проект!$K$1000</f>
        <v>0</v>
      </c>
      <c r="R577" s="48"/>
      <c r="S577" s="41"/>
    </row>
    <row r="578" spans="1:19" ht="11.25" customHeight="1" x14ac:dyDescent="0.2">
      <c r="A578" s="52" t="str">
        <f ca="1">Проект!$A$1001</f>
        <v>Прирост, учтенный в операционных денежных потоках</v>
      </c>
      <c r="B578" s="48"/>
      <c r="C578" s="73" t="str">
        <f ca="1">Проект!$C$1001</f>
        <v>руб.</v>
      </c>
      <c r="D578" s="101"/>
      <c r="E578" s="48"/>
      <c r="F578" s="84">
        <f>Проект!$F$1001</f>
        <v>0</v>
      </c>
      <c r="G578" s="84">
        <f>Проект!$G$1001</f>
        <v>0</v>
      </c>
      <c r="H578" s="84">
        <f>Проект!$H$1001</f>
        <v>0</v>
      </c>
      <c r="I578" s="84">
        <f>Проект!$I$1001</f>
        <v>0</v>
      </c>
      <c r="J578" s="84">
        <f>Проект!$J$1001</f>
        <v>0</v>
      </c>
      <c r="K578" s="84" t="e">
        <f>Проект!#REF!</f>
        <v>#REF!</v>
      </c>
      <c r="L578" s="84" t="e">
        <f>Проект!#REF!</f>
        <v>#REF!</v>
      </c>
      <c r="M578" s="84" t="e">
        <f>Проект!#REF!</f>
        <v>#REF!</v>
      </c>
      <c r="N578" s="84" t="e">
        <f>Проект!#REF!</f>
        <v>#REF!</v>
      </c>
      <c r="O578" s="84" t="e">
        <f>Проект!#REF!</f>
        <v>#REF!</v>
      </c>
      <c r="P578" s="84" t="e">
        <f>Проект!#REF!</f>
        <v>#REF!</v>
      </c>
      <c r="Q578" s="84">
        <f>Проект!$K$1001</f>
        <v>0</v>
      </c>
      <c r="R578" s="48"/>
      <c r="S578" s="41"/>
    </row>
    <row r="579" spans="1:19" ht="11.25" customHeight="1" x14ac:dyDescent="0.2">
      <c r="A579" s="52" t="str">
        <f ca="1">Проект!$A$1002</f>
        <v>Инвестиции в чистый оборотный капитал</v>
      </c>
      <c r="B579" s="48"/>
      <c r="C579" s="73" t="str">
        <f ca="1">Проект!$C$1002</f>
        <v>руб.</v>
      </c>
      <c r="D579" s="101"/>
      <c r="E579" s="48"/>
      <c r="F579" s="84">
        <f ca="1">Проект!$F$1002</f>
        <v>-2534583.333333333</v>
      </c>
      <c r="G579" s="84">
        <f ca="1">Проект!$G$1002</f>
        <v>-8801560</v>
      </c>
      <c r="H579" s="84">
        <f ca="1">Проект!$H$1002</f>
        <v>-6641560</v>
      </c>
      <c r="I579" s="84">
        <f ca="1">Проект!$I$1002</f>
        <v>-80780</v>
      </c>
      <c r="J579" s="84">
        <f ca="1">Проект!$J$1002</f>
        <v>0</v>
      </c>
      <c r="K579" s="84" t="e">
        <f>Проект!#REF!</f>
        <v>#REF!</v>
      </c>
      <c r="L579" s="84" t="e">
        <f>Проект!#REF!</f>
        <v>#REF!</v>
      </c>
      <c r="M579" s="84" t="e">
        <f>Проект!#REF!</f>
        <v>#REF!</v>
      </c>
      <c r="N579" s="84" t="e">
        <f>Проект!#REF!</f>
        <v>#REF!</v>
      </c>
      <c r="O579" s="84" t="e">
        <f>Проект!#REF!</f>
        <v>#REF!</v>
      </c>
      <c r="P579" s="84" t="e">
        <f>Проект!#REF!</f>
        <v>#REF!</v>
      </c>
      <c r="Q579" s="84">
        <f ca="1">Проект!$K$1002</f>
        <v>0</v>
      </c>
      <c r="R579" s="48"/>
      <c r="S579" s="41"/>
    </row>
    <row r="582" spans="1:19" ht="15.9" customHeight="1" thickBot="1" x14ac:dyDescent="0.25">
      <c r="A582" s="166" t="str">
        <f ca="1">Проект!$A$1005</f>
        <v xml:space="preserve">         СОБСТВЕННЫЙ КАПИТАЛ</v>
      </c>
      <c r="B582" s="166"/>
      <c r="C582" s="166"/>
      <c r="D582" s="166"/>
      <c r="E582" s="166"/>
      <c r="F582" s="178" t="str">
        <f>Проект!$F$1005</f>
        <v>4/ 2020</v>
      </c>
      <c r="G582" s="178" t="str">
        <f>Проект!$G$1005</f>
        <v>5/ 2020</v>
      </c>
      <c r="H582" s="178" t="str">
        <f>Проект!$H$1005</f>
        <v>6/ 2020</v>
      </c>
      <c r="I582" s="178" t="str">
        <f>Проект!$I$1005</f>
        <v>7/ 2020</v>
      </c>
      <c r="J582" s="178" t="str">
        <f>Проект!$J$1005</f>
        <v>8/ 2020</v>
      </c>
      <c r="K582" s="178" t="e">
        <f>Проект!#REF!</f>
        <v>#REF!</v>
      </c>
      <c r="L582" s="178" t="e">
        <f>Проект!#REF!</f>
        <v>#REF!</v>
      </c>
      <c r="M582" s="178" t="e">
        <f>Проект!#REF!</f>
        <v>#REF!</v>
      </c>
      <c r="N582" s="178" t="e">
        <f>Проект!#REF!</f>
        <v>#REF!</v>
      </c>
      <c r="O582" s="178" t="e">
        <f>Проект!#REF!</f>
        <v>#REF!</v>
      </c>
      <c r="P582" s="178" t="e">
        <f>Проект!#REF!</f>
        <v>#REF!</v>
      </c>
      <c r="Q582" s="178" t="str">
        <f>Проект!$K$1005</f>
        <v>9/ 2020</v>
      </c>
      <c r="R582" s="166"/>
      <c r="S582" s="195" t="str">
        <f ca="1">Проект!$M$1005</f>
        <v>ИТОГО</v>
      </c>
    </row>
    <row r="583" spans="1:19" ht="12" customHeight="1" thickTop="1" x14ac:dyDescent="0.2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1"/>
    </row>
    <row r="584" spans="1:19" ht="11.25" customHeight="1" x14ac:dyDescent="0.2">
      <c r="A584" s="48" t="str">
        <f ca="1">Проект!$A$1007</f>
        <v>Средства собственников</v>
      </c>
      <c r="B584" s="48"/>
      <c r="C584" s="73" t="str">
        <f ca="1">Проект!$C$1007</f>
        <v>руб.</v>
      </c>
      <c r="D584" s="48"/>
      <c r="E584" s="48"/>
      <c r="F584" s="369">
        <f>Проект!$F$1007</f>
        <v>0</v>
      </c>
      <c r="G584" s="369">
        <f>Проект!$G$1007</f>
        <v>0</v>
      </c>
      <c r="H584" s="369">
        <f>Проект!$H$1007</f>
        <v>0</v>
      </c>
      <c r="I584" s="369">
        <f>Проект!$I$1007</f>
        <v>0</v>
      </c>
      <c r="J584" s="369">
        <f>Проект!$J$1007</f>
        <v>0</v>
      </c>
      <c r="K584" s="369" t="e">
        <f>Проект!#REF!</f>
        <v>#REF!</v>
      </c>
      <c r="L584" s="369" t="e">
        <f>Проект!#REF!</f>
        <v>#REF!</v>
      </c>
      <c r="M584" s="369" t="e">
        <f>Проект!#REF!</f>
        <v>#REF!</v>
      </c>
      <c r="N584" s="369" t="e">
        <f>Проект!#REF!</f>
        <v>#REF!</v>
      </c>
      <c r="O584" s="369" t="e">
        <f>Проект!#REF!</f>
        <v>#REF!</v>
      </c>
      <c r="P584" s="369" t="e">
        <f>Проект!#REF!</f>
        <v>#REF!</v>
      </c>
      <c r="Q584" s="369">
        <f>Проект!$K$1007</f>
        <v>0</v>
      </c>
      <c r="R584" s="48"/>
      <c r="S584" s="94">
        <f>Проект!$M$1007</f>
        <v>0</v>
      </c>
    </row>
    <row r="585" spans="1:19" hidden="1" x14ac:dyDescent="0.2">
      <c r="A585" s="48"/>
      <c r="B585" s="197" t="str">
        <f ca="1">Проект!$B$1008</f>
        <v>Валюта</v>
      </c>
      <c r="C585" s="73"/>
      <c r="D585" s="48"/>
      <c r="E585" s="48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48"/>
      <c r="S585" s="94"/>
    </row>
    <row r="586" spans="1:19" hidden="1" x14ac:dyDescent="0.2">
      <c r="A586" s="333" t="str">
        <f ca="1">Проект!$A$1009</f>
        <v>Собственник 1</v>
      </c>
      <c r="B586" s="334">
        <f>Проект!$B$1009</f>
        <v>1</v>
      </c>
      <c r="C586" s="50" t="str">
        <f ca="1">Проект!$C$1009</f>
        <v>руб.</v>
      </c>
      <c r="D586" s="101" t="str">
        <f>Проект!$D$1009</f>
        <v>1_01</v>
      </c>
      <c r="E586" s="48"/>
      <c r="F586" s="341">
        <f>Проект!$F$1009</f>
        <v>0</v>
      </c>
      <c r="G586" s="341">
        <f>Проект!$G$1009</f>
        <v>0</v>
      </c>
      <c r="H586" s="341">
        <f>Проект!$H$1009</f>
        <v>0</v>
      </c>
      <c r="I586" s="341">
        <f>Проект!$I$1009</f>
        <v>0</v>
      </c>
      <c r="J586" s="341">
        <f>Проект!$J$1009</f>
        <v>0</v>
      </c>
      <c r="K586" s="341" t="e">
        <f>Проект!#REF!</f>
        <v>#REF!</v>
      </c>
      <c r="L586" s="341" t="e">
        <f>Проект!#REF!</f>
        <v>#REF!</v>
      </c>
      <c r="M586" s="341" t="e">
        <f>Проект!#REF!</f>
        <v>#REF!</v>
      </c>
      <c r="N586" s="341" t="e">
        <f>Проект!#REF!</f>
        <v>#REF!</v>
      </c>
      <c r="O586" s="341" t="e">
        <f>Проект!#REF!</f>
        <v>#REF!</v>
      </c>
      <c r="P586" s="341" t="e">
        <f>Проект!#REF!</f>
        <v>#REF!</v>
      </c>
      <c r="Q586" s="341">
        <f>Проект!$K$1009</f>
        <v>0</v>
      </c>
      <c r="R586" s="48"/>
      <c r="S586" s="94">
        <f>Проект!$M$1009</f>
        <v>0</v>
      </c>
    </row>
    <row r="587" spans="1:19" hidden="1" x14ac:dyDescent="0.2">
      <c r="A587" s="333" t="str">
        <f ca="1">Проект!$A$1010</f>
        <v>Собственник 2</v>
      </c>
      <c r="B587" s="334">
        <f>Проект!$B$1010</f>
        <v>1</v>
      </c>
      <c r="C587" s="50" t="str">
        <f ca="1">Проект!$C$1010</f>
        <v>руб.</v>
      </c>
      <c r="D587" s="101" t="str">
        <f>Проект!$D$1010</f>
        <v>1_01</v>
      </c>
      <c r="E587" s="48"/>
      <c r="F587" s="341">
        <f>Проект!$F$1010</f>
        <v>0</v>
      </c>
      <c r="G587" s="341">
        <f>Проект!$G$1010</f>
        <v>0</v>
      </c>
      <c r="H587" s="341">
        <f>Проект!$H$1010</f>
        <v>0</v>
      </c>
      <c r="I587" s="341">
        <f>Проект!$I$1010</f>
        <v>0</v>
      </c>
      <c r="J587" s="341">
        <f>Проект!$J$1010</f>
        <v>0</v>
      </c>
      <c r="K587" s="341" t="e">
        <f>Проект!#REF!</f>
        <v>#REF!</v>
      </c>
      <c r="L587" s="341" t="e">
        <f>Проект!#REF!</f>
        <v>#REF!</v>
      </c>
      <c r="M587" s="341" t="e">
        <f>Проект!#REF!</f>
        <v>#REF!</v>
      </c>
      <c r="N587" s="341" t="e">
        <f>Проект!#REF!</f>
        <v>#REF!</v>
      </c>
      <c r="O587" s="341" t="e">
        <f>Проект!#REF!</f>
        <v>#REF!</v>
      </c>
      <c r="P587" s="341" t="e">
        <f>Проект!#REF!</f>
        <v>#REF!</v>
      </c>
      <c r="Q587" s="341">
        <f>Проект!$K$1010</f>
        <v>0</v>
      </c>
      <c r="R587" s="48"/>
      <c r="S587" s="94">
        <f>Проект!$M$1010</f>
        <v>0</v>
      </c>
    </row>
    <row r="588" spans="1:19" hidden="1" x14ac:dyDescent="0.2">
      <c r="A588" s="333" t="str">
        <f ca="1">Проект!$A$1011</f>
        <v>Собственник 3</v>
      </c>
      <c r="B588" s="334">
        <f>Проект!$B$1011</f>
        <v>1</v>
      </c>
      <c r="C588" s="50" t="str">
        <f ca="1">Проект!$C$1011</f>
        <v>руб.</v>
      </c>
      <c r="D588" s="101" t="str">
        <f>Проект!$D$1011</f>
        <v>1_01</v>
      </c>
      <c r="E588" s="48"/>
      <c r="F588" s="341">
        <f>Проект!$F$1011</f>
        <v>0</v>
      </c>
      <c r="G588" s="341">
        <f>Проект!$G$1011</f>
        <v>0</v>
      </c>
      <c r="H588" s="341">
        <f>Проект!$H$1011</f>
        <v>0</v>
      </c>
      <c r="I588" s="341">
        <f>Проект!$I$1011</f>
        <v>0</v>
      </c>
      <c r="J588" s="341">
        <f>Проект!$J$1011</f>
        <v>0</v>
      </c>
      <c r="K588" s="341" t="e">
        <f>Проект!#REF!</f>
        <v>#REF!</v>
      </c>
      <c r="L588" s="341" t="e">
        <f>Проект!#REF!</f>
        <v>#REF!</v>
      </c>
      <c r="M588" s="341" t="e">
        <f>Проект!#REF!</f>
        <v>#REF!</v>
      </c>
      <c r="N588" s="341" t="e">
        <f>Проект!#REF!</f>
        <v>#REF!</v>
      </c>
      <c r="O588" s="341" t="e">
        <f>Проект!#REF!</f>
        <v>#REF!</v>
      </c>
      <c r="P588" s="341" t="e">
        <f>Проект!#REF!</f>
        <v>#REF!</v>
      </c>
      <c r="Q588" s="341">
        <f>Проект!$K$1011</f>
        <v>0</v>
      </c>
      <c r="R588" s="48"/>
      <c r="S588" s="94">
        <f>Проект!$M$1011</f>
        <v>0</v>
      </c>
    </row>
    <row r="589" spans="1:19" hidden="1" x14ac:dyDescent="0.2">
      <c r="A589" s="333" t="str">
        <f ca="1">Проект!$A$1012</f>
        <v>Собственник 4</v>
      </c>
      <c r="B589" s="334">
        <f>Проект!$B$1012</f>
        <v>1</v>
      </c>
      <c r="C589" s="50" t="str">
        <f ca="1">Проект!$C$1012</f>
        <v>руб.</v>
      </c>
      <c r="D589" s="101" t="str">
        <f>Проект!$D$1012</f>
        <v>1_01</v>
      </c>
      <c r="E589" s="48"/>
      <c r="F589" s="341">
        <f>Проект!$F$1012</f>
        <v>0</v>
      </c>
      <c r="G589" s="341">
        <f>Проект!$G$1012</f>
        <v>0</v>
      </c>
      <c r="H589" s="341">
        <f>Проект!$H$1012</f>
        <v>0</v>
      </c>
      <c r="I589" s="341">
        <f>Проект!$I$1012</f>
        <v>0</v>
      </c>
      <c r="J589" s="341">
        <f>Проект!$J$1012</f>
        <v>0</v>
      </c>
      <c r="K589" s="341" t="e">
        <f>Проект!#REF!</f>
        <v>#REF!</v>
      </c>
      <c r="L589" s="341" t="e">
        <f>Проект!#REF!</f>
        <v>#REF!</v>
      </c>
      <c r="M589" s="341" t="e">
        <f>Проект!#REF!</f>
        <v>#REF!</v>
      </c>
      <c r="N589" s="341" t="e">
        <f>Проект!#REF!</f>
        <v>#REF!</v>
      </c>
      <c r="O589" s="341" t="e">
        <f>Проект!#REF!</f>
        <v>#REF!</v>
      </c>
      <c r="P589" s="341" t="e">
        <f>Проект!#REF!</f>
        <v>#REF!</v>
      </c>
      <c r="Q589" s="341">
        <f>Проект!$K$1012</f>
        <v>0</v>
      </c>
      <c r="R589" s="48"/>
      <c r="S589" s="94">
        <f>Проект!$M$1012</f>
        <v>0</v>
      </c>
    </row>
    <row r="590" spans="1:19" hidden="1" x14ac:dyDescent="0.2">
      <c r="A590" s="333" t="str">
        <f ca="1">Проект!$A$1013</f>
        <v>Собственник 5</v>
      </c>
      <c r="B590" s="334">
        <f>Проект!$B$1013</f>
        <v>1</v>
      </c>
      <c r="C590" s="50" t="str">
        <f ca="1">Проект!$C$1013</f>
        <v>руб.</v>
      </c>
      <c r="D590" s="101" t="str">
        <f>Проект!$D$1013</f>
        <v>1_01</v>
      </c>
      <c r="E590" s="48"/>
      <c r="F590" s="341">
        <f>Проект!$F$1013</f>
        <v>0</v>
      </c>
      <c r="G590" s="341">
        <f>Проект!$G$1013</f>
        <v>0</v>
      </c>
      <c r="H590" s="341">
        <f>Проект!$H$1013</f>
        <v>0</v>
      </c>
      <c r="I590" s="341">
        <f>Проект!$I$1013</f>
        <v>0</v>
      </c>
      <c r="J590" s="341">
        <f>Проект!$J$1013</f>
        <v>0</v>
      </c>
      <c r="K590" s="341" t="e">
        <f>Проект!#REF!</f>
        <v>#REF!</v>
      </c>
      <c r="L590" s="341" t="e">
        <f>Проект!#REF!</f>
        <v>#REF!</v>
      </c>
      <c r="M590" s="341" t="e">
        <f>Проект!#REF!</f>
        <v>#REF!</v>
      </c>
      <c r="N590" s="341" t="e">
        <f>Проект!#REF!</f>
        <v>#REF!</v>
      </c>
      <c r="O590" s="341" t="e">
        <f>Проект!#REF!</f>
        <v>#REF!</v>
      </c>
      <c r="P590" s="341" t="e">
        <f>Проект!#REF!</f>
        <v>#REF!</v>
      </c>
      <c r="Q590" s="341">
        <f>Проект!$K$1013</f>
        <v>0</v>
      </c>
      <c r="R590" s="48"/>
      <c r="S590" s="94">
        <f>Проект!$M$1013</f>
        <v>0</v>
      </c>
    </row>
    <row r="591" spans="1:19" ht="11.25" customHeight="1" x14ac:dyDescent="0.2">
      <c r="A591" s="48"/>
      <c r="B591" s="197" t="str">
        <f ca="1">Проект!$B$1014</f>
        <v>Валюта</v>
      </c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1"/>
    </row>
    <row r="592" spans="1:19" ht="11.25" customHeight="1" x14ac:dyDescent="0.2">
      <c r="A592" s="48" t="str">
        <f ca="1">Проект!$A$1015</f>
        <v>Средства от текущей деятельности</v>
      </c>
      <c r="B592" s="334">
        <f>Проект!$B$1015</f>
        <v>1</v>
      </c>
      <c r="C592" s="50" t="str">
        <f ca="1">Проект!$C$1015</f>
        <v>руб.</v>
      </c>
      <c r="D592" s="101"/>
      <c r="E592" s="48"/>
      <c r="F592" s="341">
        <f>Проект!$F$1015</f>
        <v>0</v>
      </c>
      <c r="G592" s="341">
        <f>Проект!$G$1015</f>
        <v>0</v>
      </c>
      <c r="H592" s="341">
        <f>Проект!$H$1015</f>
        <v>0</v>
      </c>
      <c r="I592" s="341">
        <f>Проект!$I$1015</f>
        <v>0</v>
      </c>
      <c r="J592" s="341">
        <f>Проект!$J$1015</f>
        <v>0</v>
      </c>
      <c r="K592" s="341" t="e">
        <f>Проект!#REF!</f>
        <v>#REF!</v>
      </c>
      <c r="L592" s="341" t="e">
        <f>Проект!#REF!</f>
        <v>#REF!</v>
      </c>
      <c r="M592" s="341" t="e">
        <f>Проект!#REF!</f>
        <v>#REF!</v>
      </c>
      <c r="N592" s="341" t="e">
        <f>Проект!#REF!</f>
        <v>#REF!</v>
      </c>
      <c r="O592" s="341" t="e">
        <f>Проект!#REF!</f>
        <v>#REF!</v>
      </c>
      <c r="P592" s="341" t="e">
        <f>Проект!#REF!</f>
        <v>#REF!</v>
      </c>
      <c r="Q592" s="341">
        <f>Проект!$K$1015</f>
        <v>0</v>
      </c>
      <c r="R592" s="48"/>
      <c r="S592" s="94">
        <f>Проект!$M$1015</f>
        <v>0</v>
      </c>
    </row>
    <row r="593" spans="1:19" hidden="1" x14ac:dyDescent="0.2">
      <c r="A593" s="48" t="str">
        <f ca="1">Проект!$A$1016</f>
        <v xml:space="preserve">    то же, в основной валюте</v>
      </c>
      <c r="B593" s="73"/>
      <c r="C593" s="73" t="str">
        <f ca="1">Проект!$C$1016</f>
        <v>руб.</v>
      </c>
      <c r="D593" s="101"/>
      <c r="E593" s="48"/>
      <c r="F593" s="106">
        <f>Проект!$F$1016</f>
        <v>0</v>
      </c>
      <c r="G593" s="106">
        <f>Проект!$G$1016</f>
        <v>0</v>
      </c>
      <c r="H593" s="106">
        <f>Проект!$H$1016</f>
        <v>0</v>
      </c>
      <c r="I593" s="106">
        <f>Проект!$I$1016</f>
        <v>0</v>
      </c>
      <c r="J593" s="106">
        <f>Проект!$J$1016</f>
        <v>0</v>
      </c>
      <c r="K593" s="106" t="e">
        <f>Проект!#REF!</f>
        <v>#REF!</v>
      </c>
      <c r="L593" s="106" t="e">
        <f>Проект!#REF!</f>
        <v>#REF!</v>
      </c>
      <c r="M593" s="106" t="e">
        <f>Проект!#REF!</f>
        <v>#REF!</v>
      </c>
      <c r="N593" s="106" t="e">
        <f>Проект!#REF!</f>
        <v>#REF!</v>
      </c>
      <c r="O593" s="106" t="e">
        <f>Проект!#REF!</f>
        <v>#REF!</v>
      </c>
      <c r="P593" s="106" t="e">
        <f>Проект!#REF!</f>
        <v>#REF!</v>
      </c>
      <c r="Q593" s="106">
        <f>Проект!$K$1016</f>
        <v>0</v>
      </c>
      <c r="R593" s="48"/>
      <c r="S593" s="94">
        <f>Проект!$M$1016</f>
        <v>0</v>
      </c>
    </row>
    <row r="594" spans="1:19" ht="11.25" customHeight="1" x14ac:dyDescent="0.2">
      <c r="A594" s="48"/>
      <c r="B594" s="197" t="str">
        <f ca="1">Проект!$B$1017</f>
        <v>Валюта</v>
      </c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1"/>
    </row>
    <row r="595" spans="1:19" ht="11.25" customHeight="1" x14ac:dyDescent="0.2">
      <c r="A595" s="52" t="str">
        <f ca="1">Проект!$A$1018</f>
        <v>Целевое финансирование</v>
      </c>
      <c r="B595" s="334">
        <f>Проект!$B$1018</f>
        <v>1</v>
      </c>
      <c r="C595" s="50" t="str">
        <f ca="1">Проект!$C$1018</f>
        <v>руб.</v>
      </c>
      <c r="D595" s="101"/>
      <c r="E595" s="48"/>
      <c r="F595" s="341">
        <f>Проект!$F$1018</f>
        <v>0</v>
      </c>
      <c r="G595" s="341">
        <f>Проект!$G$1018</f>
        <v>0</v>
      </c>
      <c r="H595" s="341">
        <f>Проект!$H$1018</f>
        <v>0</v>
      </c>
      <c r="I595" s="341">
        <f>Проект!$I$1018</f>
        <v>0</v>
      </c>
      <c r="J595" s="341">
        <f>Проект!$J$1018</f>
        <v>0</v>
      </c>
      <c r="K595" s="341" t="e">
        <f>Проект!#REF!</f>
        <v>#REF!</v>
      </c>
      <c r="L595" s="341" t="e">
        <f>Проект!#REF!</f>
        <v>#REF!</v>
      </c>
      <c r="M595" s="341" t="e">
        <f>Проект!#REF!</f>
        <v>#REF!</v>
      </c>
      <c r="N595" s="341" t="e">
        <f>Проект!#REF!</f>
        <v>#REF!</v>
      </c>
      <c r="O595" s="341" t="e">
        <f>Проект!#REF!</f>
        <v>#REF!</v>
      </c>
      <c r="P595" s="341" t="e">
        <f>Проект!#REF!</f>
        <v>#REF!</v>
      </c>
      <c r="Q595" s="341">
        <f>Проект!$K$1018</f>
        <v>0</v>
      </c>
      <c r="R595" s="48"/>
      <c r="S595" s="94">
        <f>Проект!$M$1018</f>
        <v>0</v>
      </c>
    </row>
    <row r="596" spans="1:19" hidden="1" x14ac:dyDescent="0.2">
      <c r="A596" s="52" t="str">
        <f ca="1">Проект!$A$1019</f>
        <v xml:space="preserve">    то же, в основной валюте</v>
      </c>
      <c r="B596" s="73"/>
      <c r="C596" s="73" t="str">
        <f ca="1">Проект!$C$1019</f>
        <v>руб.</v>
      </c>
      <c r="D596" s="101"/>
      <c r="E596" s="48"/>
      <c r="F596" s="106">
        <f>Проект!$F$1019</f>
        <v>0</v>
      </c>
      <c r="G596" s="106">
        <f>Проект!$G$1019</f>
        <v>0</v>
      </c>
      <c r="H596" s="106">
        <f>Проект!$H$1019</f>
        <v>0</v>
      </c>
      <c r="I596" s="106">
        <f>Проект!$I$1019</f>
        <v>0</v>
      </c>
      <c r="J596" s="106">
        <f>Проект!$J$1019</f>
        <v>0</v>
      </c>
      <c r="K596" s="106" t="e">
        <f>Проект!#REF!</f>
        <v>#REF!</v>
      </c>
      <c r="L596" s="106" t="e">
        <f>Проект!#REF!</f>
        <v>#REF!</v>
      </c>
      <c r="M596" s="106" t="e">
        <f>Проект!#REF!</f>
        <v>#REF!</v>
      </c>
      <c r="N596" s="106" t="e">
        <f>Проект!#REF!</f>
        <v>#REF!</v>
      </c>
      <c r="O596" s="106" t="e">
        <f>Проект!#REF!</f>
        <v>#REF!</v>
      </c>
      <c r="P596" s="106" t="e">
        <f>Проект!#REF!</f>
        <v>#REF!</v>
      </c>
      <c r="Q596" s="106">
        <f>Проект!$K$1019</f>
        <v>0</v>
      </c>
      <c r="R596" s="48"/>
      <c r="S596" s="94">
        <f>Проект!$M$1019</f>
        <v>0</v>
      </c>
    </row>
    <row r="597" spans="1:19" ht="11.25" customHeight="1" x14ac:dyDescent="0.2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1"/>
    </row>
    <row r="598" spans="1:19" ht="11.25" customHeight="1" x14ac:dyDescent="0.2">
      <c r="A598" s="48" t="str">
        <f ca="1">Проект!$A$1021</f>
        <v>Средства от инвесторов строительства</v>
      </c>
      <c r="B598" s="48"/>
      <c r="C598" s="73" t="str">
        <f ca="1">Проект!$C$1021</f>
        <v>руб.</v>
      </c>
      <c r="D598" s="48" t="str">
        <f>Проект!$D$1021</f>
        <v>1_01</v>
      </c>
      <c r="E598" s="48"/>
      <c r="F598" s="106">
        <f>Проект!$F$1021</f>
        <v>0</v>
      </c>
      <c r="G598" s="106">
        <f>Проект!$G$1021</f>
        <v>0</v>
      </c>
      <c r="H598" s="106">
        <f>Проект!$H$1021</f>
        <v>0</v>
      </c>
      <c r="I598" s="106">
        <f>Проект!$I$1021</f>
        <v>0</v>
      </c>
      <c r="J598" s="106">
        <f>Проект!$J$1021</f>
        <v>0</v>
      </c>
      <c r="K598" s="106" t="e">
        <f>Проект!#REF!</f>
        <v>#REF!</v>
      </c>
      <c r="L598" s="106" t="e">
        <f>Проект!#REF!</f>
        <v>#REF!</v>
      </c>
      <c r="M598" s="106" t="e">
        <f>Проект!#REF!</f>
        <v>#REF!</v>
      </c>
      <c r="N598" s="106" t="e">
        <f>Проект!#REF!</f>
        <v>#REF!</v>
      </c>
      <c r="O598" s="106" t="e">
        <f>Проект!#REF!</f>
        <v>#REF!</v>
      </c>
      <c r="P598" s="106" t="e">
        <f>Проект!#REF!</f>
        <v>#REF!</v>
      </c>
      <c r="Q598" s="106">
        <f>Проект!$K$1021</f>
        <v>0</v>
      </c>
      <c r="R598" s="48"/>
      <c r="S598" s="94">
        <f>Проект!$M$1021</f>
        <v>0</v>
      </c>
    </row>
    <row r="599" spans="1:19" ht="11.25" customHeight="1" x14ac:dyDescent="0.2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1"/>
    </row>
    <row r="600" spans="1:19" ht="11.25" customHeight="1" x14ac:dyDescent="0.2">
      <c r="A600" s="41" t="str">
        <f ca="1">Проект!$A$1023</f>
        <v>Справка: Остаток средств на счете (текущий проект)</v>
      </c>
      <c r="B600" s="41"/>
      <c r="C600" s="197" t="str">
        <f ca="1">Проект!$C$1023</f>
        <v>руб.</v>
      </c>
      <c r="D600" s="370" t="str">
        <f>Проект!$D$1023</f>
        <v>int_end</v>
      </c>
      <c r="E600" s="41"/>
      <c r="F600" s="94">
        <f ca="1">Проект!$F$1023</f>
        <v>15122083.333333332</v>
      </c>
      <c r="G600" s="94">
        <f ca="1">Проект!$G$1023</f>
        <v>81971543.333333328</v>
      </c>
      <c r="H600" s="94">
        <f ca="1">Проект!$H$1023</f>
        <v>180331403.33333331</v>
      </c>
      <c r="I600" s="94">
        <f ca="1">Проект!$I$1023</f>
        <v>271350683.33333331</v>
      </c>
      <c r="J600" s="94">
        <f ca="1">Проект!$J$1023</f>
        <v>362989183.33333331</v>
      </c>
      <c r="K600" s="94" t="e">
        <f>Проект!#REF!</f>
        <v>#REF!</v>
      </c>
      <c r="L600" s="94" t="e">
        <f>Проект!#REF!</f>
        <v>#REF!</v>
      </c>
      <c r="M600" s="94" t="e">
        <f>Проект!#REF!</f>
        <v>#REF!</v>
      </c>
      <c r="N600" s="94" t="e">
        <f>Проект!#REF!</f>
        <v>#REF!</v>
      </c>
      <c r="O600" s="94" t="e">
        <f>Проект!#REF!</f>
        <v>#REF!</v>
      </c>
      <c r="P600" s="94" t="e">
        <f>Проект!#REF!</f>
        <v>#REF!</v>
      </c>
      <c r="Q600" s="94">
        <f ca="1">Проект!$K$1023</f>
        <v>454627683.33333331</v>
      </c>
      <c r="R600" s="41"/>
      <c r="S600" s="41"/>
    </row>
    <row r="603" spans="1:19" ht="15.9" customHeight="1" thickBot="1" x14ac:dyDescent="0.25">
      <c r="A603" s="166" t="str">
        <f ca="1">Проект!$A$1028</f>
        <v xml:space="preserve">         КРЕДИТЫ</v>
      </c>
      <c r="B603" s="166"/>
      <c r="C603" s="166"/>
      <c r="D603" s="166"/>
      <c r="E603" s="166"/>
      <c r="F603" s="178" t="str">
        <f>Проект!$F$1028</f>
        <v>4/ 2020</v>
      </c>
      <c r="G603" s="178" t="str">
        <f>Проект!$G$1028</f>
        <v>5/ 2020</v>
      </c>
      <c r="H603" s="178" t="str">
        <f>Проект!$H$1028</f>
        <v>6/ 2020</v>
      </c>
      <c r="I603" s="178" t="str">
        <f>Проект!$I$1028</f>
        <v>7/ 2020</v>
      </c>
      <c r="J603" s="178" t="str">
        <f>Проект!$J$1028</f>
        <v>8/ 2020</v>
      </c>
      <c r="K603" s="178" t="e">
        <f>Проект!#REF!</f>
        <v>#REF!</v>
      </c>
      <c r="L603" s="178" t="e">
        <f>Проект!#REF!</f>
        <v>#REF!</v>
      </c>
      <c r="M603" s="178" t="e">
        <f>Проект!#REF!</f>
        <v>#REF!</v>
      </c>
      <c r="N603" s="178" t="e">
        <f>Проект!#REF!</f>
        <v>#REF!</v>
      </c>
      <c r="O603" s="178" t="e">
        <f>Проект!#REF!</f>
        <v>#REF!</v>
      </c>
      <c r="P603" s="178" t="e">
        <f>Проект!#REF!</f>
        <v>#REF!</v>
      </c>
      <c r="Q603" s="178" t="str">
        <f>Проект!$K$1028</f>
        <v>9/ 2020</v>
      </c>
      <c r="R603" s="166"/>
      <c r="S603" s="195" t="str">
        <f ca="1">Проект!$M$1028</f>
        <v>ИТОГО</v>
      </c>
    </row>
    <row r="604" spans="1:19" ht="12" customHeight="1" thickTop="1" x14ac:dyDescent="0.2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1"/>
    </row>
    <row r="605" spans="1:19" ht="11.25" customHeight="1" x14ac:dyDescent="0.2">
      <c r="A605" s="130" t="str">
        <f ca="1">Проект!$A$1030</f>
        <v>Существующие кредиты</v>
      </c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1"/>
    </row>
    <row r="606" spans="1:19" ht="11.25" customHeight="1" x14ac:dyDescent="0.2">
      <c r="A606" s="48" t="str">
        <f ca="1">Проект!$A$1031</f>
        <v>Годовая процентная ставка</v>
      </c>
      <c r="B606" s="344">
        <f>Проект!$B$1031</f>
        <v>0.15</v>
      </c>
      <c r="C606" s="48"/>
      <c r="D606" s="101" t="str">
        <f>Проект!$D$1031</f>
        <v>int_rate;int_avg</v>
      </c>
      <c r="E606" s="48"/>
      <c r="F606" s="75">
        <f>Проект!$F$1031</f>
        <v>0.15</v>
      </c>
      <c r="G606" s="75">
        <f>Проект!$G$1031</f>
        <v>0.15</v>
      </c>
      <c r="H606" s="75">
        <f>Проект!$H$1031</f>
        <v>0.15</v>
      </c>
      <c r="I606" s="75">
        <f>Проект!$I$1031</f>
        <v>0.15</v>
      </c>
      <c r="J606" s="75">
        <f>Проект!$J$1031</f>
        <v>0.15</v>
      </c>
      <c r="K606" s="75" t="e">
        <f>Проект!#REF!</f>
        <v>#REF!</v>
      </c>
      <c r="L606" s="75" t="e">
        <f>Проект!#REF!</f>
        <v>#REF!</v>
      </c>
      <c r="M606" s="75" t="e">
        <f>Проект!#REF!</f>
        <v>#REF!</v>
      </c>
      <c r="N606" s="75" t="e">
        <f>Проект!#REF!</f>
        <v>#REF!</v>
      </c>
      <c r="O606" s="75" t="e">
        <f>Проект!#REF!</f>
        <v>#REF!</v>
      </c>
      <c r="P606" s="75" t="e">
        <f>Проект!#REF!</f>
        <v>#REF!</v>
      </c>
      <c r="Q606" s="75">
        <f>Проект!$K$1031</f>
        <v>0.15</v>
      </c>
      <c r="R606" s="48"/>
      <c r="S606" s="41"/>
    </row>
    <row r="607" spans="1:19" ht="11.25" customHeight="1" x14ac:dyDescent="0.2">
      <c r="A607" s="48" t="str">
        <f ca="1">Проект!$A$1032</f>
        <v>Погашение основного долга</v>
      </c>
      <c r="B607" s="48"/>
      <c r="C607" s="73" t="str">
        <f ca="1">Проект!$C$1032</f>
        <v>руб.</v>
      </c>
      <c r="D607" s="101" t="str">
        <f>Проект!$D$1032</f>
        <v>2/1_01</v>
      </c>
      <c r="E607" s="48"/>
      <c r="F607" s="341">
        <f>Проект!$F$1032</f>
        <v>0</v>
      </c>
      <c r="G607" s="341">
        <f>Проект!$G$1032</f>
        <v>0</v>
      </c>
      <c r="H607" s="341">
        <f>Проект!$H$1032</f>
        <v>0</v>
      </c>
      <c r="I607" s="341">
        <f>Проект!$I$1032</f>
        <v>0</v>
      </c>
      <c r="J607" s="341">
        <f>Проект!$J$1032</f>
        <v>0</v>
      </c>
      <c r="K607" s="341" t="e">
        <f>Проект!#REF!</f>
        <v>#REF!</v>
      </c>
      <c r="L607" s="341" t="e">
        <f>Проект!#REF!</f>
        <v>#REF!</v>
      </c>
      <c r="M607" s="341" t="e">
        <f>Проект!#REF!</f>
        <v>#REF!</v>
      </c>
      <c r="N607" s="341" t="e">
        <f>Проект!#REF!</f>
        <v>#REF!</v>
      </c>
      <c r="O607" s="341" t="e">
        <f>Проект!#REF!</f>
        <v>#REF!</v>
      </c>
      <c r="P607" s="341" t="e">
        <f>Проект!#REF!</f>
        <v>#REF!</v>
      </c>
      <c r="Q607" s="341">
        <f>Проект!$K$1032</f>
        <v>0</v>
      </c>
      <c r="R607" s="48"/>
      <c r="S607" s="94">
        <f>Проект!$M$1032</f>
        <v>0</v>
      </c>
    </row>
    <row r="608" spans="1:19" ht="11.25" customHeight="1" x14ac:dyDescent="0.2">
      <c r="A608" s="48" t="str">
        <f ca="1">Проект!$A$1033</f>
        <v>Выплаченные проценты</v>
      </c>
      <c r="B608" s="48"/>
      <c r="C608" s="73" t="str">
        <f ca="1">Проект!$C$1033</f>
        <v>руб.</v>
      </c>
      <c r="D608" s="101" t="str">
        <f>Проект!$D$1033</f>
        <v>2/1_03</v>
      </c>
      <c r="E608" s="48"/>
      <c r="F608" s="84">
        <f>Проект!$F$1033</f>
        <v>0</v>
      </c>
      <c r="G608" s="84">
        <f>Проект!$G$1033</f>
        <v>0</v>
      </c>
      <c r="H608" s="84">
        <f>Проект!$H$1033</f>
        <v>0</v>
      </c>
      <c r="I608" s="84">
        <f>Проект!$I$1033</f>
        <v>0</v>
      </c>
      <c r="J608" s="84">
        <f>Проект!$J$1033</f>
        <v>0</v>
      </c>
      <c r="K608" s="84" t="e">
        <f>Проект!#REF!</f>
        <v>#REF!</v>
      </c>
      <c r="L608" s="84" t="e">
        <f>Проект!#REF!</f>
        <v>#REF!</v>
      </c>
      <c r="M608" s="84" t="e">
        <f>Проект!#REF!</f>
        <v>#REF!</v>
      </c>
      <c r="N608" s="84" t="e">
        <f>Проект!#REF!</f>
        <v>#REF!</v>
      </c>
      <c r="O608" s="84" t="e">
        <f>Проект!#REF!</f>
        <v>#REF!</v>
      </c>
      <c r="P608" s="84" t="e">
        <f>Проект!#REF!</f>
        <v>#REF!</v>
      </c>
      <c r="Q608" s="84">
        <f>Проект!$K$1033</f>
        <v>0</v>
      </c>
      <c r="R608" s="48"/>
      <c r="S608" s="94">
        <f>Проект!$M$1033</f>
        <v>0</v>
      </c>
    </row>
    <row r="609" spans="1:19" ht="11.25" customHeight="1" x14ac:dyDescent="0.2">
      <c r="A609" s="48" t="str">
        <f ca="1">Проект!$A$1034</f>
        <v>Задолженность на конец текущего периода</v>
      </c>
      <c r="B609" s="48"/>
      <c r="C609" s="73" t="str">
        <f ca="1">Проект!$C$1034</f>
        <v>руб.</v>
      </c>
      <c r="D609" s="101" t="str">
        <f>Проект!$D$1034</f>
        <v>2/1_04;int_end</v>
      </c>
      <c r="E609" s="48"/>
      <c r="F609" s="84">
        <f>Проект!$F$1034</f>
        <v>0</v>
      </c>
      <c r="G609" s="84">
        <f>Проект!$G$1034</f>
        <v>0</v>
      </c>
      <c r="H609" s="84">
        <f>Проект!$H$1034</f>
        <v>0</v>
      </c>
      <c r="I609" s="84">
        <f>Проект!$I$1034</f>
        <v>0</v>
      </c>
      <c r="J609" s="84">
        <f>Проект!$J$1034</f>
        <v>0</v>
      </c>
      <c r="K609" s="84" t="e">
        <f>Проект!#REF!</f>
        <v>#REF!</v>
      </c>
      <c r="L609" s="84" t="e">
        <f>Проект!#REF!</f>
        <v>#REF!</v>
      </c>
      <c r="M609" s="84" t="e">
        <f>Проект!#REF!</f>
        <v>#REF!</v>
      </c>
      <c r="N609" s="84" t="e">
        <f>Проект!#REF!</f>
        <v>#REF!</v>
      </c>
      <c r="O609" s="84" t="e">
        <f>Проект!#REF!</f>
        <v>#REF!</v>
      </c>
      <c r="P609" s="84" t="e">
        <f>Проект!#REF!</f>
        <v>#REF!</v>
      </c>
      <c r="Q609" s="84">
        <f>Проект!$K$1034</f>
        <v>0</v>
      </c>
      <c r="R609" s="371">
        <f>Проект!$L$1034</f>
        <v>0</v>
      </c>
      <c r="S609" s="41"/>
    </row>
    <row r="610" spans="1:19" hidden="1" x14ac:dyDescent="0.2">
      <c r="A610" s="48" t="str">
        <f ca="1">Проект!$A$1035</f>
        <v xml:space="preserve">    проценты, выплачиваемые из прибыли</v>
      </c>
      <c r="B610" s="48"/>
      <c r="C610" s="73" t="str">
        <f ca="1">Проект!$C$1035</f>
        <v>руб.</v>
      </c>
      <c r="D610" s="101" t="str">
        <f>Проект!$D$1035</f>
        <v>2/1_07</v>
      </c>
      <c r="E610" s="48"/>
      <c r="F610" s="84">
        <f>Проект!$F$1035</f>
        <v>0</v>
      </c>
      <c r="G610" s="84">
        <f>Проект!$G$1035</f>
        <v>0</v>
      </c>
      <c r="H610" s="84">
        <f>Проект!$H$1035</f>
        <v>0</v>
      </c>
      <c r="I610" s="84">
        <f>Проект!$I$1035</f>
        <v>0</v>
      </c>
      <c r="J610" s="84">
        <f>Проект!$J$1035</f>
        <v>0</v>
      </c>
      <c r="K610" s="84" t="e">
        <f>Проект!#REF!</f>
        <v>#REF!</v>
      </c>
      <c r="L610" s="84" t="e">
        <f>Проект!#REF!</f>
        <v>#REF!</v>
      </c>
      <c r="M610" s="84" t="e">
        <f>Проект!#REF!</f>
        <v>#REF!</v>
      </c>
      <c r="N610" s="84" t="e">
        <f>Проект!#REF!</f>
        <v>#REF!</v>
      </c>
      <c r="O610" s="84" t="e">
        <f>Проект!#REF!</f>
        <v>#REF!</v>
      </c>
      <c r="P610" s="84" t="e">
        <f>Проект!#REF!</f>
        <v>#REF!</v>
      </c>
      <c r="Q610" s="84">
        <f>Проект!$K$1035</f>
        <v>0</v>
      </c>
      <c r="R610" s="372"/>
      <c r="S610" s="94">
        <f>Проект!$M$1035</f>
        <v>0</v>
      </c>
    </row>
    <row r="611" spans="1:19" hidden="1" x14ac:dyDescent="0.2">
      <c r="A611" s="48" t="str">
        <f ca="1">Проект!$A$1036</f>
        <v>Начисленные проценты</v>
      </c>
      <c r="B611" s="48"/>
      <c r="C611" s="73" t="str">
        <f ca="1">Проект!$C$1036</f>
        <v>руб.</v>
      </c>
      <c r="D611" s="101" t="str">
        <f>Проект!$D$1036</f>
        <v>2/1_02</v>
      </c>
      <c r="E611" s="48"/>
      <c r="F611" s="106">
        <f>Проект!$F$1036</f>
        <v>0</v>
      </c>
      <c r="G611" s="106">
        <f>Проект!$G$1036</f>
        <v>0</v>
      </c>
      <c r="H611" s="106">
        <f>Проект!$H$1036</f>
        <v>0</v>
      </c>
      <c r="I611" s="106">
        <f>Проект!$I$1036</f>
        <v>0</v>
      </c>
      <c r="J611" s="106">
        <f>Проект!$J$1036</f>
        <v>0</v>
      </c>
      <c r="K611" s="106" t="e">
        <f>Проект!#REF!</f>
        <v>#REF!</v>
      </c>
      <c r="L611" s="106" t="e">
        <f>Проект!#REF!</f>
        <v>#REF!</v>
      </c>
      <c r="M611" s="106" t="e">
        <f>Проект!#REF!</f>
        <v>#REF!</v>
      </c>
      <c r="N611" s="106" t="e">
        <f>Проект!#REF!</f>
        <v>#REF!</v>
      </c>
      <c r="O611" s="106" t="e">
        <f>Проект!#REF!</f>
        <v>#REF!</v>
      </c>
      <c r="P611" s="106" t="e">
        <f>Проект!#REF!</f>
        <v>#REF!</v>
      </c>
      <c r="Q611" s="106">
        <f>Проект!$K$1036</f>
        <v>0</v>
      </c>
      <c r="R611" s="48"/>
      <c r="S611" s="94">
        <f>Проект!$M$1036</f>
        <v>0</v>
      </c>
    </row>
    <row r="612" spans="1:19" ht="11.25" customHeight="1" x14ac:dyDescent="0.2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373"/>
      <c r="S612" s="359"/>
    </row>
    <row r="613" spans="1:19" ht="11.25" customHeight="1" x14ac:dyDescent="0.2">
      <c r="A613" s="125" t="str">
        <f ca="1">Проект!$A$1038</f>
        <v>Новые кредиты</v>
      </c>
      <c r="B613" s="45"/>
      <c r="C613" s="45"/>
      <c r="D613" s="45">
        <f>Проект!$D$1038</f>
        <v>1</v>
      </c>
      <c r="E613" s="45">
        <f>Проект!$E$1038</f>
        <v>14</v>
      </c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374"/>
      <c r="S613" s="77"/>
    </row>
    <row r="614" spans="1:19" ht="11.25" customHeight="1" x14ac:dyDescent="0.2">
      <c r="A614" s="375" t="str">
        <f>Проект!$A$1039</f>
        <v>Инвестиционный кредит 1</v>
      </c>
      <c r="B614" s="45"/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374"/>
      <c r="S614" s="77"/>
    </row>
    <row r="615" spans="1:19" ht="11.25" customHeight="1" x14ac:dyDescent="0.2">
      <c r="A615" s="45" t="str">
        <f ca="1">Проект!$A$1040</f>
        <v>Тип кредита</v>
      </c>
      <c r="B615" s="376">
        <f>Проект!$B$1040</f>
        <v>2</v>
      </c>
      <c r="C615" s="377" t="str">
        <f ca="1">Проект!$C$1040</f>
        <v>Инвестиционный кредит</v>
      </c>
      <c r="D615" s="45"/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374"/>
      <c r="S615" s="77"/>
    </row>
    <row r="616" spans="1:19" ht="11.25" customHeight="1" x14ac:dyDescent="0.2">
      <c r="A616" s="45" t="str">
        <f ca="1">Проект!$A$1041</f>
        <v>Валюта кредита</v>
      </c>
      <c r="B616" s="376">
        <f>Проект!$B$1041</f>
        <v>1</v>
      </c>
      <c r="C616" s="148" t="str">
        <f ca="1">Проект!$C$1041</f>
        <v>руб.</v>
      </c>
      <c r="D616" s="45"/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374"/>
      <c r="S616" s="77"/>
    </row>
    <row r="617" spans="1:19" ht="11.25" customHeight="1" x14ac:dyDescent="0.2">
      <c r="A617" s="48" t="str">
        <f ca="1">Проект!$A$1042</f>
        <v>Годовая процентная ставка</v>
      </c>
      <c r="B617" s="344">
        <f>Проект!$B$1042</f>
        <v>0.21</v>
      </c>
      <c r="C617" s="48"/>
      <c r="D617" s="101" t="str">
        <f>Проект!$D$1042</f>
        <v>int_rate;int_avg</v>
      </c>
      <c r="E617" s="48"/>
      <c r="F617" s="75">
        <f>Проект!$F$1042</f>
        <v>0.21</v>
      </c>
      <c r="G617" s="75">
        <f>Проект!$G$1042</f>
        <v>0.21</v>
      </c>
      <c r="H617" s="75">
        <f>Проект!$H$1042</f>
        <v>0.21</v>
      </c>
      <c r="I617" s="75">
        <f>Проект!$I$1042</f>
        <v>0.21</v>
      </c>
      <c r="J617" s="75">
        <f>Проект!$J$1042</f>
        <v>0.21</v>
      </c>
      <c r="K617" s="75" t="e">
        <f>Проект!#REF!</f>
        <v>#REF!</v>
      </c>
      <c r="L617" s="75" t="e">
        <f>Проект!#REF!</f>
        <v>#REF!</v>
      </c>
      <c r="M617" s="75" t="e">
        <f>Проект!#REF!</f>
        <v>#REF!</v>
      </c>
      <c r="N617" s="75" t="e">
        <f>Проект!#REF!</f>
        <v>#REF!</v>
      </c>
      <c r="O617" s="75" t="e">
        <f>Проект!#REF!</f>
        <v>#REF!</v>
      </c>
      <c r="P617" s="75" t="e">
        <f>Проект!#REF!</f>
        <v>#REF!</v>
      </c>
      <c r="Q617" s="75">
        <f>Проект!$K$1042</f>
        <v>0.21</v>
      </c>
      <c r="R617" s="372"/>
      <c r="S617" s="41"/>
    </row>
    <row r="618" spans="1:19" ht="11.25" customHeight="1" x14ac:dyDescent="0.2">
      <c r="A618" s="48" t="str">
        <f ca="1">Проект!$A$1043</f>
        <v>Отсрочка выплаты процентов</v>
      </c>
      <c r="B618" s="334">
        <f>Проект!$B$1043</f>
        <v>2</v>
      </c>
      <c r="C618" s="50" t="str">
        <f ca="1">Проект!$C$1043</f>
        <v>мес.</v>
      </c>
      <c r="D618" s="48"/>
      <c r="E618" s="48">
        <f>Проект!$E$1043</f>
        <v>113</v>
      </c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372"/>
      <c r="S618" s="41"/>
    </row>
    <row r="619" spans="1:19" ht="11.25" customHeight="1" x14ac:dyDescent="0.2">
      <c r="A619" s="48"/>
      <c r="B619" s="48"/>
      <c r="C619" s="48"/>
      <c r="D619" s="101" t="str">
        <f>Проект!$D$1044</f>
        <v>autoloan_button</v>
      </c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372"/>
      <c r="S619" s="41"/>
    </row>
    <row r="620" spans="1:19" ht="11.25" customHeight="1" x14ac:dyDescent="0.2">
      <c r="A620" s="48" t="str">
        <f ca="1">Проект!$A$1045</f>
        <v>Поступление денег от кредита</v>
      </c>
      <c r="B620" s="48"/>
      <c r="C620" s="50" t="str">
        <f ca="1">Проект!$C$1045</f>
        <v>руб.</v>
      </c>
      <c r="D620" s="101" t="str">
        <f>Проект!$D$1045</f>
        <v>2/1_00</v>
      </c>
      <c r="E620" s="48"/>
      <c r="F620" s="341">
        <f>Проект!$F$1045</f>
        <v>0</v>
      </c>
      <c r="G620" s="341">
        <f>Проект!$G$1045</f>
        <v>0</v>
      </c>
      <c r="H620" s="341">
        <f>Проект!$H$1045</f>
        <v>0</v>
      </c>
      <c r="I620" s="341">
        <f>Проект!$I$1045</f>
        <v>0</v>
      </c>
      <c r="J620" s="341">
        <f>Проект!$J$1045</f>
        <v>0</v>
      </c>
      <c r="K620" s="341" t="e">
        <f>Проект!#REF!</f>
        <v>#REF!</v>
      </c>
      <c r="L620" s="341" t="e">
        <f>Проект!#REF!</f>
        <v>#REF!</v>
      </c>
      <c r="M620" s="341" t="e">
        <f>Проект!#REF!</f>
        <v>#REF!</v>
      </c>
      <c r="N620" s="341" t="e">
        <f>Проект!#REF!</f>
        <v>#REF!</v>
      </c>
      <c r="O620" s="341" t="e">
        <f>Проект!#REF!</f>
        <v>#REF!</v>
      </c>
      <c r="P620" s="341" t="e">
        <f>Проект!#REF!</f>
        <v>#REF!</v>
      </c>
      <c r="Q620" s="341">
        <f>Проект!$K$1045</f>
        <v>0</v>
      </c>
      <c r="R620" s="372"/>
      <c r="S620" s="94">
        <f>Проект!$M$1045</f>
        <v>0</v>
      </c>
    </row>
    <row r="621" spans="1:19" ht="11.25" customHeight="1" x14ac:dyDescent="0.2">
      <c r="A621" s="48" t="str">
        <f ca="1">Проект!$A$1046</f>
        <v>Погашение основного долга</v>
      </c>
      <c r="B621" s="48"/>
      <c r="C621" s="73" t="str">
        <f ca="1">Проект!$C$1046</f>
        <v>руб.</v>
      </c>
      <c r="D621" s="101" t="str">
        <f>Проект!$D$1046</f>
        <v>2/1_01</v>
      </c>
      <c r="E621" s="48"/>
      <c r="F621" s="341">
        <f>Проект!$F$1046</f>
        <v>0</v>
      </c>
      <c r="G621" s="341">
        <f>Проект!$G$1046</f>
        <v>0</v>
      </c>
      <c r="H621" s="341">
        <f>Проект!$H$1046</f>
        <v>0</v>
      </c>
      <c r="I621" s="341">
        <f>Проект!$I$1046</f>
        <v>0</v>
      </c>
      <c r="J621" s="341">
        <f>Проект!$J$1046</f>
        <v>0</v>
      </c>
      <c r="K621" s="341" t="e">
        <f>Проект!#REF!</f>
        <v>#REF!</v>
      </c>
      <c r="L621" s="341" t="e">
        <f>Проект!#REF!</f>
        <v>#REF!</v>
      </c>
      <c r="M621" s="341" t="e">
        <f>Проект!#REF!</f>
        <v>#REF!</v>
      </c>
      <c r="N621" s="341" t="e">
        <f>Проект!#REF!</f>
        <v>#REF!</v>
      </c>
      <c r="O621" s="341" t="e">
        <f>Проект!#REF!</f>
        <v>#REF!</v>
      </c>
      <c r="P621" s="341" t="e">
        <f>Проект!#REF!</f>
        <v>#REF!</v>
      </c>
      <c r="Q621" s="341">
        <f>Проект!$K$1046</f>
        <v>0</v>
      </c>
      <c r="R621" s="372"/>
      <c r="S621" s="94">
        <f>Проект!$M$1046</f>
        <v>0</v>
      </c>
    </row>
    <row r="622" spans="1:19" ht="11.25" customHeight="1" x14ac:dyDescent="0.2">
      <c r="A622" s="48" t="str">
        <f ca="1">Проект!$A$1047</f>
        <v>Выплаченные проценты</v>
      </c>
      <c r="B622" s="48"/>
      <c r="C622" s="73" t="str">
        <f ca="1">Проект!$C$1047</f>
        <v>руб.</v>
      </c>
      <c r="D622" s="101" t="str">
        <f>Проект!$D$1047</f>
        <v>2/1_03</v>
      </c>
      <c r="E622" s="48"/>
      <c r="F622" s="84">
        <f>Проект!$F$1047</f>
        <v>0</v>
      </c>
      <c r="G622" s="84">
        <f>Проект!$G$1047</f>
        <v>0</v>
      </c>
      <c r="H622" s="84">
        <f>Проект!$H$1047</f>
        <v>0</v>
      </c>
      <c r="I622" s="84">
        <f>Проект!$I$1047</f>
        <v>0</v>
      </c>
      <c r="J622" s="84">
        <f>Проект!$J$1047</f>
        <v>0</v>
      </c>
      <c r="K622" s="84" t="e">
        <f>Проект!#REF!</f>
        <v>#REF!</v>
      </c>
      <c r="L622" s="84" t="e">
        <f>Проект!#REF!</f>
        <v>#REF!</v>
      </c>
      <c r="M622" s="84" t="e">
        <f>Проект!#REF!</f>
        <v>#REF!</v>
      </c>
      <c r="N622" s="84" t="e">
        <f>Проект!#REF!</f>
        <v>#REF!</v>
      </c>
      <c r="O622" s="84" t="e">
        <f>Проект!#REF!</f>
        <v>#REF!</v>
      </c>
      <c r="P622" s="84" t="e">
        <f>Проект!#REF!</f>
        <v>#REF!</v>
      </c>
      <c r="Q622" s="84">
        <f>Проект!$K$1047</f>
        <v>0</v>
      </c>
      <c r="R622" s="372"/>
      <c r="S622" s="94">
        <f>Проект!$M$1047</f>
        <v>0</v>
      </c>
    </row>
    <row r="623" spans="1:19" ht="11.25" customHeight="1" x14ac:dyDescent="0.2">
      <c r="A623" s="48" t="str">
        <f ca="1">Проект!$A$1048</f>
        <v>Задолженность на конец текущего периода</v>
      </c>
      <c r="B623" s="48"/>
      <c r="C623" s="73" t="str">
        <f ca="1">Проект!$C$1048</f>
        <v>руб.</v>
      </c>
      <c r="D623" s="48" t="str">
        <f>Проект!$D$1048</f>
        <v>2/1_04;int_end</v>
      </c>
      <c r="E623" s="48"/>
      <c r="F623" s="106">
        <f>Проект!$F$1048</f>
        <v>0</v>
      </c>
      <c r="G623" s="106">
        <f>Проект!$G$1048</f>
        <v>0</v>
      </c>
      <c r="H623" s="106">
        <f>Проект!$H$1048</f>
        <v>0</v>
      </c>
      <c r="I623" s="106">
        <f>Проект!$I$1048</f>
        <v>0</v>
      </c>
      <c r="J623" s="106">
        <f>Проект!$J$1048</f>
        <v>0</v>
      </c>
      <c r="K623" s="106" t="e">
        <f>Проект!#REF!</f>
        <v>#REF!</v>
      </c>
      <c r="L623" s="106" t="e">
        <f>Проект!#REF!</f>
        <v>#REF!</v>
      </c>
      <c r="M623" s="106" t="e">
        <f>Проект!#REF!</f>
        <v>#REF!</v>
      </c>
      <c r="N623" s="106" t="e">
        <f>Проект!#REF!</f>
        <v>#REF!</v>
      </c>
      <c r="O623" s="106" t="e">
        <f>Проект!#REF!</f>
        <v>#REF!</v>
      </c>
      <c r="P623" s="106" t="e">
        <f>Проект!#REF!</f>
        <v>#REF!</v>
      </c>
      <c r="Q623" s="106">
        <f>Проект!$K$1048</f>
        <v>0</v>
      </c>
      <c r="R623" s="48"/>
      <c r="S623" s="41"/>
    </row>
    <row r="624" spans="1:19" hidden="1" x14ac:dyDescent="0.2">
      <c r="A624" s="48" t="str">
        <f ca="1">Проект!$A$1049</f>
        <v>Задолженность на начало текущего периода</v>
      </c>
      <c r="B624" s="48"/>
      <c r="C624" s="73" t="str">
        <f ca="1">Проект!$C$1049</f>
        <v>руб.</v>
      </c>
      <c r="D624" s="101" t="str">
        <f>Проект!$D$1049</f>
        <v>int_end</v>
      </c>
      <c r="E624" s="48"/>
      <c r="F624" s="84">
        <f>Проект!$F$1049</f>
        <v>0</v>
      </c>
      <c r="G624" s="84">
        <f>Проект!$G$1049</f>
        <v>0</v>
      </c>
      <c r="H624" s="84">
        <f>Проект!$H$1049</f>
        <v>0</v>
      </c>
      <c r="I624" s="84">
        <f>Проект!$I$1049</f>
        <v>0</v>
      </c>
      <c r="J624" s="84">
        <f>Проект!$J$1049</f>
        <v>0</v>
      </c>
      <c r="K624" s="84" t="e">
        <f>Проект!#REF!</f>
        <v>#REF!</v>
      </c>
      <c r="L624" s="84" t="e">
        <f>Проект!#REF!</f>
        <v>#REF!</v>
      </c>
      <c r="M624" s="84" t="e">
        <f>Проект!#REF!</f>
        <v>#REF!</v>
      </c>
      <c r="N624" s="84" t="e">
        <f>Проект!#REF!</f>
        <v>#REF!</v>
      </c>
      <c r="O624" s="84" t="e">
        <f>Проект!#REF!</f>
        <v>#REF!</v>
      </c>
      <c r="P624" s="84" t="e">
        <f>Проект!#REF!</f>
        <v>#REF!</v>
      </c>
      <c r="Q624" s="84">
        <f>Проект!$K$1049</f>
        <v>0</v>
      </c>
      <c r="R624" s="371">
        <f>Проект!$L$1049</f>
        <v>0</v>
      </c>
      <c r="S624" s="41"/>
    </row>
    <row r="625" spans="1:19" hidden="1" x14ac:dyDescent="0.2">
      <c r="A625" s="48" t="str">
        <f ca="1">Проект!$A$1050</f>
        <v xml:space="preserve">    интервал, в котором впервые взят кредит</v>
      </c>
      <c r="B625" s="48"/>
      <c r="C625" s="73"/>
      <c r="D625" s="101" t="str">
        <f>Проект!$D$1050</f>
        <v>2/1_06;int_end</v>
      </c>
      <c r="E625" s="48"/>
      <c r="F625" s="84">
        <f>Проект!$F$1050</f>
        <v>0</v>
      </c>
      <c r="G625" s="84">
        <f>Проект!$G$1050</f>
        <v>0</v>
      </c>
      <c r="H625" s="84">
        <f>Проект!$H$1050</f>
        <v>0</v>
      </c>
      <c r="I625" s="84">
        <f>Проект!$I$1050</f>
        <v>0</v>
      </c>
      <c r="J625" s="84">
        <f>Проект!$J$1050</f>
        <v>0</v>
      </c>
      <c r="K625" s="84" t="e">
        <f>Проект!#REF!</f>
        <v>#REF!</v>
      </c>
      <c r="L625" s="84" t="e">
        <f>Проект!#REF!</f>
        <v>#REF!</v>
      </c>
      <c r="M625" s="84" t="e">
        <f>Проект!#REF!</f>
        <v>#REF!</v>
      </c>
      <c r="N625" s="84" t="e">
        <f>Проект!#REF!</f>
        <v>#REF!</v>
      </c>
      <c r="O625" s="84" t="e">
        <f>Проект!#REF!</f>
        <v>#REF!</v>
      </c>
      <c r="P625" s="84" t="e">
        <f>Проект!#REF!</f>
        <v>#REF!</v>
      </c>
      <c r="Q625" s="84">
        <f>Проект!$K$1050</f>
        <v>0</v>
      </c>
      <c r="R625" s="372"/>
      <c r="S625" s="41"/>
    </row>
    <row r="626" spans="1:19" hidden="1" x14ac:dyDescent="0.2">
      <c r="A626" s="48" t="str">
        <f ca="1">Проект!$A$1051</f>
        <v xml:space="preserve">    проценты, выплачиваемые из прибыли</v>
      </c>
      <c r="B626" s="48"/>
      <c r="C626" s="73" t="str">
        <f ca="1">Проект!$C$1051</f>
        <v>руб.</v>
      </c>
      <c r="D626" s="101" t="str">
        <f>Проект!$D$1051</f>
        <v>2/1_07</v>
      </c>
      <c r="E626" s="48"/>
      <c r="F626" s="84">
        <f ca="1">Проект!$F$1051</f>
        <v>0</v>
      </c>
      <c r="G626" s="84">
        <f ca="1">Проект!$G$1051</f>
        <v>0</v>
      </c>
      <c r="H626" s="84">
        <f ca="1">Проект!$H$1051</f>
        <v>0</v>
      </c>
      <c r="I626" s="84">
        <f ca="1">Проект!$I$1051</f>
        <v>0</v>
      </c>
      <c r="J626" s="84">
        <f ca="1">Проект!$J$1051</f>
        <v>0</v>
      </c>
      <c r="K626" s="84" t="e">
        <f>Проект!#REF!</f>
        <v>#REF!</v>
      </c>
      <c r="L626" s="84" t="e">
        <f>Проект!#REF!</f>
        <v>#REF!</v>
      </c>
      <c r="M626" s="84" t="e">
        <f>Проект!#REF!</f>
        <v>#REF!</v>
      </c>
      <c r="N626" s="84" t="e">
        <f>Проект!#REF!</f>
        <v>#REF!</v>
      </c>
      <c r="O626" s="84" t="e">
        <f>Проект!#REF!</f>
        <v>#REF!</v>
      </c>
      <c r="P626" s="84" t="e">
        <f>Проект!#REF!</f>
        <v>#REF!</v>
      </c>
      <c r="Q626" s="84">
        <f ca="1">Проект!$K$1051</f>
        <v>0</v>
      </c>
      <c r="R626" s="372"/>
      <c r="S626" s="94">
        <f ca="1">Проект!$M$1051</f>
        <v>0</v>
      </c>
    </row>
    <row r="627" spans="1:19" hidden="1" x14ac:dyDescent="0.2">
      <c r="A627" s="48" t="str">
        <f ca="1">Проект!$A$1052</f>
        <v>Начисленные проценты</v>
      </c>
      <c r="B627" s="48"/>
      <c r="C627" s="73" t="str">
        <f ca="1">Проект!$C$1052</f>
        <v>руб.</v>
      </c>
      <c r="D627" s="48" t="str">
        <f>Проект!$D$1052</f>
        <v>2/1_02</v>
      </c>
      <c r="E627" s="48"/>
      <c r="F627" s="106">
        <f>Проект!$F$1052</f>
        <v>0</v>
      </c>
      <c r="G627" s="106">
        <f>Проект!$G$1052</f>
        <v>0</v>
      </c>
      <c r="H627" s="106">
        <f>Проект!$H$1052</f>
        <v>0</v>
      </c>
      <c r="I627" s="106">
        <f>Проект!$I$1052</f>
        <v>0</v>
      </c>
      <c r="J627" s="106">
        <f>Проект!$J$1052</f>
        <v>0</v>
      </c>
      <c r="K627" s="106" t="e">
        <f>Проект!#REF!</f>
        <v>#REF!</v>
      </c>
      <c r="L627" s="106" t="e">
        <f>Проект!#REF!</f>
        <v>#REF!</v>
      </c>
      <c r="M627" s="106" t="e">
        <f>Проект!#REF!</f>
        <v>#REF!</v>
      </c>
      <c r="N627" s="106" t="e">
        <f>Проект!#REF!</f>
        <v>#REF!</v>
      </c>
      <c r="O627" s="106" t="e">
        <f>Проект!#REF!</f>
        <v>#REF!</v>
      </c>
      <c r="P627" s="106" t="e">
        <f>Проект!#REF!</f>
        <v>#REF!</v>
      </c>
      <c r="Q627" s="106">
        <f>Проект!$K$1052</f>
        <v>0</v>
      </c>
      <c r="R627" s="372"/>
      <c r="S627" s="94">
        <f>Проект!$M$1052</f>
        <v>0</v>
      </c>
    </row>
    <row r="628" spans="1:19" ht="11.25" customHeight="1" x14ac:dyDescent="0.2">
      <c r="A628" s="48"/>
      <c r="B628" s="48"/>
      <c r="C628" s="48"/>
      <c r="D628" s="48"/>
      <c r="E628" s="106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372"/>
      <c r="S628" s="94"/>
    </row>
    <row r="629" spans="1:19" ht="11.25" customHeight="1" x14ac:dyDescent="0.2">
      <c r="A629" s="130" t="str">
        <f ca="1">Проект!$A$1054</f>
        <v xml:space="preserve"> = Итого: Поступления от кредитов</v>
      </c>
      <c r="B629" s="48"/>
      <c r="C629" s="73" t="str">
        <f ca="1">Проект!$C$1054</f>
        <v>руб.</v>
      </c>
      <c r="D629" s="48"/>
      <c r="E629" s="106">
        <f>Проект!$E$1054</f>
        <v>0</v>
      </c>
      <c r="F629" s="361">
        <f>Проект!$F$1054</f>
        <v>0</v>
      </c>
      <c r="G629" s="361">
        <f>Проект!$G$1054</f>
        <v>0</v>
      </c>
      <c r="H629" s="361">
        <f>Проект!$H$1054</f>
        <v>0</v>
      </c>
      <c r="I629" s="361">
        <f>Проект!$I$1054</f>
        <v>0</v>
      </c>
      <c r="J629" s="361">
        <f>Проект!$J$1054</f>
        <v>0</v>
      </c>
      <c r="K629" s="361" t="e">
        <f>Проект!#REF!</f>
        <v>#REF!</v>
      </c>
      <c r="L629" s="361" t="e">
        <f>Проект!#REF!</f>
        <v>#REF!</v>
      </c>
      <c r="M629" s="361" t="e">
        <f>Проект!#REF!</f>
        <v>#REF!</v>
      </c>
      <c r="N629" s="361" t="e">
        <f>Проект!#REF!</f>
        <v>#REF!</v>
      </c>
      <c r="O629" s="361" t="e">
        <f>Проект!#REF!</f>
        <v>#REF!</v>
      </c>
      <c r="P629" s="361" t="e">
        <f>Проект!#REF!</f>
        <v>#REF!</v>
      </c>
      <c r="Q629" s="361">
        <f>Проект!$K$1054</f>
        <v>0</v>
      </c>
      <c r="R629" s="372"/>
      <c r="S629" s="95">
        <f>Проект!$M$1054</f>
        <v>0</v>
      </c>
    </row>
    <row r="630" spans="1:19" ht="11.25" customHeight="1" x14ac:dyDescent="0.2">
      <c r="A630" s="130" t="str">
        <f ca="1">Проект!$A$1055</f>
        <v xml:space="preserve"> = Итого: Погашение кредитов</v>
      </c>
      <c r="B630" s="48"/>
      <c r="C630" s="73" t="str">
        <f ca="1">Проект!$C$1055</f>
        <v>руб.</v>
      </c>
      <c r="D630" s="48"/>
      <c r="E630" s="48"/>
      <c r="F630" s="160">
        <f>Проект!$F$1055</f>
        <v>0</v>
      </c>
      <c r="G630" s="160">
        <f>Проект!$G$1055</f>
        <v>0</v>
      </c>
      <c r="H630" s="160">
        <f>Проект!$H$1055</f>
        <v>0</v>
      </c>
      <c r="I630" s="160">
        <f>Проект!$I$1055</f>
        <v>0</v>
      </c>
      <c r="J630" s="160">
        <f>Проект!$J$1055</f>
        <v>0</v>
      </c>
      <c r="K630" s="160" t="e">
        <f>Проект!#REF!</f>
        <v>#REF!</v>
      </c>
      <c r="L630" s="160" t="e">
        <f>Проект!#REF!</f>
        <v>#REF!</v>
      </c>
      <c r="M630" s="160" t="e">
        <f>Проект!#REF!</f>
        <v>#REF!</v>
      </c>
      <c r="N630" s="160" t="e">
        <f>Проект!#REF!</f>
        <v>#REF!</v>
      </c>
      <c r="O630" s="160" t="e">
        <f>Проект!#REF!</f>
        <v>#REF!</v>
      </c>
      <c r="P630" s="160" t="e">
        <f>Проект!#REF!</f>
        <v>#REF!</v>
      </c>
      <c r="Q630" s="160">
        <f>Проект!$K$1055</f>
        <v>0</v>
      </c>
      <c r="R630" s="372"/>
      <c r="S630" s="95">
        <f>Проект!$M$1055</f>
        <v>0</v>
      </c>
    </row>
    <row r="631" spans="1:19" ht="11.25" customHeight="1" x14ac:dyDescent="0.2">
      <c r="A631" s="130" t="str">
        <f ca="1">Проект!$A$1056</f>
        <v xml:space="preserve"> = Итого: Выплата процентов</v>
      </c>
      <c r="B631" s="48"/>
      <c r="C631" s="73" t="str">
        <f ca="1">Проект!$C$1056</f>
        <v>руб.</v>
      </c>
      <c r="D631" s="48"/>
      <c r="E631" s="48"/>
      <c r="F631" s="160">
        <f>Проект!$F$1056</f>
        <v>0</v>
      </c>
      <c r="G631" s="160">
        <f>Проект!$G$1056</f>
        <v>0</v>
      </c>
      <c r="H631" s="160">
        <f>Проект!$H$1056</f>
        <v>0</v>
      </c>
      <c r="I631" s="160">
        <f>Проект!$I$1056</f>
        <v>0</v>
      </c>
      <c r="J631" s="160">
        <f>Проект!$J$1056</f>
        <v>0</v>
      </c>
      <c r="K631" s="160" t="e">
        <f>Проект!#REF!</f>
        <v>#REF!</v>
      </c>
      <c r="L631" s="160" t="e">
        <f>Проект!#REF!</f>
        <v>#REF!</v>
      </c>
      <c r="M631" s="160" t="e">
        <f>Проект!#REF!</f>
        <v>#REF!</v>
      </c>
      <c r="N631" s="160" t="e">
        <f>Проект!#REF!</f>
        <v>#REF!</v>
      </c>
      <c r="O631" s="160" t="e">
        <f>Проект!#REF!</f>
        <v>#REF!</v>
      </c>
      <c r="P631" s="160" t="e">
        <f>Проект!#REF!</f>
        <v>#REF!</v>
      </c>
      <c r="Q631" s="160">
        <f>Проект!$K$1056</f>
        <v>0</v>
      </c>
      <c r="R631" s="372"/>
      <c r="S631" s="95">
        <f>Проект!$M$1056</f>
        <v>0</v>
      </c>
    </row>
    <row r="632" spans="1:19" hidden="1" x14ac:dyDescent="0.2">
      <c r="A632" s="48" t="str">
        <f ca="1">Проект!$A$1057</f>
        <v xml:space="preserve">    проценты, выплачиваемые из прибыли</v>
      </c>
      <c r="B632" s="48"/>
      <c r="C632" s="73" t="str">
        <f ca="1">Проект!$C$1057</f>
        <v>руб.</v>
      </c>
      <c r="D632" s="48"/>
      <c r="E632" s="48"/>
      <c r="F632" s="210">
        <f ca="1">Проект!$F$1057</f>
        <v>0</v>
      </c>
      <c r="G632" s="210">
        <f ca="1">Проект!$G$1057</f>
        <v>0</v>
      </c>
      <c r="H632" s="210">
        <f ca="1">Проект!$H$1057</f>
        <v>0</v>
      </c>
      <c r="I632" s="210">
        <f ca="1">Проект!$I$1057</f>
        <v>0</v>
      </c>
      <c r="J632" s="210">
        <f ca="1">Проект!$J$1057</f>
        <v>0</v>
      </c>
      <c r="K632" s="210" t="e">
        <f>Проект!#REF!</f>
        <v>#REF!</v>
      </c>
      <c r="L632" s="210" t="e">
        <f>Проект!#REF!</f>
        <v>#REF!</v>
      </c>
      <c r="M632" s="210" t="e">
        <f>Проект!#REF!</f>
        <v>#REF!</v>
      </c>
      <c r="N632" s="210" t="e">
        <f>Проект!#REF!</f>
        <v>#REF!</v>
      </c>
      <c r="O632" s="210" t="e">
        <f>Проект!#REF!</f>
        <v>#REF!</v>
      </c>
      <c r="P632" s="210" t="e">
        <f>Проект!#REF!</f>
        <v>#REF!</v>
      </c>
      <c r="Q632" s="210">
        <f ca="1">Проект!$K$1057</f>
        <v>0</v>
      </c>
      <c r="R632" s="372"/>
      <c r="S632" s="94">
        <f ca="1">Проект!$M$1057</f>
        <v>0</v>
      </c>
    </row>
    <row r="633" spans="1:19" hidden="1" x14ac:dyDescent="0.2">
      <c r="A633" s="130" t="str">
        <f ca="1">Проект!$A$1058</f>
        <v xml:space="preserve"> = Итого: Начисление процентов</v>
      </c>
      <c r="B633" s="48"/>
      <c r="C633" s="73" t="str">
        <f ca="1">Проект!$C$1058</f>
        <v>руб.</v>
      </c>
      <c r="D633" s="48"/>
      <c r="E633" s="48"/>
      <c r="F633" s="160">
        <f>Проект!$F$1058</f>
        <v>0</v>
      </c>
      <c r="G633" s="160">
        <f>Проект!$G$1058</f>
        <v>0</v>
      </c>
      <c r="H633" s="160">
        <f>Проект!$H$1058</f>
        <v>0</v>
      </c>
      <c r="I633" s="160">
        <f>Проект!$I$1058</f>
        <v>0</v>
      </c>
      <c r="J633" s="160">
        <f>Проект!$J$1058</f>
        <v>0</v>
      </c>
      <c r="K633" s="160" t="e">
        <f>Проект!#REF!</f>
        <v>#REF!</v>
      </c>
      <c r="L633" s="160" t="e">
        <f>Проект!#REF!</f>
        <v>#REF!</v>
      </c>
      <c r="M633" s="160" t="e">
        <f>Проект!#REF!</f>
        <v>#REF!</v>
      </c>
      <c r="N633" s="160" t="e">
        <f>Проект!#REF!</f>
        <v>#REF!</v>
      </c>
      <c r="O633" s="160" t="e">
        <f>Проект!#REF!</f>
        <v>#REF!</v>
      </c>
      <c r="P633" s="160" t="e">
        <f>Проект!#REF!</f>
        <v>#REF!</v>
      </c>
      <c r="Q633" s="160">
        <f>Проект!$K$1058</f>
        <v>0</v>
      </c>
      <c r="R633" s="372"/>
      <c r="S633" s="95">
        <f>Проект!$M$1058</f>
        <v>0</v>
      </c>
    </row>
    <row r="634" spans="1:19" hidden="1" x14ac:dyDescent="0.2">
      <c r="A634" s="52" t="str">
        <f ca="1">Проект!$A$1059</f>
        <v xml:space="preserve">    проценты по новым инвестиционным кредитам</v>
      </c>
      <c r="B634" s="48"/>
      <c r="C634" s="73" t="str">
        <f ca="1">Проект!$C$1059</f>
        <v>руб.</v>
      </c>
      <c r="D634" s="48"/>
      <c r="E634" s="48"/>
      <c r="F634" s="210">
        <f>Проект!$F$1059</f>
        <v>0</v>
      </c>
      <c r="G634" s="210">
        <f>Проект!$G$1059</f>
        <v>0</v>
      </c>
      <c r="H634" s="210">
        <f>Проект!$H$1059</f>
        <v>0</v>
      </c>
      <c r="I634" s="210">
        <f>Проект!$I$1059</f>
        <v>0</v>
      </c>
      <c r="J634" s="210">
        <f>Проект!$J$1059</f>
        <v>0</v>
      </c>
      <c r="K634" s="210" t="e">
        <f>Проект!#REF!</f>
        <v>#REF!</v>
      </c>
      <c r="L634" s="210" t="e">
        <f>Проект!#REF!</f>
        <v>#REF!</v>
      </c>
      <c r="M634" s="210" t="e">
        <f>Проект!#REF!</f>
        <v>#REF!</v>
      </c>
      <c r="N634" s="210" t="e">
        <f>Проект!#REF!</f>
        <v>#REF!</v>
      </c>
      <c r="O634" s="210" t="e">
        <f>Проект!#REF!</f>
        <v>#REF!</v>
      </c>
      <c r="P634" s="210" t="e">
        <f>Проект!#REF!</f>
        <v>#REF!</v>
      </c>
      <c r="Q634" s="210">
        <f>Проект!$K$1059</f>
        <v>0</v>
      </c>
      <c r="R634" s="372"/>
      <c r="S634" s="94">
        <f>Проект!$M$1059</f>
        <v>0</v>
      </c>
    </row>
    <row r="635" spans="1:19" ht="11.25" customHeight="1" x14ac:dyDescent="0.2">
      <c r="A635" s="130" t="str">
        <f ca="1">Проект!$A$1060</f>
        <v xml:space="preserve"> = Итого: Задолженность по кредитам</v>
      </c>
      <c r="B635" s="48"/>
      <c r="C635" s="73" t="str">
        <f ca="1">Проект!$C$1060</f>
        <v>руб.</v>
      </c>
      <c r="D635" s="101" t="str">
        <f>Проект!$D$1060</f>
        <v>int_end</v>
      </c>
      <c r="E635" s="106">
        <f>Проект!$E$1060</f>
        <v>0</v>
      </c>
      <c r="F635" s="160">
        <f>Проект!$F$1060</f>
        <v>0</v>
      </c>
      <c r="G635" s="160">
        <f>Проект!$G$1060</f>
        <v>0</v>
      </c>
      <c r="H635" s="160">
        <f>Проект!$H$1060</f>
        <v>0</v>
      </c>
      <c r="I635" s="160">
        <f>Проект!$I$1060</f>
        <v>0</v>
      </c>
      <c r="J635" s="160">
        <f>Проект!$J$1060</f>
        <v>0</v>
      </c>
      <c r="K635" s="160" t="e">
        <f>Проект!#REF!</f>
        <v>#REF!</v>
      </c>
      <c r="L635" s="160" t="e">
        <f>Проект!#REF!</f>
        <v>#REF!</v>
      </c>
      <c r="M635" s="160" t="e">
        <f>Проект!#REF!</f>
        <v>#REF!</v>
      </c>
      <c r="N635" s="160" t="e">
        <f>Проект!#REF!</f>
        <v>#REF!</v>
      </c>
      <c r="O635" s="160" t="e">
        <f>Проект!#REF!</f>
        <v>#REF!</v>
      </c>
      <c r="P635" s="160" t="e">
        <f>Проект!#REF!</f>
        <v>#REF!</v>
      </c>
      <c r="Q635" s="160">
        <f>Проект!$K$1060</f>
        <v>0</v>
      </c>
      <c r="R635" s="378">
        <f>Проект!$L$1060</f>
        <v>0</v>
      </c>
      <c r="S635" s="95"/>
    </row>
    <row r="636" spans="1:19" hidden="1" x14ac:dyDescent="0.2">
      <c r="A636" s="48" t="str">
        <f ca="1">Проект!$A$1061</f>
        <v xml:space="preserve">    задолженность по кредитам на оборотный капитал</v>
      </c>
      <c r="B636" s="48"/>
      <c r="C636" s="73" t="str">
        <f ca="1">Проект!$C$1061</f>
        <v>руб.</v>
      </c>
      <c r="D636" s="101" t="str">
        <f>Проект!$D$1061</f>
        <v>int_end</v>
      </c>
      <c r="E636" s="48"/>
      <c r="F636" s="84">
        <f>Проект!$F$1061</f>
        <v>0</v>
      </c>
      <c r="G636" s="84">
        <f>Проект!$G$1061</f>
        <v>0</v>
      </c>
      <c r="H636" s="84">
        <f>Проект!$H$1061</f>
        <v>0</v>
      </c>
      <c r="I636" s="84">
        <f>Проект!$I$1061</f>
        <v>0</v>
      </c>
      <c r="J636" s="84">
        <f>Проект!$J$1061</f>
        <v>0</v>
      </c>
      <c r="K636" s="84" t="e">
        <f>Проект!#REF!</f>
        <v>#REF!</v>
      </c>
      <c r="L636" s="84" t="e">
        <f>Проект!#REF!</f>
        <v>#REF!</v>
      </c>
      <c r="M636" s="84" t="e">
        <f>Проект!#REF!</f>
        <v>#REF!</v>
      </c>
      <c r="N636" s="84" t="e">
        <f>Проект!#REF!</f>
        <v>#REF!</v>
      </c>
      <c r="O636" s="84" t="e">
        <f>Проект!#REF!</f>
        <v>#REF!</v>
      </c>
      <c r="P636" s="84" t="e">
        <f>Проект!#REF!</f>
        <v>#REF!</v>
      </c>
      <c r="Q636" s="84">
        <f>Проект!$K$1061</f>
        <v>0</v>
      </c>
      <c r="R636" s="371">
        <f>Проект!$L$1061</f>
        <v>0</v>
      </c>
      <c r="S636" s="41"/>
    </row>
    <row r="637" spans="1:19" hidden="1" x14ac:dyDescent="0.2">
      <c r="A637" s="48" t="str">
        <f ca="1">Проект!$A$1062</f>
        <v xml:space="preserve">    задолженность по инвестиционным кредитам</v>
      </c>
      <c r="B637" s="48"/>
      <c r="C637" s="73" t="str">
        <f ca="1">Проект!$C$1062</f>
        <v>руб.</v>
      </c>
      <c r="D637" s="101" t="str">
        <f>Проект!$D$1062</f>
        <v>int_end</v>
      </c>
      <c r="E637" s="48"/>
      <c r="F637" s="106">
        <f>Проект!$F$1062</f>
        <v>0</v>
      </c>
      <c r="G637" s="106">
        <f>Проект!$G$1062</f>
        <v>0</v>
      </c>
      <c r="H637" s="106">
        <f>Проект!$H$1062</f>
        <v>0</v>
      </c>
      <c r="I637" s="106">
        <f>Проект!$I$1062</f>
        <v>0</v>
      </c>
      <c r="J637" s="106">
        <f>Проект!$J$1062</f>
        <v>0</v>
      </c>
      <c r="K637" s="106" t="e">
        <f>Проект!#REF!</f>
        <v>#REF!</v>
      </c>
      <c r="L637" s="106" t="e">
        <f>Проект!#REF!</f>
        <v>#REF!</v>
      </c>
      <c r="M637" s="106" t="e">
        <f>Проект!#REF!</f>
        <v>#REF!</v>
      </c>
      <c r="N637" s="106" t="e">
        <f>Проект!#REF!</f>
        <v>#REF!</v>
      </c>
      <c r="O637" s="106" t="e">
        <f>Проект!#REF!</f>
        <v>#REF!</v>
      </c>
      <c r="P637" s="106" t="e">
        <f>Проект!#REF!</f>
        <v>#REF!</v>
      </c>
      <c r="Q637" s="106">
        <f>Проект!$K$1062</f>
        <v>0</v>
      </c>
      <c r="R637" s="379">
        <f>Проект!$L$1062</f>
        <v>0</v>
      </c>
      <c r="S637" s="41"/>
    </row>
    <row r="638" spans="1:19" ht="11.25" customHeight="1" x14ac:dyDescent="0.2">
      <c r="A638" s="45"/>
      <c r="B638" s="45"/>
      <c r="C638" s="45"/>
      <c r="D638" s="45"/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77"/>
    </row>
    <row r="639" spans="1:19" ht="11.25" customHeight="1" x14ac:dyDescent="0.2">
      <c r="A639" s="41" t="str">
        <f ca="1">Проект!$A$1064</f>
        <v>Общий коэффициент покрытия долга</v>
      </c>
      <c r="B639" s="41"/>
      <c r="C639" s="197" t="str">
        <f ca="1">Проект!$C$1064</f>
        <v>разы</v>
      </c>
      <c r="D639" s="101" t="str">
        <f>Проект!$D$1064</f>
        <v>int_avg</v>
      </c>
      <c r="E639" s="41"/>
      <c r="F639" s="214" t="str">
        <f>Проект!$F$1064</f>
        <v>-</v>
      </c>
      <c r="G639" s="214" t="str">
        <f>Проект!$G$1064</f>
        <v>-</v>
      </c>
      <c r="H639" s="214" t="str">
        <f>Проект!$H$1064</f>
        <v>-</v>
      </c>
      <c r="I639" s="214" t="str">
        <f>Проект!$I$1064</f>
        <v>-</v>
      </c>
      <c r="J639" s="214" t="str">
        <f>Проект!$J$1064</f>
        <v>-</v>
      </c>
      <c r="K639" s="214" t="e">
        <f>Проект!#REF!</f>
        <v>#REF!</v>
      </c>
      <c r="L639" s="214" t="e">
        <f>Проект!#REF!</f>
        <v>#REF!</v>
      </c>
      <c r="M639" s="214" t="e">
        <f>Проект!#REF!</f>
        <v>#REF!</v>
      </c>
      <c r="N639" s="214" t="e">
        <f>Проект!#REF!</f>
        <v>#REF!</v>
      </c>
      <c r="O639" s="214" t="e">
        <f>Проект!#REF!</f>
        <v>#REF!</v>
      </c>
      <c r="P639" s="214" t="e">
        <f>Проект!#REF!</f>
        <v>#REF!</v>
      </c>
      <c r="Q639" s="214" t="str">
        <f>Проект!$K$1064</f>
        <v>-</v>
      </c>
      <c r="R639" s="41"/>
      <c r="S639" s="41"/>
    </row>
    <row r="640" spans="1:19" ht="11.25" customHeight="1" x14ac:dyDescent="0.2">
      <c r="A640" s="41" t="str">
        <f ca="1">Проект!$A$1065</f>
        <v>Справка: Остаток средств на счете (текущий проект)</v>
      </c>
      <c r="B640" s="41"/>
      <c r="C640" s="73" t="str">
        <f ca="1">Проект!$C$1065</f>
        <v>руб.</v>
      </c>
      <c r="D640" s="101" t="str">
        <f>Проект!$D$1065</f>
        <v>int_end</v>
      </c>
      <c r="E640" s="41"/>
      <c r="F640" s="94">
        <f ca="1">Проект!$F$1065</f>
        <v>15122083.333333332</v>
      </c>
      <c r="G640" s="94">
        <f ca="1">Проект!$G$1065</f>
        <v>81971543.333333328</v>
      </c>
      <c r="H640" s="94">
        <f ca="1">Проект!$H$1065</f>
        <v>180331403.33333331</v>
      </c>
      <c r="I640" s="94">
        <f ca="1">Проект!$I$1065</f>
        <v>271350683.33333331</v>
      </c>
      <c r="J640" s="94">
        <f ca="1">Проект!$J$1065</f>
        <v>362989183.33333331</v>
      </c>
      <c r="K640" s="94" t="e">
        <f>Проект!#REF!</f>
        <v>#REF!</v>
      </c>
      <c r="L640" s="94" t="e">
        <f>Проект!#REF!</f>
        <v>#REF!</v>
      </c>
      <c r="M640" s="94" t="e">
        <f>Проект!#REF!</f>
        <v>#REF!</v>
      </c>
      <c r="N640" s="94" t="e">
        <f>Проект!#REF!</f>
        <v>#REF!</v>
      </c>
      <c r="O640" s="94" t="e">
        <f>Проект!#REF!</f>
        <v>#REF!</v>
      </c>
      <c r="P640" s="94" t="e">
        <f>Проект!#REF!</f>
        <v>#REF!</v>
      </c>
      <c r="Q640" s="94">
        <f ca="1">Проект!$K$1065</f>
        <v>454627683.33333331</v>
      </c>
      <c r="R640" s="41"/>
      <c r="S640" s="41"/>
    </row>
    <row r="643" spans="1:7" x14ac:dyDescent="0.2">
      <c r="A643" s="22" t="str">
        <f ca="1">Language!A$1007 &amp; ", " &amp; Проект!CUR_Report</f>
        <v>График: Остаток задолженности по кредитам, руб.</v>
      </c>
      <c r="B643" s="149"/>
      <c r="C643" s="22"/>
      <c r="D643" s="22"/>
      <c r="E643" s="22"/>
      <c r="F643" s="118"/>
      <c r="G643" s="118"/>
    </row>
    <row r="644" spans="1:7" x14ac:dyDescent="0.2">
      <c r="A644" s="22"/>
      <c r="B644" s="149"/>
      <c r="C644" s="22"/>
      <c r="D644" s="22"/>
      <c r="E644" s="22"/>
      <c r="F644" s="118"/>
      <c r="G644" s="118"/>
    </row>
    <row r="645" spans="1:7" x14ac:dyDescent="0.2">
      <c r="A645" s="22"/>
      <c r="B645" s="149"/>
      <c r="C645" s="22"/>
      <c r="D645" s="22"/>
      <c r="E645" s="22"/>
      <c r="F645" s="118"/>
      <c r="G645" s="118"/>
    </row>
    <row r="646" spans="1:7" x14ac:dyDescent="0.2">
      <c r="A646" s="22"/>
      <c r="B646" s="149"/>
      <c r="C646" s="22"/>
      <c r="D646" s="22"/>
      <c r="E646" s="22"/>
      <c r="F646" s="118"/>
      <c r="G646" s="118"/>
    </row>
    <row r="647" spans="1:7" x14ac:dyDescent="0.2">
      <c r="A647" s="22"/>
      <c r="B647" s="149"/>
      <c r="C647" s="22"/>
      <c r="D647" s="22"/>
      <c r="E647" s="22"/>
      <c r="F647" s="118"/>
      <c r="G647" s="118"/>
    </row>
    <row r="648" spans="1:7" x14ac:dyDescent="0.2">
      <c r="A648" s="22"/>
      <c r="B648" s="149"/>
      <c r="C648" s="22"/>
      <c r="D648" s="22"/>
      <c r="E648" s="22"/>
      <c r="F648" s="118"/>
      <c r="G648" s="118"/>
    </row>
    <row r="649" spans="1:7" x14ac:dyDescent="0.2">
      <c r="A649" s="22"/>
      <c r="B649" s="149"/>
      <c r="C649" s="22"/>
      <c r="D649" s="22"/>
      <c r="E649" s="22"/>
      <c r="F649" s="118"/>
      <c r="G649" s="118"/>
    </row>
    <row r="650" spans="1:7" x14ac:dyDescent="0.2">
      <c r="A650" s="22"/>
      <c r="B650" s="149"/>
      <c r="C650" s="22"/>
      <c r="D650" s="22"/>
      <c r="E650" s="22"/>
      <c r="F650" s="118"/>
      <c r="G650" s="118"/>
    </row>
    <row r="651" spans="1:7" x14ac:dyDescent="0.2">
      <c r="A651" s="22"/>
      <c r="B651" s="149"/>
      <c r="C651" s="22"/>
      <c r="D651" s="22"/>
      <c r="E651" s="22"/>
      <c r="F651" s="118"/>
      <c r="G651" s="118"/>
    </row>
    <row r="652" spans="1:7" x14ac:dyDescent="0.2">
      <c r="A652" s="22"/>
      <c r="B652" s="149"/>
      <c r="C652" s="22"/>
      <c r="D652" s="22"/>
      <c r="E652" s="22"/>
      <c r="F652" s="118"/>
      <c r="G652" s="118"/>
    </row>
    <row r="653" spans="1:7" x14ac:dyDescent="0.2">
      <c r="A653" s="22"/>
      <c r="B653" s="149"/>
      <c r="C653" s="22"/>
      <c r="D653" s="22"/>
      <c r="E653" s="22"/>
      <c r="F653" s="118"/>
      <c r="G653" s="118"/>
    </row>
    <row r="654" spans="1:7" x14ac:dyDescent="0.2">
      <c r="A654" s="22"/>
      <c r="B654" s="149"/>
      <c r="C654" s="22"/>
      <c r="D654" s="22"/>
      <c r="E654" s="22"/>
      <c r="F654" s="118"/>
      <c r="G654" s="118"/>
    </row>
    <row r="655" spans="1:7" x14ac:dyDescent="0.2">
      <c r="A655" s="22"/>
      <c r="B655" s="149"/>
      <c r="C655" s="22"/>
      <c r="D655" s="22"/>
      <c r="E655" s="22"/>
      <c r="F655" s="118"/>
      <c r="G655" s="118"/>
    </row>
    <row r="656" spans="1:7" x14ac:dyDescent="0.2">
      <c r="A656" s="22"/>
      <c r="B656" s="149"/>
      <c r="C656" s="22"/>
      <c r="D656" s="22"/>
      <c r="E656" s="22"/>
      <c r="F656" s="118"/>
      <c r="G656" s="118"/>
    </row>
    <row r="657" spans="1:19" x14ac:dyDescent="0.2">
      <c r="A657" s="22"/>
      <c r="B657" s="149"/>
      <c r="C657" s="22"/>
      <c r="D657" s="22"/>
      <c r="E657" s="22"/>
      <c r="F657" s="118"/>
      <c r="G657" s="118"/>
    </row>
    <row r="658" spans="1:19" x14ac:dyDescent="0.2">
      <c r="A658" s="22"/>
      <c r="B658" s="149"/>
      <c r="C658" s="22"/>
      <c r="D658" s="22"/>
      <c r="E658" s="22"/>
      <c r="F658" s="118"/>
      <c r="G658" s="118"/>
    </row>
    <row r="659" spans="1:19" x14ac:dyDescent="0.2">
      <c r="A659" s="22"/>
      <c r="B659" s="149"/>
      <c r="C659" s="22"/>
      <c r="D659" s="22"/>
      <c r="E659" s="22"/>
      <c r="F659" s="118"/>
      <c r="G659" s="118"/>
    </row>
    <row r="660" spans="1:19" x14ac:dyDescent="0.2">
      <c r="A660" s="22"/>
      <c r="B660" s="149"/>
      <c r="C660" s="22"/>
      <c r="D660" s="22"/>
      <c r="E660" s="22"/>
      <c r="F660" s="118"/>
      <c r="G660" s="118"/>
    </row>
    <row r="661" spans="1:19" x14ac:dyDescent="0.2">
      <c r="A661" s="22"/>
      <c r="B661" s="149"/>
      <c r="C661" s="22"/>
      <c r="D661" s="22"/>
      <c r="E661" s="22"/>
      <c r="F661" s="118"/>
      <c r="G661" s="118"/>
    </row>
    <row r="662" spans="1:19" x14ac:dyDescent="0.2">
      <c r="A662" s="22"/>
      <c r="B662" s="149"/>
      <c r="C662" s="22"/>
      <c r="D662" s="22"/>
      <c r="E662" s="22"/>
      <c r="F662" s="118"/>
      <c r="G662" s="118"/>
    </row>
    <row r="663" spans="1:19" x14ac:dyDescent="0.2">
      <c r="A663" s="22"/>
      <c r="B663" s="149"/>
      <c r="C663" s="22"/>
      <c r="D663" s="22"/>
      <c r="E663" s="22"/>
      <c r="F663" s="118"/>
      <c r="G663" s="118"/>
    </row>
    <row r="664" spans="1:19" x14ac:dyDescent="0.2">
      <c r="A664" s="22"/>
      <c r="B664" s="149"/>
      <c r="C664" s="22"/>
      <c r="D664" s="22"/>
      <c r="E664" s="22"/>
      <c r="F664" s="118"/>
      <c r="G664" s="118"/>
    </row>
    <row r="665" spans="1:19" x14ac:dyDescent="0.2">
      <c r="A665" s="22"/>
      <c r="B665" s="149"/>
      <c r="C665" s="22"/>
      <c r="D665" s="22"/>
      <c r="E665" s="22"/>
      <c r="F665" s="118"/>
      <c r="G665" s="118"/>
    </row>
    <row r="666" spans="1:19" x14ac:dyDescent="0.2">
      <c r="A666" s="22"/>
      <c r="B666" s="149"/>
      <c r="C666" s="22"/>
      <c r="D666" s="22"/>
      <c r="E666" s="22"/>
      <c r="F666" s="118"/>
      <c r="G666" s="118"/>
    </row>
    <row r="669" spans="1:19" ht="15.9" customHeight="1" thickBot="1" x14ac:dyDescent="0.25">
      <c r="A669" s="166" t="str">
        <f ca="1">Проект!$A$1127</f>
        <v xml:space="preserve">         ОТЧЕТ О ПРИБЫЛЯХ И УБЫТКАХ</v>
      </c>
      <c r="B669" s="166"/>
      <c r="C669" s="166"/>
      <c r="D669" s="166"/>
      <c r="E669" s="166"/>
      <c r="F669" s="178" t="str">
        <f>Проект!$F$1127</f>
        <v>4/ 2020</v>
      </c>
      <c r="G669" s="178" t="str">
        <f>Проект!$G$1127</f>
        <v>5/ 2020</v>
      </c>
      <c r="H669" s="178" t="str">
        <f>Проект!$H$1127</f>
        <v>6/ 2020</v>
      </c>
      <c r="I669" s="178" t="str">
        <f>Проект!$I$1127</f>
        <v>7/ 2020</v>
      </c>
      <c r="J669" s="178" t="str">
        <f>Проект!$J$1127</f>
        <v>8/ 2020</v>
      </c>
      <c r="K669" s="178" t="e">
        <f>Проект!#REF!</f>
        <v>#REF!</v>
      </c>
      <c r="L669" s="178" t="e">
        <f>Проект!#REF!</f>
        <v>#REF!</v>
      </c>
      <c r="M669" s="178" t="e">
        <f>Проект!#REF!</f>
        <v>#REF!</v>
      </c>
      <c r="N669" s="178" t="e">
        <f>Проект!#REF!</f>
        <v>#REF!</v>
      </c>
      <c r="O669" s="178" t="e">
        <f>Проект!#REF!</f>
        <v>#REF!</v>
      </c>
      <c r="P669" s="178" t="e">
        <f>Проект!#REF!</f>
        <v>#REF!</v>
      </c>
      <c r="Q669" s="178" t="str">
        <f>Проект!$K$1127</f>
        <v>9/ 2020</v>
      </c>
      <c r="R669" s="166"/>
      <c r="S669" s="195" t="str">
        <f ca="1">Проект!$M$1127</f>
        <v>ИТОГО</v>
      </c>
    </row>
    <row r="670" spans="1:19" ht="12" customHeight="1" thickTop="1" x14ac:dyDescent="0.2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1"/>
    </row>
    <row r="671" spans="1:19" ht="11.25" customHeight="1" x14ac:dyDescent="0.2">
      <c r="A671" s="130" t="str">
        <f ca="1">Проект!$A$1129</f>
        <v>Выручка (нетто)</v>
      </c>
      <c r="B671" s="48"/>
      <c r="C671" s="73" t="str">
        <f ca="1">Проект!$C$1129</f>
        <v>руб.</v>
      </c>
      <c r="D671" s="48"/>
      <c r="E671" s="48"/>
      <c r="F671" s="361">
        <f>Проект!$F$1129</f>
        <v>36000000</v>
      </c>
      <c r="G671" s="361">
        <f>Проект!$G$1129</f>
        <v>84000000</v>
      </c>
      <c r="H671" s="361">
        <f>Проект!$H$1129</f>
        <v>120000000</v>
      </c>
      <c r="I671" s="361">
        <f>Проект!$I$1129</f>
        <v>120000000</v>
      </c>
      <c r="J671" s="361">
        <f>Проект!$J$1129</f>
        <v>120000000</v>
      </c>
      <c r="K671" s="361" t="e">
        <f>Проект!#REF!</f>
        <v>#REF!</v>
      </c>
      <c r="L671" s="361" t="e">
        <f>Проект!#REF!</f>
        <v>#REF!</v>
      </c>
      <c r="M671" s="361" t="e">
        <f>Проект!#REF!</f>
        <v>#REF!</v>
      </c>
      <c r="N671" s="361" t="e">
        <f>Проект!#REF!</f>
        <v>#REF!</v>
      </c>
      <c r="O671" s="361" t="e">
        <f>Проект!#REF!</f>
        <v>#REF!</v>
      </c>
      <c r="P671" s="361" t="e">
        <f>Проект!#REF!</f>
        <v>#REF!</v>
      </c>
      <c r="Q671" s="361">
        <f>Проект!$K$1129</f>
        <v>120000000</v>
      </c>
      <c r="R671" s="106"/>
      <c r="S671" s="95">
        <f>Проект!$M$1129</f>
        <v>600000000</v>
      </c>
    </row>
    <row r="672" spans="1:19" ht="11.25" customHeight="1" x14ac:dyDescent="0.2">
      <c r="A672" s="130" t="str">
        <f ca="1">Проект!$A$1130</f>
        <v>Себестоимость</v>
      </c>
      <c r="B672" s="48"/>
      <c r="C672" s="73" t="str">
        <f ca="1">Проект!$C$1130</f>
        <v>руб.</v>
      </c>
      <c r="D672" s="48"/>
      <c r="E672" s="48"/>
      <c r="F672" s="160">
        <f ca="1">Проект!$F$1130</f>
        <v>672600</v>
      </c>
      <c r="G672" s="160">
        <f ca="1">Проект!$G$1130</f>
        <v>832200</v>
      </c>
      <c r="H672" s="160">
        <f ca="1">Проект!$H$1130</f>
        <v>991800</v>
      </c>
      <c r="I672" s="160">
        <f ca="1">Проект!$I$1130</f>
        <v>1091600</v>
      </c>
      <c r="J672" s="160">
        <f ca="1">Проект!$J$1130</f>
        <v>1091600</v>
      </c>
      <c r="K672" s="160" t="e">
        <f>Проект!#REF!</f>
        <v>#REF!</v>
      </c>
      <c r="L672" s="160" t="e">
        <f>Проект!#REF!</f>
        <v>#REF!</v>
      </c>
      <c r="M672" s="160" t="e">
        <f>Проект!#REF!</f>
        <v>#REF!</v>
      </c>
      <c r="N672" s="160" t="e">
        <f>Проект!#REF!</f>
        <v>#REF!</v>
      </c>
      <c r="O672" s="160" t="e">
        <f>Проект!#REF!</f>
        <v>#REF!</v>
      </c>
      <c r="P672" s="160" t="e">
        <f>Проект!#REF!</f>
        <v>#REF!</v>
      </c>
      <c r="Q672" s="160">
        <f ca="1">Проект!$K$1130</f>
        <v>1092766.6666666667</v>
      </c>
      <c r="R672" s="106"/>
      <c r="S672" s="95">
        <f ca="1">Проект!$M$1130</f>
        <v>5772566.666666667</v>
      </c>
    </row>
    <row r="673" spans="1:19" hidden="1" x14ac:dyDescent="0.2">
      <c r="A673" s="52" t="str">
        <f ca="1">Проект!$A$1131</f>
        <v>в том числе</v>
      </c>
      <c r="B673" s="48"/>
      <c r="C673" s="48"/>
      <c r="D673" s="48"/>
      <c r="E673" s="48"/>
      <c r="F673" s="106"/>
      <c r="G673" s="106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94"/>
    </row>
    <row r="674" spans="1:19" hidden="1" x14ac:dyDescent="0.2">
      <c r="A674" s="52" t="str">
        <f ca="1">Проект!$A$1132</f>
        <v xml:space="preserve">    Сырье и материалы</v>
      </c>
      <c r="B674" s="48"/>
      <c r="C674" s="73" t="str">
        <f ca="1">Проект!$C$1132</f>
        <v>руб.</v>
      </c>
      <c r="D674" s="48"/>
      <c r="E674" s="48"/>
      <c r="F674" s="84">
        <f>Проект!$F$1132</f>
        <v>0</v>
      </c>
      <c r="G674" s="84">
        <f>Проект!$G$1132</f>
        <v>0</v>
      </c>
      <c r="H674" s="84">
        <f>Проект!$H$1132</f>
        <v>0</v>
      </c>
      <c r="I674" s="84">
        <f>Проект!$I$1132</f>
        <v>0</v>
      </c>
      <c r="J674" s="84">
        <f>Проект!$J$1132</f>
        <v>0</v>
      </c>
      <c r="K674" s="84" t="e">
        <f>Проект!#REF!</f>
        <v>#REF!</v>
      </c>
      <c r="L674" s="84" t="e">
        <f>Проект!#REF!</f>
        <v>#REF!</v>
      </c>
      <c r="M674" s="84" t="e">
        <f>Проект!#REF!</f>
        <v>#REF!</v>
      </c>
      <c r="N674" s="84" t="e">
        <f>Проект!#REF!</f>
        <v>#REF!</v>
      </c>
      <c r="O674" s="84" t="e">
        <f>Проект!#REF!</f>
        <v>#REF!</v>
      </c>
      <c r="P674" s="84" t="e">
        <f>Проект!#REF!</f>
        <v>#REF!</v>
      </c>
      <c r="Q674" s="84">
        <f>Проект!$K$1132</f>
        <v>0</v>
      </c>
      <c r="R674" s="106"/>
      <c r="S674" s="94">
        <f>Проект!$M$1132</f>
        <v>0</v>
      </c>
    </row>
    <row r="675" spans="1:19" hidden="1" x14ac:dyDescent="0.2">
      <c r="A675" s="52" t="str">
        <f ca="1">Проект!$A$1133</f>
        <v xml:space="preserve">    Прочие переменные расходы</v>
      </c>
      <c r="B675" s="48"/>
      <c r="C675" s="73" t="str">
        <f ca="1">Проект!$C$1133</f>
        <v>руб.</v>
      </c>
      <c r="D675" s="48"/>
      <c r="E675" s="48"/>
      <c r="F675" s="84">
        <f>Проект!$F$1133</f>
        <v>0</v>
      </c>
      <c r="G675" s="84">
        <f>Проект!$G$1133</f>
        <v>0</v>
      </c>
      <c r="H675" s="84">
        <f>Проект!$H$1133</f>
        <v>0</v>
      </c>
      <c r="I675" s="84">
        <f>Проект!$I$1133</f>
        <v>0</v>
      </c>
      <c r="J675" s="84">
        <f>Проект!$J$1133</f>
        <v>0</v>
      </c>
      <c r="K675" s="84" t="e">
        <f>Проект!#REF!</f>
        <v>#REF!</v>
      </c>
      <c r="L675" s="84" t="e">
        <f>Проект!#REF!</f>
        <v>#REF!</v>
      </c>
      <c r="M675" s="84" t="e">
        <f>Проект!#REF!</f>
        <v>#REF!</v>
      </c>
      <c r="N675" s="84" t="e">
        <f>Проект!#REF!</f>
        <v>#REF!</v>
      </c>
      <c r="O675" s="84" t="e">
        <f>Проект!#REF!</f>
        <v>#REF!</v>
      </c>
      <c r="P675" s="84" t="e">
        <f>Проект!#REF!</f>
        <v>#REF!</v>
      </c>
      <c r="Q675" s="84">
        <f>Проект!$K$1133</f>
        <v>0</v>
      </c>
      <c r="R675" s="106"/>
      <c r="S675" s="94">
        <f>Проект!$M$1133</f>
        <v>0</v>
      </c>
    </row>
    <row r="676" spans="1:19" hidden="1" x14ac:dyDescent="0.2">
      <c r="A676" s="52" t="str">
        <f ca="1">Проект!$A$1134</f>
        <v xml:space="preserve">    Оплата производственного персонала</v>
      </c>
      <c r="B676" s="48"/>
      <c r="C676" s="73" t="str">
        <f ca="1">Проект!$C$1134</f>
        <v>руб.</v>
      </c>
      <c r="D676" s="48"/>
      <c r="E676" s="48"/>
      <c r="F676" s="84">
        <f>Проект!$F$1134</f>
        <v>672600</v>
      </c>
      <c r="G676" s="84">
        <f>Проект!$G$1134</f>
        <v>832200</v>
      </c>
      <c r="H676" s="84">
        <f>Проект!$H$1134</f>
        <v>991800</v>
      </c>
      <c r="I676" s="84">
        <f>Проект!$I$1134</f>
        <v>1071600</v>
      </c>
      <c r="J676" s="84">
        <f>Проект!$J$1134</f>
        <v>1071600</v>
      </c>
      <c r="K676" s="84" t="e">
        <f>Проект!#REF!</f>
        <v>#REF!</v>
      </c>
      <c r="L676" s="84" t="e">
        <f>Проект!#REF!</f>
        <v>#REF!</v>
      </c>
      <c r="M676" s="84" t="e">
        <f>Проект!#REF!</f>
        <v>#REF!</v>
      </c>
      <c r="N676" s="84" t="e">
        <f>Проект!#REF!</f>
        <v>#REF!</v>
      </c>
      <c r="O676" s="84" t="e">
        <f>Проект!#REF!</f>
        <v>#REF!</v>
      </c>
      <c r="P676" s="84" t="e">
        <f>Проект!#REF!</f>
        <v>#REF!</v>
      </c>
      <c r="Q676" s="84">
        <f>Проект!$K$1134</f>
        <v>1071600</v>
      </c>
      <c r="R676" s="106"/>
      <c r="S676" s="94">
        <f>Проект!$M$1134</f>
        <v>5711400</v>
      </c>
    </row>
    <row r="677" spans="1:19" hidden="1" x14ac:dyDescent="0.2">
      <c r="A677" s="52" t="str">
        <f ca="1">Проект!$A$1135</f>
        <v xml:space="preserve">    Лизинговые платежи</v>
      </c>
      <c r="B677" s="48"/>
      <c r="C677" s="73" t="str">
        <f ca="1">Проект!$C$1135</f>
        <v>руб.</v>
      </c>
      <c r="D677" s="48"/>
      <c r="E677" s="48"/>
      <c r="F677" s="84">
        <f ca="1">Проект!$F$1135</f>
        <v>0</v>
      </c>
      <c r="G677" s="84">
        <f ca="1">Проект!$G$1135</f>
        <v>0</v>
      </c>
      <c r="H677" s="84">
        <f ca="1">Проект!$H$1135</f>
        <v>0</v>
      </c>
      <c r="I677" s="84">
        <f ca="1">Проект!$I$1135</f>
        <v>0</v>
      </c>
      <c r="J677" s="84">
        <f ca="1">Проект!$J$1135</f>
        <v>0</v>
      </c>
      <c r="K677" s="84" t="e">
        <f>Проект!#REF!</f>
        <v>#REF!</v>
      </c>
      <c r="L677" s="84" t="e">
        <f>Проект!#REF!</f>
        <v>#REF!</v>
      </c>
      <c r="M677" s="84" t="e">
        <f>Проект!#REF!</f>
        <v>#REF!</v>
      </c>
      <c r="N677" s="84" t="e">
        <f>Проект!#REF!</f>
        <v>#REF!</v>
      </c>
      <c r="O677" s="84" t="e">
        <f>Проект!#REF!</f>
        <v>#REF!</v>
      </c>
      <c r="P677" s="84" t="e">
        <f>Проект!#REF!</f>
        <v>#REF!</v>
      </c>
      <c r="Q677" s="84">
        <f ca="1">Проект!$K$1135</f>
        <v>0</v>
      </c>
      <c r="R677" s="106"/>
      <c r="S677" s="94">
        <f ca="1">Проект!$M$1135</f>
        <v>0</v>
      </c>
    </row>
    <row r="678" spans="1:19" hidden="1" x14ac:dyDescent="0.2">
      <c r="A678" s="52" t="str">
        <f ca="1">Проект!$A$1136</f>
        <v xml:space="preserve">    Прочие производственные расходы</v>
      </c>
      <c r="B678" s="48"/>
      <c r="C678" s="73" t="str">
        <f ca="1">Проект!$C$1136</f>
        <v>руб.</v>
      </c>
      <c r="D678" s="48"/>
      <c r="E678" s="48"/>
      <c r="F678" s="84">
        <f>Проект!$F$1136</f>
        <v>0</v>
      </c>
      <c r="G678" s="84">
        <f>Проект!$G$1136</f>
        <v>0</v>
      </c>
      <c r="H678" s="84">
        <f>Проект!$H$1136</f>
        <v>0</v>
      </c>
      <c r="I678" s="84">
        <f>Проект!$I$1136</f>
        <v>0</v>
      </c>
      <c r="J678" s="84">
        <f>Проект!$J$1136</f>
        <v>0</v>
      </c>
      <c r="K678" s="84" t="e">
        <f>Проект!#REF!</f>
        <v>#REF!</v>
      </c>
      <c r="L678" s="84" t="e">
        <f>Проект!#REF!</f>
        <v>#REF!</v>
      </c>
      <c r="M678" s="84" t="e">
        <f>Проект!#REF!</f>
        <v>#REF!</v>
      </c>
      <c r="N678" s="84" t="e">
        <f>Проект!#REF!</f>
        <v>#REF!</v>
      </c>
      <c r="O678" s="84" t="e">
        <f>Проект!#REF!</f>
        <v>#REF!</v>
      </c>
      <c r="P678" s="84" t="e">
        <f>Проект!#REF!</f>
        <v>#REF!</v>
      </c>
      <c r="Q678" s="84">
        <f>Проект!$K$1136</f>
        <v>0</v>
      </c>
      <c r="R678" s="106"/>
      <c r="S678" s="94">
        <f>Проект!$M$1136</f>
        <v>0</v>
      </c>
    </row>
    <row r="679" spans="1:19" hidden="1" x14ac:dyDescent="0.2">
      <c r="A679" s="48" t="str">
        <f ca="1">Проект!$A$1137</f>
        <v xml:space="preserve">    Амортизация</v>
      </c>
      <c r="B679" s="48"/>
      <c r="C679" s="73" t="str">
        <f ca="1">Проект!$C$1137</f>
        <v>руб.</v>
      </c>
      <c r="D679" s="48"/>
      <c r="E679" s="48"/>
      <c r="F679" s="84">
        <f ca="1">Проект!$F$1137</f>
        <v>0</v>
      </c>
      <c r="G679" s="84">
        <f ca="1">Проект!$G$1137</f>
        <v>0</v>
      </c>
      <c r="H679" s="84">
        <f ca="1">Проект!$H$1137</f>
        <v>0</v>
      </c>
      <c r="I679" s="84">
        <f ca="1">Проект!$I$1137</f>
        <v>20000</v>
      </c>
      <c r="J679" s="84">
        <f ca="1">Проект!$J$1137</f>
        <v>20000</v>
      </c>
      <c r="K679" s="84" t="e">
        <f>Проект!#REF!</f>
        <v>#REF!</v>
      </c>
      <c r="L679" s="84" t="e">
        <f>Проект!#REF!</f>
        <v>#REF!</v>
      </c>
      <c r="M679" s="84" t="e">
        <f>Проект!#REF!</f>
        <v>#REF!</v>
      </c>
      <c r="N679" s="84" t="e">
        <f>Проект!#REF!</f>
        <v>#REF!</v>
      </c>
      <c r="O679" s="84" t="e">
        <f>Проект!#REF!</f>
        <v>#REF!</v>
      </c>
      <c r="P679" s="84" t="e">
        <f>Проект!#REF!</f>
        <v>#REF!</v>
      </c>
      <c r="Q679" s="84">
        <f ca="1">Проект!$K$1137</f>
        <v>21166.666666666668</v>
      </c>
      <c r="R679" s="106"/>
      <c r="S679" s="94">
        <f ca="1">Проект!$M$1137</f>
        <v>61166.666666666672</v>
      </c>
    </row>
    <row r="680" spans="1:19" ht="11.25" customHeight="1" x14ac:dyDescent="0.2">
      <c r="A680" s="130" t="str">
        <f ca="1">Проект!$A$1138</f>
        <v>Валовая прибыль</v>
      </c>
      <c r="B680" s="48"/>
      <c r="C680" s="73" t="str">
        <f ca="1">Проект!$C$1138</f>
        <v>руб.</v>
      </c>
      <c r="D680" s="48"/>
      <c r="E680" s="48"/>
      <c r="F680" s="160">
        <f ca="1">Проект!$F$1138</f>
        <v>35327400</v>
      </c>
      <c r="G680" s="160">
        <f ca="1">Проект!$G$1138</f>
        <v>83167800</v>
      </c>
      <c r="H680" s="160">
        <f ca="1">Проект!$H$1138</f>
        <v>119008200</v>
      </c>
      <c r="I680" s="160">
        <f ca="1">Проект!$I$1138</f>
        <v>118908400</v>
      </c>
      <c r="J680" s="160">
        <f ca="1">Проект!$J$1138</f>
        <v>118908400</v>
      </c>
      <c r="K680" s="160" t="e">
        <f>Проект!#REF!</f>
        <v>#REF!</v>
      </c>
      <c r="L680" s="160" t="e">
        <f>Проект!#REF!</f>
        <v>#REF!</v>
      </c>
      <c r="M680" s="160" t="e">
        <f>Проект!#REF!</f>
        <v>#REF!</v>
      </c>
      <c r="N680" s="160" t="e">
        <f>Проект!#REF!</f>
        <v>#REF!</v>
      </c>
      <c r="O680" s="160" t="e">
        <f>Проект!#REF!</f>
        <v>#REF!</v>
      </c>
      <c r="P680" s="160" t="e">
        <f>Проект!#REF!</f>
        <v>#REF!</v>
      </c>
      <c r="Q680" s="160">
        <f ca="1">Проект!$K$1138</f>
        <v>118907233.33333333</v>
      </c>
      <c r="R680" s="106"/>
      <c r="S680" s="95">
        <f ca="1">Проект!$M$1138</f>
        <v>594227433.33333337</v>
      </c>
    </row>
    <row r="681" spans="1:19" ht="11.25" customHeight="1" x14ac:dyDescent="0.2">
      <c r="A681" s="52" t="str">
        <f ca="1">Проект!$A$1139</f>
        <v>Оплата административного и коммерческого персонала</v>
      </c>
      <c r="B681" s="48"/>
      <c r="C681" s="73" t="str">
        <f ca="1">Проект!$C$1139</f>
        <v>руб.</v>
      </c>
      <c r="D681" s="48"/>
      <c r="E681" s="48"/>
      <c r="F681" s="84">
        <f>Проект!$F$1139</f>
        <v>39900</v>
      </c>
      <c r="G681" s="84">
        <f>Проект!$G$1139</f>
        <v>39900</v>
      </c>
      <c r="H681" s="84">
        <f>Проект!$H$1139</f>
        <v>39900</v>
      </c>
      <c r="I681" s="84">
        <f>Проект!$I$1139</f>
        <v>39900</v>
      </c>
      <c r="J681" s="84">
        <f>Проект!$J$1139</f>
        <v>39900</v>
      </c>
      <c r="K681" s="84" t="e">
        <f>Проект!#REF!</f>
        <v>#REF!</v>
      </c>
      <c r="L681" s="84" t="e">
        <f>Проект!#REF!</f>
        <v>#REF!</v>
      </c>
      <c r="M681" s="84" t="e">
        <f>Проект!#REF!</f>
        <v>#REF!</v>
      </c>
      <c r="N681" s="84" t="e">
        <f>Проект!#REF!</f>
        <v>#REF!</v>
      </c>
      <c r="O681" s="84" t="e">
        <f>Проект!#REF!</f>
        <v>#REF!</v>
      </c>
      <c r="P681" s="84" t="e">
        <f>Проект!#REF!</f>
        <v>#REF!</v>
      </c>
      <c r="Q681" s="84">
        <f>Проект!$K$1139</f>
        <v>39900</v>
      </c>
      <c r="R681" s="106"/>
      <c r="S681" s="94">
        <f>Проект!$M$1139</f>
        <v>239400</v>
      </c>
    </row>
    <row r="682" spans="1:19" ht="11.25" customHeight="1" x14ac:dyDescent="0.2">
      <c r="A682" s="52" t="str">
        <f ca="1">Проект!$A$1140</f>
        <v>Административные расходы</v>
      </c>
      <c r="B682" s="48"/>
      <c r="C682" s="73" t="str">
        <f ca="1">Проект!$C$1140</f>
        <v>руб.</v>
      </c>
      <c r="D682" s="48"/>
      <c r="E682" s="48"/>
      <c r="F682" s="84">
        <f>Проект!$F$1140</f>
        <v>0</v>
      </c>
      <c r="G682" s="84">
        <f>Проект!$G$1140</f>
        <v>0</v>
      </c>
      <c r="H682" s="84">
        <f>Проект!$H$1140</f>
        <v>0</v>
      </c>
      <c r="I682" s="84">
        <f>Проект!$I$1140</f>
        <v>0</v>
      </c>
      <c r="J682" s="84">
        <f>Проект!$J$1140</f>
        <v>0</v>
      </c>
      <c r="K682" s="84" t="e">
        <f>Проект!#REF!</f>
        <v>#REF!</v>
      </c>
      <c r="L682" s="84" t="e">
        <f>Проект!#REF!</f>
        <v>#REF!</v>
      </c>
      <c r="M682" s="84" t="e">
        <f>Проект!#REF!</f>
        <v>#REF!</v>
      </c>
      <c r="N682" s="84" t="e">
        <f>Проект!#REF!</f>
        <v>#REF!</v>
      </c>
      <c r="O682" s="84" t="e">
        <f>Проект!#REF!</f>
        <v>#REF!</v>
      </c>
      <c r="P682" s="84" t="e">
        <f>Проект!#REF!</f>
        <v>#REF!</v>
      </c>
      <c r="Q682" s="84">
        <f>Проект!$K$1140</f>
        <v>0</v>
      </c>
      <c r="R682" s="106"/>
      <c r="S682" s="94">
        <f>Проект!$M$1140</f>
        <v>0</v>
      </c>
    </row>
    <row r="683" spans="1:19" ht="11.25" customHeight="1" x14ac:dyDescent="0.2">
      <c r="A683" s="52" t="str">
        <f ca="1">Проект!$A$1141</f>
        <v>Коммерческие расходы</v>
      </c>
      <c r="B683" s="48"/>
      <c r="C683" s="73" t="str">
        <f ca="1">Проект!$C$1141</f>
        <v>руб.</v>
      </c>
      <c r="D683" s="48"/>
      <c r="E683" s="48"/>
      <c r="F683" s="84">
        <f>Проект!$F$1141</f>
        <v>20000000</v>
      </c>
      <c r="G683" s="84">
        <f>Проект!$G$1141</f>
        <v>20000000</v>
      </c>
      <c r="H683" s="84">
        <f>Проект!$H$1141</f>
        <v>20000000</v>
      </c>
      <c r="I683" s="84">
        <f>Проект!$I$1141</f>
        <v>20000000</v>
      </c>
      <c r="J683" s="84">
        <f>Проект!$J$1141</f>
        <v>20000000</v>
      </c>
      <c r="K683" s="84" t="e">
        <f>Проект!#REF!</f>
        <v>#REF!</v>
      </c>
      <c r="L683" s="84" t="e">
        <f>Проект!#REF!</f>
        <v>#REF!</v>
      </c>
      <c r="M683" s="84" t="e">
        <f>Проект!#REF!</f>
        <v>#REF!</v>
      </c>
      <c r="N683" s="84" t="e">
        <f>Проект!#REF!</f>
        <v>#REF!</v>
      </c>
      <c r="O683" s="84" t="e">
        <f>Проект!#REF!</f>
        <v>#REF!</v>
      </c>
      <c r="P683" s="84" t="e">
        <f>Проект!#REF!</f>
        <v>#REF!</v>
      </c>
      <c r="Q683" s="84">
        <f>Проект!$K$1141</f>
        <v>20000000</v>
      </c>
      <c r="R683" s="106"/>
      <c r="S683" s="94">
        <f>Проект!$M$1141</f>
        <v>120000000</v>
      </c>
    </row>
    <row r="684" spans="1:19" ht="11.25" customHeight="1" x14ac:dyDescent="0.2">
      <c r="A684" s="48" t="str">
        <f ca="1">Проект!$A$1142</f>
        <v>Проценты</v>
      </c>
      <c r="B684" s="48"/>
      <c r="C684" s="73" t="str">
        <f ca="1">Проект!$C$1142</f>
        <v>руб.</v>
      </c>
      <c r="D684" s="48"/>
      <c r="E684" s="48"/>
      <c r="F684" s="84">
        <f ca="1">Проект!$F$1142</f>
        <v>0</v>
      </c>
      <c r="G684" s="84">
        <f ca="1">Проект!$G$1142</f>
        <v>0</v>
      </c>
      <c r="H684" s="84">
        <f ca="1">Проект!$H$1142</f>
        <v>0</v>
      </c>
      <c r="I684" s="84">
        <f ca="1">Проект!$I$1142</f>
        <v>0</v>
      </c>
      <c r="J684" s="84">
        <f ca="1">Проект!$J$1142</f>
        <v>0</v>
      </c>
      <c r="K684" s="84" t="e">
        <f>Проект!#REF!</f>
        <v>#REF!</v>
      </c>
      <c r="L684" s="84" t="e">
        <f>Проект!#REF!</f>
        <v>#REF!</v>
      </c>
      <c r="M684" s="84" t="e">
        <f>Проект!#REF!</f>
        <v>#REF!</v>
      </c>
      <c r="N684" s="84" t="e">
        <f>Проект!#REF!</f>
        <v>#REF!</v>
      </c>
      <c r="O684" s="84" t="e">
        <f>Проект!#REF!</f>
        <v>#REF!</v>
      </c>
      <c r="P684" s="84" t="e">
        <f>Проект!#REF!</f>
        <v>#REF!</v>
      </c>
      <c r="Q684" s="84">
        <f ca="1">Проект!$K$1142</f>
        <v>0</v>
      </c>
      <c r="R684" s="106"/>
      <c r="S684" s="94">
        <f ca="1">Проект!$M$1142</f>
        <v>0</v>
      </c>
    </row>
    <row r="685" spans="1:19" ht="11.25" customHeight="1" x14ac:dyDescent="0.2">
      <c r="A685" s="48" t="str">
        <f ca="1">Проект!$A$1143</f>
        <v>Прибыль / убыток от строительной деятельности</v>
      </c>
      <c r="B685" s="48"/>
      <c r="C685" s="73" t="str">
        <f ca="1">Проект!$C$1143</f>
        <v>руб.</v>
      </c>
      <c r="D685" s="48"/>
      <c r="E685" s="48"/>
      <c r="F685" s="84">
        <f>Проект!$F$1143</f>
        <v>0</v>
      </c>
      <c r="G685" s="84">
        <f>Проект!$G$1143</f>
        <v>0</v>
      </c>
      <c r="H685" s="84">
        <f>Проект!$H$1143</f>
        <v>0</v>
      </c>
      <c r="I685" s="84">
        <f>Проект!$I$1143</f>
        <v>0</v>
      </c>
      <c r="J685" s="84">
        <f>Проект!$J$1143</f>
        <v>0</v>
      </c>
      <c r="K685" s="84" t="e">
        <f>Проект!#REF!</f>
        <v>#REF!</v>
      </c>
      <c r="L685" s="84" t="e">
        <f>Проект!#REF!</f>
        <v>#REF!</v>
      </c>
      <c r="M685" s="84" t="e">
        <f>Проект!#REF!</f>
        <v>#REF!</v>
      </c>
      <c r="N685" s="84" t="e">
        <f>Проект!#REF!</f>
        <v>#REF!</v>
      </c>
      <c r="O685" s="84" t="e">
        <f>Проект!#REF!</f>
        <v>#REF!</v>
      </c>
      <c r="P685" s="84" t="e">
        <f>Проект!#REF!</f>
        <v>#REF!</v>
      </c>
      <c r="Q685" s="84">
        <f>Проект!$K$1143</f>
        <v>0</v>
      </c>
      <c r="R685" s="106"/>
      <c r="S685" s="94">
        <f>Проект!$M$1143</f>
        <v>0</v>
      </c>
    </row>
    <row r="686" spans="1:19" ht="11.25" customHeight="1" x14ac:dyDescent="0.2">
      <c r="A686" s="52" t="str">
        <f ca="1">Проект!$A$1144</f>
        <v>Налоги, кроме налога на прибыль</v>
      </c>
      <c r="B686" s="48"/>
      <c r="C686" s="73" t="str">
        <f ca="1">Проект!$C$1144</f>
        <v>руб.</v>
      </c>
      <c r="D686" s="48"/>
      <c r="E686" s="48"/>
      <c r="F686" s="84">
        <f ca="1">Проект!$F$1144</f>
        <v>0</v>
      </c>
      <c r="G686" s="84">
        <f ca="1">Проект!$G$1144</f>
        <v>0</v>
      </c>
      <c r="H686" s="84">
        <f ca="1">Проект!$H$1144</f>
        <v>0</v>
      </c>
      <c r="I686" s="84">
        <f ca="1">Проект!$I$1144</f>
        <v>0</v>
      </c>
      <c r="J686" s="84">
        <f ca="1">Проект!$J$1144</f>
        <v>0</v>
      </c>
      <c r="K686" s="84" t="e">
        <f>Проект!#REF!</f>
        <v>#REF!</v>
      </c>
      <c r="L686" s="84" t="e">
        <f>Проект!#REF!</f>
        <v>#REF!</v>
      </c>
      <c r="M686" s="84" t="e">
        <f>Проект!#REF!</f>
        <v>#REF!</v>
      </c>
      <c r="N686" s="84" t="e">
        <f>Проект!#REF!</f>
        <v>#REF!</v>
      </c>
      <c r="O686" s="84" t="e">
        <f>Проект!#REF!</f>
        <v>#REF!</v>
      </c>
      <c r="P686" s="84" t="e">
        <f>Проект!#REF!</f>
        <v>#REF!</v>
      </c>
      <c r="Q686" s="84">
        <f ca="1">Проект!$K$1144</f>
        <v>0</v>
      </c>
      <c r="R686" s="106"/>
      <c r="S686" s="94">
        <f ca="1">Проект!$M$1144</f>
        <v>0</v>
      </c>
    </row>
    <row r="687" spans="1:19" ht="11.25" customHeight="1" x14ac:dyDescent="0.2">
      <c r="A687" s="130" t="str">
        <f ca="1">Проект!$A$1145</f>
        <v>Прибыль (убыток) от операционной деятельности</v>
      </c>
      <c r="B687" s="48"/>
      <c r="C687" s="73" t="str">
        <f ca="1">Проект!$C$1145</f>
        <v>руб.</v>
      </c>
      <c r="D687" s="48"/>
      <c r="E687" s="48"/>
      <c r="F687" s="160">
        <f ca="1">Проект!$F$1145</f>
        <v>15287500</v>
      </c>
      <c r="G687" s="160">
        <f ca="1">Проект!$G$1145</f>
        <v>63127900</v>
      </c>
      <c r="H687" s="160">
        <f ca="1">Проект!$H$1145</f>
        <v>98968300</v>
      </c>
      <c r="I687" s="160">
        <f ca="1">Проект!$I$1145</f>
        <v>98868500</v>
      </c>
      <c r="J687" s="160">
        <f ca="1">Проект!$J$1145</f>
        <v>98868500</v>
      </c>
      <c r="K687" s="160" t="e">
        <f>Проект!#REF!</f>
        <v>#REF!</v>
      </c>
      <c r="L687" s="160" t="e">
        <f>Проект!#REF!</f>
        <v>#REF!</v>
      </c>
      <c r="M687" s="160" t="e">
        <f>Проект!#REF!</f>
        <v>#REF!</v>
      </c>
      <c r="N687" s="160" t="e">
        <f>Проект!#REF!</f>
        <v>#REF!</v>
      </c>
      <c r="O687" s="160" t="e">
        <f>Проект!#REF!</f>
        <v>#REF!</v>
      </c>
      <c r="P687" s="160" t="e">
        <f>Проект!#REF!</f>
        <v>#REF!</v>
      </c>
      <c r="Q687" s="160">
        <f ca="1">Проект!$K$1145</f>
        <v>98867333.333333328</v>
      </c>
      <c r="R687" s="106"/>
      <c r="S687" s="95">
        <f ca="1">Проект!$M$1145</f>
        <v>473988033.33333331</v>
      </c>
    </row>
    <row r="688" spans="1:19" ht="11.25" customHeight="1" x14ac:dyDescent="0.2">
      <c r="A688" s="48" t="str">
        <f ca="1">Проект!$A$1146</f>
        <v>Прибыль / убыток от реализации внеоборотных активов</v>
      </c>
      <c r="B688" s="48"/>
      <c r="C688" s="73" t="str">
        <f ca="1">Проект!$C$1146</f>
        <v>руб.</v>
      </c>
      <c r="D688" s="48"/>
      <c r="E688" s="48"/>
      <c r="F688" s="84">
        <f>Проект!$F$1146</f>
        <v>0</v>
      </c>
      <c r="G688" s="84">
        <f>Проект!$G$1146</f>
        <v>0</v>
      </c>
      <c r="H688" s="84">
        <f>Проект!$H$1146</f>
        <v>0</v>
      </c>
      <c r="I688" s="84">
        <f>Проект!$I$1146</f>
        <v>0</v>
      </c>
      <c r="J688" s="84">
        <f>Проект!$J$1146</f>
        <v>0</v>
      </c>
      <c r="K688" s="84" t="e">
        <f>Проект!#REF!</f>
        <v>#REF!</v>
      </c>
      <c r="L688" s="84" t="e">
        <f>Проект!#REF!</f>
        <v>#REF!</v>
      </c>
      <c r="M688" s="84" t="e">
        <f>Проект!#REF!</f>
        <v>#REF!</v>
      </c>
      <c r="N688" s="84" t="e">
        <f>Проект!#REF!</f>
        <v>#REF!</v>
      </c>
      <c r="O688" s="84" t="e">
        <f>Проект!#REF!</f>
        <v>#REF!</v>
      </c>
      <c r="P688" s="84" t="e">
        <f>Проект!#REF!</f>
        <v>#REF!</v>
      </c>
      <c r="Q688" s="84">
        <f>Проект!$K$1146</f>
        <v>0</v>
      </c>
      <c r="R688" s="106"/>
      <c r="S688" s="94">
        <f>Проект!$M$1146</f>
        <v>0</v>
      </c>
    </row>
    <row r="689" spans="1:19" ht="11.25" customHeight="1" x14ac:dyDescent="0.2">
      <c r="A689" s="48" t="str">
        <f ca="1">Проект!$A$1147</f>
        <v>Курсовые разницы</v>
      </c>
      <c r="B689" s="48"/>
      <c r="C689" s="73" t="str">
        <f ca="1">Проект!$C$1147</f>
        <v>руб.</v>
      </c>
      <c r="D689" s="48"/>
      <c r="E689" s="48"/>
      <c r="F689" s="84">
        <f>Проект!$F$1147</f>
        <v>0</v>
      </c>
      <c r="G689" s="84">
        <f>Проект!$G$1147</f>
        <v>0</v>
      </c>
      <c r="H689" s="84">
        <f>Проект!$H$1147</f>
        <v>0</v>
      </c>
      <c r="I689" s="84">
        <f>Проект!$I$1147</f>
        <v>0</v>
      </c>
      <c r="J689" s="84">
        <f>Проект!$J$1147</f>
        <v>0</v>
      </c>
      <c r="K689" s="84" t="e">
        <f>Проект!#REF!</f>
        <v>#REF!</v>
      </c>
      <c r="L689" s="84" t="e">
        <f>Проект!#REF!</f>
        <v>#REF!</v>
      </c>
      <c r="M689" s="84" t="e">
        <f>Проект!#REF!</f>
        <v>#REF!</v>
      </c>
      <c r="N689" s="84" t="e">
        <f>Проект!#REF!</f>
        <v>#REF!</v>
      </c>
      <c r="O689" s="84" t="e">
        <f>Проект!#REF!</f>
        <v>#REF!</v>
      </c>
      <c r="P689" s="84" t="e">
        <f>Проект!#REF!</f>
        <v>#REF!</v>
      </c>
      <c r="Q689" s="84">
        <f>Проект!$K$1147</f>
        <v>0</v>
      </c>
      <c r="R689" s="106"/>
      <c r="S689" s="94">
        <f>Проект!$M$1147</f>
        <v>0</v>
      </c>
    </row>
    <row r="690" spans="1:19" ht="11.25" customHeight="1" x14ac:dyDescent="0.2">
      <c r="A690" s="48" t="str">
        <f ca="1">Проект!$A$1148</f>
        <v>Прочие доходы</v>
      </c>
      <c r="B690" s="48"/>
      <c r="C690" s="73" t="str">
        <f ca="1">Проект!$C$1148</f>
        <v>руб.</v>
      </c>
      <c r="D690" s="48"/>
      <c r="E690" s="48"/>
      <c r="F690" s="106">
        <f ca="1">Проект!$F$1148</f>
        <v>0</v>
      </c>
      <c r="G690" s="106">
        <f ca="1">Проект!$G$1148</f>
        <v>0</v>
      </c>
      <c r="H690" s="106">
        <f ca="1">Проект!$H$1148</f>
        <v>0</v>
      </c>
      <c r="I690" s="106">
        <f ca="1">Проект!$I$1148</f>
        <v>0</v>
      </c>
      <c r="J690" s="106">
        <f ca="1">Проект!$J$1148</f>
        <v>0</v>
      </c>
      <c r="K690" s="106" t="e">
        <f>Проект!#REF!</f>
        <v>#REF!</v>
      </c>
      <c r="L690" s="106" t="e">
        <f>Проект!#REF!</f>
        <v>#REF!</v>
      </c>
      <c r="M690" s="106" t="e">
        <f>Проект!#REF!</f>
        <v>#REF!</v>
      </c>
      <c r="N690" s="106" t="e">
        <f>Проект!#REF!</f>
        <v>#REF!</v>
      </c>
      <c r="O690" s="106" t="e">
        <f>Проект!#REF!</f>
        <v>#REF!</v>
      </c>
      <c r="P690" s="106" t="e">
        <f>Проект!#REF!</f>
        <v>#REF!</v>
      </c>
      <c r="Q690" s="106">
        <f ca="1">Проект!$K$1148</f>
        <v>0</v>
      </c>
      <c r="R690" s="106"/>
      <c r="S690" s="94">
        <f ca="1">Проект!$M$1148</f>
        <v>0</v>
      </c>
    </row>
    <row r="691" spans="1:19" ht="11.25" customHeight="1" x14ac:dyDescent="0.2">
      <c r="A691" s="48" t="str">
        <f ca="1">Проект!$A$1149</f>
        <v>Прочие расходы</v>
      </c>
      <c r="B691" s="48"/>
      <c r="C691" s="73" t="str">
        <f ca="1">Проект!$C$1149</f>
        <v>руб.</v>
      </c>
      <c r="D691" s="48"/>
      <c r="E691" s="48"/>
      <c r="F691" s="106">
        <f>Проект!$F$1149</f>
        <v>0</v>
      </c>
      <c r="G691" s="106">
        <f>Проект!$G$1149</f>
        <v>0</v>
      </c>
      <c r="H691" s="106">
        <f>Проект!$H$1149</f>
        <v>0</v>
      </c>
      <c r="I691" s="106">
        <f>Проект!$I$1149</f>
        <v>0</v>
      </c>
      <c r="J691" s="106">
        <f>Проект!$J$1149</f>
        <v>0</v>
      </c>
      <c r="K691" s="106" t="e">
        <f>Проект!#REF!</f>
        <v>#REF!</v>
      </c>
      <c r="L691" s="106" t="e">
        <f>Проект!#REF!</f>
        <v>#REF!</v>
      </c>
      <c r="M691" s="106" t="e">
        <f>Проект!#REF!</f>
        <v>#REF!</v>
      </c>
      <c r="N691" s="106" t="e">
        <f>Проект!#REF!</f>
        <v>#REF!</v>
      </c>
      <c r="O691" s="106" t="e">
        <f>Проект!#REF!</f>
        <v>#REF!</v>
      </c>
      <c r="P691" s="106" t="e">
        <f>Проект!#REF!</f>
        <v>#REF!</v>
      </c>
      <c r="Q691" s="106">
        <f>Проект!$K$1149</f>
        <v>0</v>
      </c>
      <c r="R691" s="106"/>
      <c r="S691" s="94">
        <f>Проект!$M$1149</f>
        <v>0</v>
      </c>
    </row>
    <row r="692" spans="1:19" ht="11.25" customHeight="1" x14ac:dyDescent="0.2">
      <c r="A692" s="130" t="str">
        <f ca="1">Проект!$A$1150</f>
        <v>Прибыль до налогообложения</v>
      </c>
      <c r="B692" s="48"/>
      <c r="C692" s="73" t="str">
        <f ca="1">Проект!$C$1150</f>
        <v>руб.</v>
      </c>
      <c r="D692" s="48"/>
      <c r="E692" s="48"/>
      <c r="F692" s="160">
        <f ca="1">Проект!$F$1150</f>
        <v>15287500</v>
      </c>
      <c r="G692" s="160">
        <f ca="1">Проект!$G$1150</f>
        <v>63127900</v>
      </c>
      <c r="H692" s="160">
        <f ca="1">Проект!$H$1150</f>
        <v>98968300</v>
      </c>
      <c r="I692" s="160">
        <f ca="1">Проект!$I$1150</f>
        <v>98868500</v>
      </c>
      <c r="J692" s="160">
        <f ca="1">Проект!$J$1150</f>
        <v>98868500</v>
      </c>
      <c r="K692" s="160" t="e">
        <f>Проект!#REF!</f>
        <v>#REF!</v>
      </c>
      <c r="L692" s="160" t="e">
        <f>Проект!#REF!</f>
        <v>#REF!</v>
      </c>
      <c r="M692" s="160" t="e">
        <f>Проект!#REF!</f>
        <v>#REF!</v>
      </c>
      <c r="N692" s="160" t="e">
        <f>Проект!#REF!</f>
        <v>#REF!</v>
      </c>
      <c r="O692" s="160" t="e">
        <f>Проект!#REF!</f>
        <v>#REF!</v>
      </c>
      <c r="P692" s="160" t="e">
        <f>Проект!#REF!</f>
        <v>#REF!</v>
      </c>
      <c r="Q692" s="160">
        <f ca="1">Проект!$K$1150</f>
        <v>98867333.333333328</v>
      </c>
      <c r="R692" s="106"/>
      <c r="S692" s="95">
        <f ca="1">Проект!$M$1150</f>
        <v>473988033.33333331</v>
      </c>
    </row>
    <row r="693" spans="1:19" ht="11.25" customHeight="1" x14ac:dyDescent="0.2">
      <c r="A693" s="48" t="str">
        <f ca="1">Проект!$A$1151</f>
        <v>Налог на прибыль</v>
      </c>
      <c r="B693" s="48"/>
      <c r="C693" s="73" t="str">
        <f ca="1">Проект!$C$1151</f>
        <v>руб.</v>
      </c>
      <c r="D693" s="48"/>
      <c r="E693" s="48"/>
      <c r="F693" s="84">
        <f ca="1">Проект!$F$1151</f>
        <v>2160000</v>
      </c>
      <c r="G693" s="84">
        <f ca="1">Проект!$G$1151</f>
        <v>5040000</v>
      </c>
      <c r="H693" s="84">
        <f ca="1">Проект!$H$1151</f>
        <v>7200000</v>
      </c>
      <c r="I693" s="84">
        <f ca="1">Проект!$I$1151</f>
        <v>7200000</v>
      </c>
      <c r="J693" s="84">
        <f ca="1">Проект!$J$1151</f>
        <v>7200000</v>
      </c>
      <c r="K693" s="84" t="e">
        <f>Проект!#REF!</f>
        <v>#REF!</v>
      </c>
      <c r="L693" s="84" t="e">
        <f>Проект!#REF!</f>
        <v>#REF!</v>
      </c>
      <c r="M693" s="84" t="e">
        <f>Проект!#REF!</f>
        <v>#REF!</v>
      </c>
      <c r="N693" s="84" t="e">
        <f>Проект!#REF!</f>
        <v>#REF!</v>
      </c>
      <c r="O693" s="84" t="e">
        <f>Проект!#REF!</f>
        <v>#REF!</v>
      </c>
      <c r="P693" s="84" t="e">
        <f>Проект!#REF!</f>
        <v>#REF!</v>
      </c>
      <c r="Q693" s="84">
        <f ca="1">Проект!$K$1151</f>
        <v>7200000</v>
      </c>
      <c r="R693" s="106"/>
      <c r="S693" s="94">
        <f ca="1">Проект!$M$1151</f>
        <v>36000000</v>
      </c>
    </row>
    <row r="694" spans="1:19" ht="11.25" customHeight="1" x14ac:dyDescent="0.2">
      <c r="A694" s="130" t="str">
        <f ca="1">Проект!$A$1152</f>
        <v>Чистая прибыль (убыток)</v>
      </c>
      <c r="B694" s="48"/>
      <c r="C694" s="73" t="str">
        <f ca="1">Проект!$C$1152</f>
        <v>руб.</v>
      </c>
      <c r="D694" s="48"/>
      <c r="E694" s="48"/>
      <c r="F694" s="160">
        <f ca="1">Проект!$F$1152</f>
        <v>13127500</v>
      </c>
      <c r="G694" s="160">
        <f ca="1">Проект!$G$1152</f>
        <v>58087900</v>
      </c>
      <c r="H694" s="160">
        <f ca="1">Проект!$H$1152</f>
        <v>91768300</v>
      </c>
      <c r="I694" s="160">
        <f ca="1">Проект!$I$1152</f>
        <v>91668500</v>
      </c>
      <c r="J694" s="160">
        <f ca="1">Проект!$J$1152</f>
        <v>91668500</v>
      </c>
      <c r="K694" s="160" t="e">
        <f>Проект!#REF!</f>
        <v>#REF!</v>
      </c>
      <c r="L694" s="160" t="e">
        <f>Проект!#REF!</f>
        <v>#REF!</v>
      </c>
      <c r="M694" s="160" t="e">
        <f>Проект!#REF!</f>
        <v>#REF!</v>
      </c>
      <c r="N694" s="160" t="e">
        <f>Проект!#REF!</f>
        <v>#REF!</v>
      </c>
      <c r="O694" s="160" t="e">
        <f>Проект!#REF!</f>
        <v>#REF!</v>
      </c>
      <c r="P694" s="160" t="e">
        <f>Проект!#REF!</f>
        <v>#REF!</v>
      </c>
      <c r="Q694" s="160">
        <f ca="1">Проект!$K$1152</f>
        <v>91667333.333333328</v>
      </c>
      <c r="R694" s="106"/>
      <c r="S694" s="95">
        <f ca="1">Проект!$M$1152</f>
        <v>437988033.33333331</v>
      </c>
    </row>
    <row r="697" spans="1:19" x14ac:dyDescent="0.2">
      <c r="A697" s="22" t="str">
        <f ca="1">Language!A$730 &amp; ", " &amp; Проект!CUR_Report</f>
        <v>График: Выручка, руб.</v>
      </c>
      <c r="B697" s="19"/>
      <c r="C697" s="19"/>
      <c r="D697" s="19"/>
      <c r="E697" s="19"/>
      <c r="F697" s="19"/>
      <c r="G697" s="19"/>
    </row>
    <row r="698" spans="1:19" x14ac:dyDescent="0.2">
      <c r="A698" s="19"/>
      <c r="B698" s="19"/>
      <c r="C698" s="19"/>
      <c r="D698" s="19"/>
      <c r="E698" s="19"/>
      <c r="F698" s="19"/>
      <c r="G698" s="19"/>
    </row>
    <row r="699" spans="1:19" x14ac:dyDescent="0.2">
      <c r="A699" s="19"/>
      <c r="B699" s="19"/>
      <c r="C699" s="19"/>
      <c r="D699" s="19"/>
      <c r="E699" s="19"/>
      <c r="F699" s="19"/>
      <c r="G699" s="19"/>
    </row>
    <row r="700" spans="1:19" x14ac:dyDescent="0.2">
      <c r="A700" s="19"/>
      <c r="B700" s="19"/>
      <c r="C700" s="19"/>
      <c r="D700" s="19"/>
      <c r="E700" s="19"/>
      <c r="F700" s="19"/>
      <c r="G700" s="19"/>
    </row>
    <row r="701" spans="1:19" x14ac:dyDescent="0.2">
      <c r="A701" s="19"/>
      <c r="B701" s="19"/>
      <c r="C701" s="19"/>
      <c r="D701" s="19"/>
      <c r="E701" s="19"/>
      <c r="F701" s="19"/>
      <c r="G701" s="19"/>
    </row>
    <row r="702" spans="1:19" x14ac:dyDescent="0.2">
      <c r="A702" s="19"/>
      <c r="B702" s="19"/>
      <c r="C702" s="19"/>
      <c r="D702" s="19"/>
      <c r="E702" s="19"/>
      <c r="F702" s="19"/>
      <c r="G702" s="19"/>
    </row>
    <row r="703" spans="1:19" x14ac:dyDescent="0.2">
      <c r="A703" s="19"/>
      <c r="B703" s="19"/>
      <c r="C703" s="19"/>
      <c r="D703" s="19"/>
      <c r="E703" s="19"/>
      <c r="F703" s="19"/>
      <c r="G703" s="19"/>
    </row>
    <row r="704" spans="1:19" x14ac:dyDescent="0.2">
      <c r="A704" s="19"/>
      <c r="B704" s="19"/>
      <c r="C704" s="19"/>
      <c r="D704" s="19"/>
      <c r="E704" s="19"/>
      <c r="F704" s="19"/>
      <c r="G704" s="19"/>
    </row>
    <row r="705" spans="1:7" x14ac:dyDescent="0.2">
      <c r="A705" s="19"/>
      <c r="B705" s="19"/>
      <c r="C705" s="19"/>
      <c r="D705" s="19"/>
      <c r="E705" s="19"/>
      <c r="F705" s="19"/>
      <c r="G705" s="19"/>
    </row>
    <row r="706" spans="1:7" x14ac:dyDescent="0.2">
      <c r="A706" s="19"/>
      <c r="B706" s="19"/>
      <c r="C706" s="19"/>
      <c r="D706" s="19"/>
      <c r="E706" s="19"/>
      <c r="F706" s="19"/>
      <c r="G706" s="19"/>
    </row>
    <row r="707" spans="1:7" x14ac:dyDescent="0.2">
      <c r="A707" s="19"/>
      <c r="B707" s="19"/>
      <c r="C707" s="19"/>
      <c r="D707" s="19"/>
      <c r="E707" s="19"/>
      <c r="F707" s="19"/>
      <c r="G707" s="19"/>
    </row>
    <row r="708" spans="1:7" x14ac:dyDescent="0.2">
      <c r="A708" s="19"/>
      <c r="B708" s="19"/>
      <c r="C708" s="19"/>
      <c r="D708" s="19"/>
      <c r="E708" s="19"/>
      <c r="F708" s="19"/>
      <c r="G708" s="19"/>
    </row>
    <row r="709" spans="1:7" x14ac:dyDescent="0.2">
      <c r="A709" s="19"/>
      <c r="B709" s="19"/>
      <c r="C709" s="19"/>
      <c r="D709" s="19"/>
      <c r="E709" s="19"/>
      <c r="F709" s="19"/>
      <c r="G709" s="19"/>
    </row>
    <row r="710" spans="1:7" x14ac:dyDescent="0.2">
      <c r="A710" s="19"/>
      <c r="B710" s="19"/>
      <c r="C710" s="19"/>
      <c r="D710" s="19"/>
      <c r="E710" s="19"/>
      <c r="F710" s="19"/>
      <c r="G710" s="19"/>
    </row>
    <row r="711" spans="1:7" x14ac:dyDescent="0.2">
      <c r="A711" s="19"/>
      <c r="B711" s="19"/>
      <c r="C711" s="19"/>
      <c r="D711" s="19"/>
      <c r="E711" s="19"/>
      <c r="F711" s="19"/>
      <c r="G711" s="19"/>
    </row>
    <row r="712" spans="1:7" x14ac:dyDescent="0.2">
      <c r="A712" s="19"/>
      <c r="B712" s="19"/>
      <c r="C712" s="19"/>
      <c r="D712" s="19"/>
      <c r="E712" s="19"/>
      <c r="F712" s="19"/>
      <c r="G712" s="19"/>
    </row>
    <row r="713" spans="1:7" x14ac:dyDescent="0.2">
      <c r="A713" s="19"/>
      <c r="B713" s="19"/>
      <c r="C713" s="19"/>
      <c r="D713" s="19"/>
      <c r="E713" s="19"/>
      <c r="F713" s="19"/>
      <c r="G713" s="19"/>
    </row>
    <row r="714" spans="1:7" x14ac:dyDescent="0.2">
      <c r="A714" s="19"/>
      <c r="B714" s="19"/>
      <c r="C714" s="19"/>
      <c r="D714" s="19"/>
      <c r="E714" s="19"/>
      <c r="F714" s="19"/>
      <c r="G714" s="19"/>
    </row>
    <row r="715" spans="1:7" x14ac:dyDescent="0.2">
      <c r="A715" s="19"/>
      <c r="B715" s="19"/>
      <c r="C715" s="19"/>
      <c r="D715" s="19"/>
      <c r="E715" s="19"/>
      <c r="F715" s="19"/>
      <c r="G715" s="19"/>
    </row>
    <row r="716" spans="1:7" x14ac:dyDescent="0.2">
      <c r="A716" s="19"/>
      <c r="B716" s="19"/>
      <c r="C716" s="19"/>
      <c r="D716" s="19"/>
      <c r="E716" s="19"/>
      <c r="F716" s="19"/>
      <c r="G716" s="19"/>
    </row>
    <row r="717" spans="1:7" x14ac:dyDescent="0.2">
      <c r="A717" s="19"/>
      <c r="B717" s="19"/>
      <c r="C717" s="19"/>
      <c r="D717" s="19"/>
      <c r="E717" s="19"/>
      <c r="F717" s="19"/>
      <c r="G717" s="19"/>
    </row>
    <row r="718" spans="1:7" x14ac:dyDescent="0.2">
      <c r="A718" s="19"/>
      <c r="B718" s="19"/>
      <c r="C718" s="19"/>
      <c r="D718" s="19"/>
      <c r="E718" s="19"/>
      <c r="F718" s="19"/>
      <c r="G718" s="19"/>
    </row>
    <row r="719" spans="1:7" x14ac:dyDescent="0.2">
      <c r="A719" s="19"/>
      <c r="B719" s="19"/>
      <c r="C719" s="19"/>
      <c r="D719" s="19"/>
      <c r="E719" s="19"/>
      <c r="F719" s="19"/>
      <c r="G719" s="19"/>
    </row>
    <row r="720" spans="1:7" x14ac:dyDescent="0.2">
      <c r="A720" s="19"/>
      <c r="B720" s="19"/>
      <c r="C720" s="19"/>
      <c r="D720" s="19"/>
      <c r="E720" s="19"/>
      <c r="F720" s="19"/>
      <c r="G720" s="19"/>
    </row>
    <row r="723" spans="1:7" x14ac:dyDescent="0.2">
      <c r="A723" s="22" t="str">
        <f ca="1">Language!A$731 &amp; ", " &amp; Проект!CUR_Report</f>
        <v>График: Чистая прибыль, руб.</v>
      </c>
      <c r="B723" s="19"/>
      <c r="C723" s="19"/>
      <c r="D723" s="19"/>
      <c r="E723" s="19"/>
      <c r="F723" s="19"/>
      <c r="G723" s="19"/>
    </row>
    <row r="724" spans="1:7" x14ac:dyDescent="0.2">
      <c r="A724" s="19"/>
      <c r="B724" s="19"/>
      <c r="C724" s="19"/>
      <c r="D724" s="19"/>
      <c r="E724" s="19"/>
      <c r="F724" s="19"/>
      <c r="G724" s="19"/>
    </row>
    <row r="725" spans="1:7" x14ac:dyDescent="0.2">
      <c r="A725" s="19"/>
      <c r="B725" s="19"/>
      <c r="C725" s="19"/>
      <c r="D725" s="19"/>
      <c r="E725" s="19"/>
      <c r="F725" s="19"/>
      <c r="G725" s="19"/>
    </row>
    <row r="726" spans="1:7" x14ac:dyDescent="0.2">
      <c r="A726" s="19"/>
      <c r="B726" s="19"/>
      <c r="C726" s="19"/>
      <c r="D726" s="19"/>
      <c r="E726" s="19"/>
      <c r="F726" s="19"/>
      <c r="G726" s="19"/>
    </row>
    <row r="727" spans="1:7" x14ac:dyDescent="0.2">
      <c r="A727" s="19"/>
      <c r="B727" s="19"/>
      <c r="C727" s="19"/>
      <c r="D727" s="19"/>
      <c r="E727" s="19"/>
      <c r="F727" s="19"/>
      <c r="G727" s="19"/>
    </row>
    <row r="728" spans="1:7" x14ac:dyDescent="0.2">
      <c r="A728" s="19"/>
      <c r="B728" s="19"/>
      <c r="C728" s="19"/>
      <c r="D728" s="19"/>
      <c r="E728" s="19"/>
      <c r="F728" s="19"/>
      <c r="G728" s="19"/>
    </row>
    <row r="729" spans="1:7" x14ac:dyDescent="0.2">
      <c r="A729" s="19"/>
      <c r="B729" s="19"/>
      <c r="C729" s="19"/>
      <c r="D729" s="19"/>
      <c r="E729" s="19"/>
      <c r="F729" s="19"/>
      <c r="G729" s="19"/>
    </row>
    <row r="730" spans="1:7" x14ac:dyDescent="0.2">
      <c r="A730" s="19"/>
      <c r="B730" s="19"/>
      <c r="C730" s="19"/>
      <c r="D730" s="19"/>
      <c r="E730" s="19"/>
      <c r="F730" s="19"/>
      <c r="G730" s="19"/>
    </row>
    <row r="731" spans="1:7" x14ac:dyDescent="0.2">
      <c r="A731" s="19"/>
      <c r="B731" s="19"/>
      <c r="C731" s="19"/>
      <c r="D731" s="19"/>
      <c r="E731" s="19"/>
      <c r="F731" s="19"/>
      <c r="G731" s="19"/>
    </row>
    <row r="732" spans="1:7" x14ac:dyDescent="0.2">
      <c r="A732" s="19"/>
      <c r="B732" s="19"/>
      <c r="C732" s="19"/>
      <c r="D732" s="19"/>
      <c r="E732" s="19"/>
      <c r="F732" s="19"/>
      <c r="G732" s="19"/>
    </row>
    <row r="733" spans="1:7" x14ac:dyDescent="0.2">
      <c r="A733" s="19"/>
      <c r="B733" s="19"/>
      <c r="C733" s="19"/>
      <c r="D733" s="19"/>
      <c r="E733" s="19"/>
      <c r="F733" s="19"/>
      <c r="G733" s="19"/>
    </row>
    <row r="734" spans="1:7" x14ac:dyDescent="0.2">
      <c r="A734" s="19"/>
      <c r="B734" s="19"/>
      <c r="C734" s="19"/>
      <c r="D734" s="19"/>
      <c r="E734" s="19"/>
      <c r="F734" s="19"/>
      <c r="G734" s="19"/>
    </row>
    <row r="735" spans="1:7" x14ac:dyDescent="0.2">
      <c r="A735" s="19"/>
      <c r="B735" s="19"/>
      <c r="C735" s="19"/>
      <c r="D735" s="19"/>
      <c r="E735" s="19"/>
      <c r="F735" s="19"/>
      <c r="G735" s="19"/>
    </row>
    <row r="736" spans="1:7" x14ac:dyDescent="0.2">
      <c r="A736" s="19"/>
      <c r="B736" s="19"/>
      <c r="C736" s="19"/>
      <c r="D736" s="19"/>
      <c r="E736" s="19"/>
      <c r="F736" s="19"/>
      <c r="G736" s="19"/>
    </row>
    <row r="737" spans="1:7" x14ac:dyDescent="0.2">
      <c r="A737" s="19"/>
      <c r="B737" s="19"/>
      <c r="C737" s="19"/>
      <c r="D737" s="19"/>
      <c r="E737" s="19"/>
      <c r="F737" s="19"/>
      <c r="G737" s="19"/>
    </row>
    <row r="738" spans="1:7" x14ac:dyDescent="0.2">
      <c r="A738" s="19"/>
      <c r="B738" s="19"/>
      <c r="C738" s="19"/>
      <c r="D738" s="19"/>
      <c r="E738" s="19"/>
      <c r="F738" s="19"/>
      <c r="G738" s="19"/>
    </row>
    <row r="739" spans="1:7" x14ac:dyDescent="0.2">
      <c r="A739" s="19"/>
      <c r="B739" s="19"/>
      <c r="C739" s="19"/>
      <c r="D739" s="19"/>
      <c r="E739" s="19"/>
      <c r="F739" s="19"/>
      <c r="G739" s="19"/>
    </row>
    <row r="740" spans="1:7" x14ac:dyDescent="0.2">
      <c r="A740" s="19"/>
      <c r="B740" s="19"/>
      <c r="C740" s="19"/>
      <c r="D740" s="19"/>
      <c r="E740" s="19"/>
      <c r="F740" s="19"/>
      <c r="G740" s="19"/>
    </row>
    <row r="741" spans="1:7" x14ac:dyDescent="0.2">
      <c r="A741" s="19"/>
      <c r="B741" s="19"/>
      <c r="C741" s="19"/>
      <c r="D741" s="19"/>
      <c r="E741" s="19"/>
      <c r="F741" s="19"/>
      <c r="G741" s="19"/>
    </row>
    <row r="742" spans="1:7" x14ac:dyDescent="0.2">
      <c r="A742" s="19"/>
      <c r="B742" s="19"/>
      <c r="C742" s="19"/>
      <c r="D742" s="19"/>
      <c r="E742" s="19"/>
      <c r="F742" s="19"/>
      <c r="G742" s="19"/>
    </row>
    <row r="743" spans="1:7" x14ac:dyDescent="0.2">
      <c r="A743" s="19"/>
      <c r="B743" s="19"/>
      <c r="C743" s="19"/>
      <c r="D743" s="19"/>
      <c r="E743" s="19"/>
      <c r="F743" s="19"/>
      <c r="G743" s="19"/>
    </row>
    <row r="744" spans="1:7" x14ac:dyDescent="0.2">
      <c r="A744" s="19"/>
      <c r="B744" s="19"/>
      <c r="C744" s="19"/>
      <c r="D744" s="19"/>
      <c r="E744" s="19"/>
      <c r="F744" s="19"/>
      <c r="G744" s="19"/>
    </row>
    <row r="745" spans="1:7" x14ac:dyDescent="0.2">
      <c r="A745" s="19"/>
      <c r="B745" s="19"/>
      <c r="C745" s="19"/>
      <c r="D745" s="19"/>
      <c r="E745" s="19"/>
      <c r="F745" s="19"/>
      <c r="G745" s="19"/>
    </row>
    <row r="746" spans="1:7" x14ac:dyDescent="0.2">
      <c r="A746" s="19"/>
      <c r="B746" s="19"/>
      <c r="C746" s="19"/>
      <c r="D746" s="19"/>
      <c r="E746" s="19"/>
      <c r="F746" s="19"/>
      <c r="G746" s="19"/>
    </row>
    <row r="749" spans="1:7" x14ac:dyDescent="0.2">
      <c r="A749" s="22" t="str">
        <f ca="1">Language!A$1009 &amp; ", " &amp; Проект!CUR_Report</f>
        <v>График: EBITDA, руб.</v>
      </c>
      <c r="B749" s="19"/>
      <c r="C749" s="19"/>
      <c r="D749" s="19"/>
      <c r="E749" s="19"/>
      <c r="F749" s="19"/>
      <c r="G749" s="19"/>
    </row>
    <row r="750" spans="1:7" x14ac:dyDescent="0.2">
      <c r="A750" s="19"/>
      <c r="B750" s="19"/>
      <c r="C750" s="19"/>
      <c r="D750" s="19"/>
      <c r="E750" s="19"/>
      <c r="F750" s="19"/>
      <c r="G750" s="19"/>
    </row>
    <row r="751" spans="1:7" x14ac:dyDescent="0.2">
      <c r="A751" s="19"/>
      <c r="B751" s="19"/>
      <c r="C751" s="19"/>
      <c r="D751" s="19"/>
      <c r="E751" s="19"/>
      <c r="F751" s="19"/>
      <c r="G751" s="19"/>
    </row>
    <row r="752" spans="1:7" x14ac:dyDescent="0.2">
      <c r="A752" s="19"/>
      <c r="B752" s="19"/>
      <c r="C752" s="19"/>
      <c r="D752" s="19"/>
      <c r="E752" s="19"/>
      <c r="F752" s="19"/>
      <c r="G752" s="19"/>
    </row>
    <row r="753" spans="1:7" x14ac:dyDescent="0.2">
      <c r="A753" s="19"/>
      <c r="B753" s="19"/>
      <c r="C753" s="19"/>
      <c r="D753" s="19"/>
      <c r="E753" s="19"/>
      <c r="F753" s="19"/>
      <c r="G753" s="19"/>
    </row>
    <row r="754" spans="1:7" x14ac:dyDescent="0.2">
      <c r="A754" s="19"/>
      <c r="B754" s="19"/>
      <c r="C754" s="19"/>
      <c r="D754" s="19"/>
      <c r="E754" s="19"/>
      <c r="F754" s="19"/>
      <c r="G754" s="19"/>
    </row>
    <row r="755" spans="1:7" x14ac:dyDescent="0.2">
      <c r="A755" s="19"/>
      <c r="B755" s="19"/>
      <c r="C755" s="19"/>
      <c r="D755" s="19"/>
      <c r="E755" s="19"/>
      <c r="F755" s="19"/>
      <c r="G755" s="19"/>
    </row>
    <row r="756" spans="1:7" x14ac:dyDescent="0.2">
      <c r="A756" s="19"/>
      <c r="B756" s="19"/>
      <c r="C756" s="19"/>
      <c r="D756" s="19"/>
      <c r="E756" s="19"/>
      <c r="F756" s="19"/>
      <c r="G756" s="19"/>
    </row>
    <row r="757" spans="1:7" x14ac:dyDescent="0.2">
      <c r="A757" s="19"/>
      <c r="B757" s="19"/>
      <c r="C757" s="19"/>
      <c r="D757" s="19"/>
      <c r="E757" s="19"/>
      <c r="F757" s="19"/>
      <c r="G757" s="19"/>
    </row>
    <row r="758" spans="1:7" x14ac:dyDescent="0.2">
      <c r="A758" s="19"/>
      <c r="B758" s="19"/>
      <c r="C758" s="19"/>
      <c r="D758" s="19"/>
      <c r="E758" s="19"/>
      <c r="F758" s="19"/>
      <c r="G758" s="19"/>
    </row>
    <row r="759" spans="1:7" x14ac:dyDescent="0.2">
      <c r="A759" s="19"/>
      <c r="B759" s="19"/>
      <c r="C759" s="19"/>
      <c r="D759" s="19"/>
      <c r="E759" s="19"/>
      <c r="F759" s="19"/>
      <c r="G759" s="19"/>
    </row>
    <row r="760" spans="1:7" x14ac:dyDescent="0.2">
      <c r="A760" s="19"/>
      <c r="B760" s="19"/>
      <c r="C760" s="19"/>
      <c r="D760" s="19"/>
      <c r="E760" s="19"/>
      <c r="F760" s="19"/>
      <c r="G760" s="19"/>
    </row>
    <row r="761" spans="1:7" x14ac:dyDescent="0.2">
      <c r="A761" s="19"/>
      <c r="B761" s="19"/>
      <c r="C761" s="19"/>
      <c r="D761" s="19"/>
      <c r="E761" s="19"/>
      <c r="F761" s="19"/>
      <c r="G761" s="19"/>
    </row>
    <row r="762" spans="1:7" x14ac:dyDescent="0.2">
      <c r="A762" s="19"/>
      <c r="B762" s="19"/>
      <c r="C762" s="19"/>
      <c r="D762" s="19"/>
      <c r="E762" s="19"/>
      <c r="F762" s="19"/>
      <c r="G762" s="19"/>
    </row>
    <row r="763" spans="1:7" x14ac:dyDescent="0.2">
      <c r="A763" s="19"/>
      <c r="B763" s="19"/>
      <c r="C763" s="19"/>
      <c r="D763" s="19"/>
      <c r="E763" s="19"/>
      <c r="F763" s="19"/>
      <c r="G763" s="19"/>
    </row>
    <row r="764" spans="1:7" x14ac:dyDescent="0.2">
      <c r="A764" s="19"/>
      <c r="B764" s="19"/>
      <c r="C764" s="19"/>
      <c r="D764" s="19"/>
      <c r="E764" s="19"/>
      <c r="F764" s="19"/>
      <c r="G764" s="19"/>
    </row>
    <row r="765" spans="1:7" x14ac:dyDescent="0.2">
      <c r="A765" s="19"/>
      <c r="B765" s="19"/>
      <c r="C765" s="19"/>
      <c r="D765" s="19"/>
      <c r="E765" s="19"/>
      <c r="F765" s="19"/>
      <c r="G765" s="19"/>
    </row>
    <row r="766" spans="1:7" x14ac:dyDescent="0.2">
      <c r="A766" s="19"/>
      <c r="B766" s="19"/>
      <c r="C766" s="19"/>
      <c r="D766" s="19"/>
      <c r="E766" s="19"/>
      <c r="F766" s="19"/>
      <c r="G766" s="19"/>
    </row>
    <row r="767" spans="1:7" x14ac:dyDescent="0.2">
      <c r="A767" s="19"/>
      <c r="B767" s="19"/>
      <c r="C767" s="19"/>
      <c r="D767" s="19"/>
      <c r="E767" s="19"/>
      <c r="F767" s="19"/>
      <c r="G767" s="19"/>
    </row>
    <row r="768" spans="1:7" x14ac:dyDescent="0.2">
      <c r="A768" s="19"/>
      <c r="B768" s="19"/>
      <c r="C768" s="19"/>
      <c r="D768" s="19"/>
      <c r="E768" s="19"/>
      <c r="F768" s="19"/>
      <c r="G768" s="19"/>
    </row>
    <row r="769" spans="1:19" x14ac:dyDescent="0.2">
      <c r="A769" s="19"/>
      <c r="B769" s="19"/>
      <c r="C769" s="19"/>
      <c r="D769" s="19"/>
      <c r="E769" s="19"/>
      <c r="F769" s="19"/>
      <c r="G769" s="19"/>
    </row>
    <row r="770" spans="1:19" x14ac:dyDescent="0.2">
      <c r="A770" s="19"/>
      <c r="B770" s="19"/>
      <c r="C770" s="19"/>
      <c r="D770" s="19"/>
      <c r="E770" s="19"/>
      <c r="F770" s="19"/>
      <c r="G770" s="19"/>
    </row>
    <row r="771" spans="1:19" x14ac:dyDescent="0.2">
      <c r="A771" s="19"/>
      <c r="B771" s="19"/>
      <c r="C771" s="19"/>
      <c r="D771" s="19"/>
      <c r="E771" s="19"/>
      <c r="F771" s="19"/>
      <c r="G771" s="19"/>
    </row>
    <row r="772" spans="1:19" x14ac:dyDescent="0.2">
      <c r="A772" s="19"/>
      <c r="B772" s="19"/>
      <c r="C772" s="19"/>
      <c r="D772" s="19"/>
      <c r="E772" s="19"/>
      <c r="F772" s="19"/>
      <c r="G772" s="19"/>
    </row>
    <row r="775" spans="1:19" ht="15.9" customHeight="1" thickBot="1" x14ac:dyDescent="0.25">
      <c r="A775" s="166" t="str">
        <f ca="1">Проект!$A$1249</f>
        <v xml:space="preserve">         ОТЧЕТ О ДВИЖЕНИИ ДЕНЕЖНЫХ СРЕДСТВ</v>
      </c>
      <c r="B775" s="166"/>
      <c r="C775" s="166"/>
      <c r="D775" s="166"/>
      <c r="E775" s="166"/>
      <c r="F775" s="178" t="str">
        <f>Проект!$F$1249</f>
        <v>4/ 2020</v>
      </c>
      <c r="G775" s="178" t="str">
        <f>Проект!$G$1249</f>
        <v>5/ 2020</v>
      </c>
      <c r="H775" s="178" t="str">
        <f>Проект!$H$1249</f>
        <v>6/ 2020</v>
      </c>
      <c r="I775" s="178" t="str">
        <f>Проект!$I$1249</f>
        <v>7/ 2020</v>
      </c>
      <c r="J775" s="178" t="str">
        <f>Проект!$J$1249</f>
        <v>8/ 2020</v>
      </c>
      <c r="K775" s="178" t="e">
        <f>Проект!#REF!</f>
        <v>#REF!</v>
      </c>
      <c r="L775" s="178" t="e">
        <f>Проект!#REF!</f>
        <v>#REF!</v>
      </c>
      <c r="M775" s="178" t="e">
        <f>Проект!#REF!</f>
        <v>#REF!</v>
      </c>
      <c r="N775" s="178" t="e">
        <f>Проект!#REF!</f>
        <v>#REF!</v>
      </c>
      <c r="O775" s="178" t="e">
        <f>Проект!#REF!</f>
        <v>#REF!</v>
      </c>
      <c r="P775" s="178" t="e">
        <f>Проект!#REF!</f>
        <v>#REF!</v>
      </c>
      <c r="Q775" s="178" t="str">
        <f>Проект!$K$1249</f>
        <v>9/ 2020</v>
      </c>
      <c r="R775" s="166"/>
      <c r="S775" s="195" t="str">
        <f ca="1">Проект!$M$1249</f>
        <v>ИТОГО</v>
      </c>
    </row>
    <row r="776" spans="1:19" ht="12" customHeight="1" thickTop="1" x14ac:dyDescent="0.2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1"/>
    </row>
    <row r="777" spans="1:19" ht="11.25" customHeight="1" x14ac:dyDescent="0.2">
      <c r="A777" s="48" t="str">
        <f ca="1">Проект!$A$1251</f>
        <v>Поступления от продаж</v>
      </c>
      <c r="B777" s="48"/>
      <c r="C777" s="73" t="str">
        <f ca="1">Проект!$C$1251</f>
        <v>руб.</v>
      </c>
      <c r="D777" s="48"/>
      <c r="E777" s="48"/>
      <c r="F777" s="84">
        <f>Проект!$F$1251</f>
        <v>36000000</v>
      </c>
      <c r="G777" s="84">
        <f>Проект!$G$1251</f>
        <v>84000000</v>
      </c>
      <c r="H777" s="84">
        <f>Проект!$H$1251</f>
        <v>120000000</v>
      </c>
      <c r="I777" s="84">
        <f>Проект!$I$1251</f>
        <v>120000000</v>
      </c>
      <c r="J777" s="84">
        <f>Проект!$J$1251</f>
        <v>120000000</v>
      </c>
      <c r="K777" s="84" t="e">
        <f>Проект!#REF!</f>
        <v>#REF!</v>
      </c>
      <c r="L777" s="84" t="e">
        <f>Проект!#REF!</f>
        <v>#REF!</v>
      </c>
      <c r="M777" s="84" t="e">
        <f>Проект!#REF!</f>
        <v>#REF!</v>
      </c>
      <c r="N777" s="84" t="e">
        <f>Проект!#REF!</f>
        <v>#REF!</v>
      </c>
      <c r="O777" s="84" t="e">
        <f>Проект!#REF!</f>
        <v>#REF!</v>
      </c>
      <c r="P777" s="84" t="e">
        <f>Проект!#REF!</f>
        <v>#REF!</v>
      </c>
      <c r="Q777" s="84">
        <f>Проект!$K$1251</f>
        <v>120000000</v>
      </c>
      <c r="R777" s="48"/>
      <c r="S777" s="94">
        <f>Проект!$M$1251</f>
        <v>600000000</v>
      </c>
    </row>
    <row r="778" spans="1:19" ht="11.25" customHeight="1" x14ac:dyDescent="0.2">
      <c r="A778" s="48" t="str">
        <f ca="1">Проект!$A$1252</f>
        <v>Затраты на материалы и комплектующие</v>
      </c>
      <c r="B778" s="48"/>
      <c r="C778" s="73" t="str">
        <f ca="1">Проект!$C$1252</f>
        <v>руб.</v>
      </c>
      <c r="D778" s="48"/>
      <c r="E778" s="48"/>
      <c r="F778" s="84">
        <f>Проект!$F$1252</f>
        <v>0</v>
      </c>
      <c r="G778" s="84">
        <f>Проект!$G$1252</f>
        <v>0</v>
      </c>
      <c r="H778" s="84">
        <f>Проект!$H$1252</f>
        <v>0</v>
      </c>
      <c r="I778" s="84">
        <f>Проект!$I$1252</f>
        <v>0</v>
      </c>
      <c r="J778" s="84">
        <f>Проект!$J$1252</f>
        <v>0</v>
      </c>
      <c r="K778" s="84" t="e">
        <f>Проект!#REF!</f>
        <v>#REF!</v>
      </c>
      <c r="L778" s="84" t="e">
        <f>Проект!#REF!</f>
        <v>#REF!</v>
      </c>
      <c r="M778" s="84" t="e">
        <f>Проект!#REF!</f>
        <v>#REF!</v>
      </c>
      <c r="N778" s="84" t="e">
        <f>Проект!#REF!</f>
        <v>#REF!</v>
      </c>
      <c r="O778" s="84" t="e">
        <f>Проект!#REF!</f>
        <v>#REF!</v>
      </c>
      <c r="P778" s="84" t="e">
        <f>Проект!#REF!</f>
        <v>#REF!</v>
      </c>
      <c r="Q778" s="84">
        <f>Проект!$K$1252</f>
        <v>0</v>
      </c>
      <c r="R778" s="48"/>
      <c r="S778" s="94">
        <f>Проект!$M$1252</f>
        <v>0</v>
      </c>
    </row>
    <row r="779" spans="1:19" ht="11.25" customHeight="1" x14ac:dyDescent="0.2">
      <c r="A779" s="48" t="str">
        <f ca="1">Проект!$A$1253</f>
        <v>Прочие переменные затраты</v>
      </c>
      <c r="B779" s="48"/>
      <c r="C779" s="73" t="str">
        <f ca="1">Проект!$C$1253</f>
        <v>руб.</v>
      </c>
      <c r="D779" s="48"/>
      <c r="E779" s="48"/>
      <c r="F779" s="84">
        <f>Проект!$F$1253</f>
        <v>0</v>
      </c>
      <c r="G779" s="84">
        <f>Проект!$G$1253</f>
        <v>0</v>
      </c>
      <c r="H779" s="84">
        <f>Проект!$H$1253</f>
        <v>0</v>
      </c>
      <c r="I779" s="84">
        <f>Проект!$I$1253</f>
        <v>0</v>
      </c>
      <c r="J779" s="84">
        <f>Проект!$J$1253</f>
        <v>0</v>
      </c>
      <c r="K779" s="84" t="e">
        <f>Проект!#REF!</f>
        <v>#REF!</v>
      </c>
      <c r="L779" s="84" t="e">
        <f>Проект!#REF!</f>
        <v>#REF!</v>
      </c>
      <c r="M779" s="84" t="e">
        <f>Проект!#REF!</f>
        <v>#REF!</v>
      </c>
      <c r="N779" s="84" t="e">
        <f>Проект!#REF!</f>
        <v>#REF!</v>
      </c>
      <c r="O779" s="84" t="e">
        <f>Проект!#REF!</f>
        <v>#REF!</v>
      </c>
      <c r="P779" s="84" t="e">
        <f>Проект!#REF!</f>
        <v>#REF!</v>
      </c>
      <c r="Q779" s="84">
        <f>Проект!$K$1253</f>
        <v>0</v>
      </c>
      <c r="R779" s="48"/>
      <c r="S779" s="94">
        <f>Проект!$M$1253</f>
        <v>0</v>
      </c>
    </row>
    <row r="780" spans="1:19" ht="11.25" customHeight="1" x14ac:dyDescent="0.2">
      <c r="A780" s="48" t="str">
        <f ca="1">Проект!$A$1254</f>
        <v>Зарплата</v>
      </c>
      <c r="B780" s="48"/>
      <c r="C780" s="73" t="str">
        <f ca="1">Проект!$C$1254</f>
        <v>руб.</v>
      </c>
      <c r="D780" s="48"/>
      <c r="E780" s="48"/>
      <c r="F780" s="84">
        <f>Проект!$F$1254</f>
        <v>-625000</v>
      </c>
      <c r="G780" s="84">
        <f>Проект!$G$1254</f>
        <v>-765000</v>
      </c>
      <c r="H780" s="84">
        <f>Проект!$H$1254</f>
        <v>-905000</v>
      </c>
      <c r="I780" s="84">
        <f>Проект!$I$1254</f>
        <v>-975000</v>
      </c>
      <c r="J780" s="84">
        <f>Проект!$J$1254</f>
        <v>-975000</v>
      </c>
      <c r="K780" s="84" t="e">
        <f>Проект!#REF!</f>
        <v>#REF!</v>
      </c>
      <c r="L780" s="84" t="e">
        <f>Проект!#REF!</f>
        <v>#REF!</v>
      </c>
      <c r="M780" s="84" t="e">
        <f>Проект!#REF!</f>
        <v>#REF!</v>
      </c>
      <c r="N780" s="84" t="e">
        <f>Проект!#REF!</f>
        <v>#REF!</v>
      </c>
      <c r="O780" s="84" t="e">
        <f>Проект!#REF!</f>
        <v>#REF!</v>
      </c>
      <c r="P780" s="84" t="e">
        <f>Проект!#REF!</f>
        <v>#REF!</v>
      </c>
      <c r="Q780" s="84">
        <f>Проект!$K$1254</f>
        <v>-975000</v>
      </c>
      <c r="R780" s="48"/>
      <c r="S780" s="94">
        <f>Проект!$M$1254</f>
        <v>-5220000</v>
      </c>
    </row>
    <row r="781" spans="1:19" ht="11.25" customHeight="1" x14ac:dyDescent="0.2">
      <c r="A781" s="48" t="str">
        <f ca="1">Проект!$A$1255</f>
        <v>Общие затраты</v>
      </c>
      <c r="B781" s="48"/>
      <c r="C781" s="73" t="str">
        <f ca="1">Проект!$C$1255</f>
        <v>руб.</v>
      </c>
      <c r="D781" s="48"/>
      <c r="E781" s="48"/>
      <c r="F781" s="84">
        <f>Проект!$F$1255</f>
        <v>-20000000</v>
      </c>
      <c r="G781" s="84">
        <f>Проект!$G$1255</f>
        <v>-20000000</v>
      </c>
      <c r="H781" s="84">
        <f>Проект!$H$1255</f>
        <v>-20000000</v>
      </c>
      <c r="I781" s="84">
        <f>Проект!$I$1255</f>
        <v>-20000000</v>
      </c>
      <c r="J781" s="84">
        <f>Проект!$J$1255</f>
        <v>-20000000</v>
      </c>
      <c r="K781" s="84" t="e">
        <f>Проект!#REF!</f>
        <v>#REF!</v>
      </c>
      <c r="L781" s="84" t="e">
        <f>Проект!#REF!</f>
        <v>#REF!</v>
      </c>
      <c r="M781" s="84" t="e">
        <f>Проект!#REF!</f>
        <v>#REF!</v>
      </c>
      <c r="N781" s="84" t="e">
        <f>Проект!#REF!</f>
        <v>#REF!</v>
      </c>
      <c r="O781" s="84" t="e">
        <f>Проект!#REF!</f>
        <v>#REF!</v>
      </c>
      <c r="P781" s="84" t="e">
        <f>Проект!#REF!</f>
        <v>#REF!</v>
      </c>
      <c r="Q781" s="84">
        <f>Проект!$K$1255</f>
        <v>-20000000</v>
      </c>
      <c r="R781" s="48"/>
      <c r="S781" s="94">
        <f>Проект!$M$1255</f>
        <v>-120000000</v>
      </c>
    </row>
    <row r="782" spans="1:19" ht="11.25" customHeight="1" x14ac:dyDescent="0.2">
      <c r="A782" s="48" t="str">
        <f ca="1">Проект!$A$1256</f>
        <v>Налоги</v>
      </c>
      <c r="B782" s="48"/>
      <c r="C782" s="73" t="str">
        <f ca="1">Проект!$C$1256</f>
        <v>руб.</v>
      </c>
      <c r="D782" s="48"/>
      <c r="E782" s="48"/>
      <c r="F782" s="84">
        <f ca="1">Проект!$F$1256</f>
        <v>-2247500</v>
      </c>
      <c r="G782" s="84">
        <f ca="1">Проект!$G$1256</f>
        <v>-5147100</v>
      </c>
      <c r="H782" s="84">
        <f ca="1">Проект!$H$1256</f>
        <v>-7326700</v>
      </c>
      <c r="I782" s="84">
        <f ca="1">Проект!$I$1256</f>
        <v>-7336500</v>
      </c>
      <c r="J782" s="84">
        <f ca="1">Проект!$J$1256</f>
        <v>-7336500</v>
      </c>
      <c r="K782" s="84" t="e">
        <f>Проект!#REF!</f>
        <v>#REF!</v>
      </c>
      <c r="L782" s="84" t="e">
        <f>Проект!#REF!</f>
        <v>#REF!</v>
      </c>
      <c r="M782" s="84" t="e">
        <f>Проект!#REF!</f>
        <v>#REF!</v>
      </c>
      <c r="N782" s="84" t="e">
        <f>Проект!#REF!</f>
        <v>#REF!</v>
      </c>
      <c r="O782" s="84" t="e">
        <f>Проект!#REF!</f>
        <v>#REF!</v>
      </c>
      <c r="P782" s="84" t="e">
        <f>Проект!#REF!</f>
        <v>#REF!</v>
      </c>
      <c r="Q782" s="84">
        <f ca="1">Проект!$K$1256</f>
        <v>-7336500</v>
      </c>
      <c r="R782" s="48"/>
      <c r="S782" s="94">
        <f ca="1">Проект!$M$1256</f>
        <v>-36730800</v>
      </c>
    </row>
    <row r="783" spans="1:19" ht="11.25" customHeight="1" x14ac:dyDescent="0.2">
      <c r="A783" s="48" t="str">
        <f ca="1">Проект!$A$1257</f>
        <v>Выплата процентов по кредитам</v>
      </c>
      <c r="B783" s="48"/>
      <c r="C783" s="73" t="str">
        <f ca="1">Проект!$C$1257</f>
        <v>руб.</v>
      </c>
      <c r="D783" s="48"/>
      <c r="E783" s="48"/>
      <c r="F783" s="84">
        <f>Проект!$F$1257</f>
        <v>0</v>
      </c>
      <c r="G783" s="84">
        <f>Проект!$G$1257</f>
        <v>0</v>
      </c>
      <c r="H783" s="84">
        <f>Проект!$H$1257</f>
        <v>0</v>
      </c>
      <c r="I783" s="84">
        <f>Проект!$I$1257</f>
        <v>0</v>
      </c>
      <c r="J783" s="84">
        <f>Проект!$J$1257</f>
        <v>0</v>
      </c>
      <c r="K783" s="84" t="e">
        <f>Проект!#REF!</f>
        <v>#REF!</v>
      </c>
      <c r="L783" s="84" t="e">
        <f>Проект!#REF!</f>
        <v>#REF!</v>
      </c>
      <c r="M783" s="84" t="e">
        <f>Проект!#REF!</f>
        <v>#REF!</v>
      </c>
      <c r="N783" s="84" t="e">
        <f>Проект!#REF!</f>
        <v>#REF!</v>
      </c>
      <c r="O783" s="84" t="e">
        <f>Проект!#REF!</f>
        <v>#REF!</v>
      </c>
      <c r="P783" s="84" t="e">
        <f>Проект!#REF!</f>
        <v>#REF!</v>
      </c>
      <c r="Q783" s="84">
        <f>Проект!$K$1257</f>
        <v>0</v>
      </c>
      <c r="R783" s="48"/>
      <c r="S783" s="94">
        <f>Проект!$M$1257</f>
        <v>0</v>
      </c>
    </row>
    <row r="784" spans="1:19" ht="11.25" customHeight="1" x14ac:dyDescent="0.2">
      <c r="A784" s="48" t="str">
        <f ca="1">Проект!$A$1258</f>
        <v>Прочие поступления</v>
      </c>
      <c r="B784" s="48"/>
      <c r="C784" s="73" t="str">
        <f ca="1">Проект!$C$1258</f>
        <v>руб.</v>
      </c>
      <c r="D784" s="48"/>
      <c r="E784" s="48"/>
      <c r="F784" s="106">
        <f ca="1">Проект!$F$1258</f>
        <v>0</v>
      </c>
      <c r="G784" s="106">
        <f ca="1">Проект!$G$1258</f>
        <v>0</v>
      </c>
      <c r="H784" s="106">
        <f ca="1">Проект!$H$1258</f>
        <v>0</v>
      </c>
      <c r="I784" s="106">
        <f ca="1">Проект!$I$1258</f>
        <v>0</v>
      </c>
      <c r="J784" s="106">
        <f ca="1">Проект!$J$1258</f>
        <v>0</v>
      </c>
      <c r="K784" s="106" t="e">
        <f>Проект!#REF!</f>
        <v>#REF!</v>
      </c>
      <c r="L784" s="106" t="e">
        <f>Проект!#REF!</f>
        <v>#REF!</v>
      </c>
      <c r="M784" s="106" t="e">
        <f>Проект!#REF!</f>
        <v>#REF!</v>
      </c>
      <c r="N784" s="106" t="e">
        <f>Проект!#REF!</f>
        <v>#REF!</v>
      </c>
      <c r="O784" s="106" t="e">
        <f>Проект!#REF!</f>
        <v>#REF!</v>
      </c>
      <c r="P784" s="106" t="e">
        <f>Проект!#REF!</f>
        <v>#REF!</v>
      </c>
      <c r="Q784" s="106">
        <f ca="1">Проект!$K$1258</f>
        <v>0</v>
      </c>
      <c r="R784" s="48"/>
      <c r="S784" s="94">
        <f ca="1">Проект!$M$1258</f>
        <v>0</v>
      </c>
    </row>
    <row r="785" spans="1:19" ht="11.25" customHeight="1" x14ac:dyDescent="0.2">
      <c r="A785" s="48" t="str">
        <f ca="1">Проект!$A$1259</f>
        <v>Прочие затраты</v>
      </c>
      <c r="B785" s="48"/>
      <c r="C785" s="73" t="str">
        <f ca="1">Проект!$C$1259</f>
        <v>руб.</v>
      </c>
      <c r="D785" s="48"/>
      <c r="E785" s="48"/>
      <c r="F785" s="106">
        <f>Проект!$F$1259</f>
        <v>0</v>
      </c>
      <c r="G785" s="106">
        <f>Проект!$G$1259</f>
        <v>0</v>
      </c>
      <c r="H785" s="106">
        <f>Проект!$H$1259</f>
        <v>0</v>
      </c>
      <c r="I785" s="106">
        <f>Проект!$I$1259</f>
        <v>0</v>
      </c>
      <c r="J785" s="106">
        <f>Проект!$J$1259</f>
        <v>0</v>
      </c>
      <c r="K785" s="106" t="e">
        <f>Проект!#REF!</f>
        <v>#REF!</v>
      </c>
      <c r="L785" s="106" t="e">
        <f>Проект!#REF!</f>
        <v>#REF!</v>
      </c>
      <c r="M785" s="106" t="e">
        <f>Проект!#REF!</f>
        <v>#REF!</v>
      </c>
      <c r="N785" s="106" t="e">
        <f>Проект!#REF!</f>
        <v>#REF!</v>
      </c>
      <c r="O785" s="106" t="e">
        <f>Проект!#REF!</f>
        <v>#REF!</v>
      </c>
      <c r="P785" s="106" t="e">
        <f>Проект!#REF!</f>
        <v>#REF!</v>
      </c>
      <c r="Q785" s="106">
        <f>Проект!$K$1259</f>
        <v>0</v>
      </c>
      <c r="R785" s="48"/>
      <c r="S785" s="94">
        <f>Проект!$M$1259</f>
        <v>0</v>
      </c>
    </row>
    <row r="786" spans="1:19" ht="11.25" customHeight="1" x14ac:dyDescent="0.2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95"/>
    </row>
    <row r="787" spans="1:19" ht="11.25" customHeight="1" x14ac:dyDescent="0.2">
      <c r="A787" s="130" t="str">
        <f ca="1">Проект!$A$1261</f>
        <v>Денежные потоки от операционной деятельности</v>
      </c>
      <c r="B787" s="48"/>
      <c r="C787" s="73" t="str">
        <f ca="1">Проект!$C$1261</f>
        <v>руб.</v>
      </c>
      <c r="D787" s="48"/>
      <c r="E787" s="48"/>
      <c r="F787" s="160">
        <f ca="1">Проект!$F$1261</f>
        <v>13127500</v>
      </c>
      <c r="G787" s="160">
        <f ca="1">Проект!$G$1261</f>
        <v>58087900</v>
      </c>
      <c r="H787" s="160">
        <f ca="1">Проект!$H$1261</f>
        <v>91768300</v>
      </c>
      <c r="I787" s="160">
        <f ca="1">Проект!$I$1261</f>
        <v>91688500</v>
      </c>
      <c r="J787" s="160">
        <f ca="1">Проект!$J$1261</f>
        <v>91688500</v>
      </c>
      <c r="K787" s="160" t="e">
        <f>Проект!#REF!</f>
        <v>#REF!</v>
      </c>
      <c r="L787" s="160" t="e">
        <f>Проект!#REF!</f>
        <v>#REF!</v>
      </c>
      <c r="M787" s="160" t="e">
        <f>Проект!#REF!</f>
        <v>#REF!</v>
      </c>
      <c r="N787" s="160" t="e">
        <f>Проект!#REF!</f>
        <v>#REF!</v>
      </c>
      <c r="O787" s="160" t="e">
        <f>Проект!#REF!</f>
        <v>#REF!</v>
      </c>
      <c r="P787" s="160" t="e">
        <f>Проект!#REF!</f>
        <v>#REF!</v>
      </c>
      <c r="Q787" s="160">
        <f ca="1">Проект!$K$1261</f>
        <v>91688500</v>
      </c>
      <c r="R787" s="48"/>
      <c r="S787" s="95">
        <f ca="1">Проект!$M$1261</f>
        <v>438049200</v>
      </c>
    </row>
    <row r="788" spans="1:19" ht="11.25" customHeight="1" x14ac:dyDescent="0.2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95"/>
    </row>
    <row r="789" spans="1:19" ht="11.25" customHeight="1" x14ac:dyDescent="0.2">
      <c r="A789" s="48" t="str">
        <f ca="1">Проект!$A$1263</f>
        <v>Инвестиции в земельные участки</v>
      </c>
      <c r="B789" s="48"/>
      <c r="C789" s="73" t="str">
        <f ca="1">Проект!$C$1263</f>
        <v>руб.</v>
      </c>
      <c r="D789" s="48"/>
      <c r="E789" s="48"/>
      <c r="F789" s="84">
        <f>Проект!$F$1263</f>
        <v>0</v>
      </c>
      <c r="G789" s="84">
        <f>Проект!$G$1263</f>
        <v>0</v>
      </c>
      <c r="H789" s="84">
        <f>Проект!$H$1263</f>
        <v>0</v>
      </c>
      <c r="I789" s="84">
        <f>Проект!$I$1263</f>
        <v>0</v>
      </c>
      <c r="J789" s="84">
        <f>Проект!$J$1263</f>
        <v>0</v>
      </c>
      <c r="K789" s="84" t="e">
        <f>Проект!#REF!</f>
        <v>#REF!</v>
      </c>
      <c r="L789" s="84" t="e">
        <f>Проект!#REF!</f>
        <v>#REF!</v>
      </c>
      <c r="M789" s="84" t="e">
        <f>Проект!#REF!</f>
        <v>#REF!</v>
      </c>
      <c r="N789" s="84" t="e">
        <f>Проект!#REF!</f>
        <v>#REF!</v>
      </c>
      <c r="O789" s="84" t="e">
        <f>Проект!#REF!</f>
        <v>#REF!</v>
      </c>
      <c r="P789" s="84" t="e">
        <f>Проект!#REF!</f>
        <v>#REF!</v>
      </c>
      <c r="Q789" s="84">
        <f>Проект!$K$1263</f>
        <v>0</v>
      </c>
      <c r="R789" s="48"/>
      <c r="S789" s="94">
        <f>Проект!$M$1263</f>
        <v>0</v>
      </c>
    </row>
    <row r="790" spans="1:19" ht="11.25" customHeight="1" x14ac:dyDescent="0.2">
      <c r="A790" s="48" t="str">
        <f ca="1">Проект!$A$1264</f>
        <v>Инвестиции в здания и сооружения</v>
      </c>
      <c r="B790" s="48"/>
      <c r="C790" s="73" t="str">
        <f ca="1">Проект!$C$1264</f>
        <v>руб.</v>
      </c>
      <c r="D790" s="48"/>
      <c r="E790" s="48"/>
      <c r="F790" s="84">
        <f>Проект!$F$1264</f>
        <v>-40000</v>
      </c>
      <c r="G790" s="84">
        <f>Проект!$G$1264</f>
        <v>-40000</v>
      </c>
      <c r="H790" s="84">
        <f>Проект!$H$1264</f>
        <v>-50000</v>
      </c>
      <c r="I790" s="84">
        <f>Проект!$I$1264</f>
        <v>-50000</v>
      </c>
      <c r="J790" s="84">
        <f>Проект!$J$1264</f>
        <v>-50000</v>
      </c>
      <c r="K790" s="84" t="e">
        <f>Проект!#REF!</f>
        <v>#REF!</v>
      </c>
      <c r="L790" s="84" t="e">
        <f>Проект!#REF!</f>
        <v>#REF!</v>
      </c>
      <c r="M790" s="84" t="e">
        <f>Проект!#REF!</f>
        <v>#REF!</v>
      </c>
      <c r="N790" s="84" t="e">
        <f>Проект!#REF!</f>
        <v>#REF!</v>
      </c>
      <c r="O790" s="84" t="e">
        <f>Проект!#REF!</f>
        <v>#REF!</v>
      </c>
      <c r="P790" s="84" t="e">
        <f>Проект!#REF!</f>
        <v>#REF!</v>
      </c>
      <c r="Q790" s="84">
        <f>Проект!$K$1264</f>
        <v>-50000</v>
      </c>
      <c r="R790" s="48"/>
      <c r="S790" s="94">
        <f>Проект!$M$1264</f>
        <v>-280000</v>
      </c>
    </row>
    <row r="791" spans="1:19" ht="11.25" customHeight="1" x14ac:dyDescent="0.2">
      <c r="A791" s="48" t="str">
        <f ca="1">Проект!$A$1265</f>
        <v>Инвестиции в оборудование и прочие активы</v>
      </c>
      <c r="B791" s="48"/>
      <c r="C791" s="73" t="str">
        <f ca="1">Проект!$C$1265</f>
        <v>руб.</v>
      </c>
      <c r="D791" s="48"/>
      <c r="E791" s="48"/>
      <c r="F791" s="84">
        <f>Проект!$F$1265</f>
        <v>-500000</v>
      </c>
      <c r="G791" s="84">
        <f>Проект!$G$1265</f>
        <v>0</v>
      </c>
      <c r="H791" s="84">
        <f>Проект!$H$1265</f>
        <v>0</v>
      </c>
      <c r="I791" s="84">
        <f>Проект!$I$1265</f>
        <v>-700000</v>
      </c>
      <c r="J791" s="84">
        <f>Проект!$J$1265</f>
        <v>0</v>
      </c>
      <c r="K791" s="84" t="e">
        <f>Проект!#REF!</f>
        <v>#REF!</v>
      </c>
      <c r="L791" s="84" t="e">
        <f>Проект!#REF!</f>
        <v>#REF!</v>
      </c>
      <c r="M791" s="84" t="e">
        <f>Проект!#REF!</f>
        <v>#REF!</v>
      </c>
      <c r="N791" s="84" t="e">
        <f>Проект!#REF!</f>
        <v>#REF!</v>
      </c>
      <c r="O791" s="84" t="e">
        <f>Проект!#REF!</f>
        <v>#REF!</v>
      </c>
      <c r="P791" s="84" t="e">
        <f>Проект!#REF!</f>
        <v>#REF!</v>
      </c>
      <c r="Q791" s="84">
        <f>Проект!$K$1265</f>
        <v>0</v>
      </c>
      <c r="R791" s="48"/>
      <c r="S791" s="94">
        <f>Проект!$M$1265</f>
        <v>-1200000</v>
      </c>
    </row>
    <row r="792" spans="1:19" ht="11.25" customHeight="1" x14ac:dyDescent="0.2">
      <c r="A792" s="48" t="str">
        <f ca="1">Проект!$A$1266</f>
        <v>Инвестиции в нематериальные активы</v>
      </c>
      <c r="B792" s="48"/>
      <c r="C792" s="73" t="str">
        <f ca="1">Проект!$C$1266</f>
        <v>руб.</v>
      </c>
      <c r="D792" s="48"/>
      <c r="E792" s="48"/>
      <c r="F792" s="84">
        <f>Проект!$F$1266</f>
        <v>0</v>
      </c>
      <c r="G792" s="84">
        <f>Проект!$G$1266</f>
        <v>0</v>
      </c>
      <c r="H792" s="84">
        <f>Проект!$H$1266</f>
        <v>0</v>
      </c>
      <c r="I792" s="84">
        <f>Проект!$I$1266</f>
        <v>0</v>
      </c>
      <c r="J792" s="84">
        <f>Проект!$J$1266</f>
        <v>0</v>
      </c>
      <c r="K792" s="84" t="e">
        <f>Проект!#REF!</f>
        <v>#REF!</v>
      </c>
      <c r="L792" s="84" t="e">
        <f>Проект!#REF!</f>
        <v>#REF!</v>
      </c>
      <c r="M792" s="84" t="e">
        <f>Проект!#REF!</f>
        <v>#REF!</v>
      </c>
      <c r="N792" s="84" t="e">
        <f>Проект!#REF!</f>
        <v>#REF!</v>
      </c>
      <c r="O792" s="84" t="e">
        <f>Проект!#REF!</f>
        <v>#REF!</v>
      </c>
      <c r="P792" s="84" t="e">
        <f>Проект!#REF!</f>
        <v>#REF!</v>
      </c>
      <c r="Q792" s="84">
        <f>Проект!$K$1266</f>
        <v>0</v>
      </c>
      <c r="R792" s="48"/>
      <c r="S792" s="94">
        <f>Проект!$M$1266</f>
        <v>0</v>
      </c>
    </row>
    <row r="793" spans="1:19" ht="11.25" customHeight="1" x14ac:dyDescent="0.2">
      <c r="A793" s="48" t="str">
        <f ca="1">Проект!$A$1267</f>
        <v>Инвестиции в финансовые активы</v>
      </c>
      <c r="B793" s="48"/>
      <c r="C793" s="73" t="str">
        <f ca="1">Проект!$C$1267</f>
        <v>руб.</v>
      </c>
      <c r="D793" s="48"/>
      <c r="E793" s="48"/>
      <c r="F793" s="84">
        <f>Проект!$F$1267</f>
        <v>0</v>
      </c>
      <c r="G793" s="84">
        <f>Проект!$G$1267</f>
        <v>0</v>
      </c>
      <c r="H793" s="84">
        <f>Проект!$H$1267</f>
        <v>0</v>
      </c>
      <c r="I793" s="84">
        <f>Проект!$I$1267</f>
        <v>0</v>
      </c>
      <c r="J793" s="84">
        <f>Проект!$J$1267</f>
        <v>0</v>
      </c>
      <c r="K793" s="84" t="e">
        <f>Проект!#REF!</f>
        <v>#REF!</v>
      </c>
      <c r="L793" s="84" t="e">
        <f>Проект!#REF!</f>
        <v>#REF!</v>
      </c>
      <c r="M793" s="84" t="e">
        <f>Проект!#REF!</f>
        <v>#REF!</v>
      </c>
      <c r="N793" s="84" t="e">
        <f>Проект!#REF!</f>
        <v>#REF!</v>
      </c>
      <c r="O793" s="84" t="e">
        <f>Проект!#REF!</f>
        <v>#REF!</v>
      </c>
      <c r="P793" s="84" t="e">
        <f>Проект!#REF!</f>
        <v>#REF!</v>
      </c>
      <c r="Q793" s="84">
        <f>Проект!$K$1267</f>
        <v>0</v>
      </c>
      <c r="R793" s="48"/>
      <c r="S793" s="94">
        <f>Проект!$M$1267</f>
        <v>0</v>
      </c>
    </row>
    <row r="794" spans="1:19" ht="11.25" customHeight="1" x14ac:dyDescent="0.2">
      <c r="A794" s="48" t="str">
        <f ca="1">Проект!$A$1268</f>
        <v>Оплата расходов будущих периодов</v>
      </c>
      <c r="B794" s="48"/>
      <c r="C794" s="73" t="str">
        <f ca="1">Проект!$C$1268</f>
        <v>руб.</v>
      </c>
      <c r="D794" s="48"/>
      <c r="E794" s="48"/>
      <c r="F794" s="84">
        <f>Проект!$F$1268</f>
        <v>0</v>
      </c>
      <c r="G794" s="84">
        <f>Проект!$G$1268</f>
        <v>0</v>
      </c>
      <c r="H794" s="84">
        <f>Проект!$H$1268</f>
        <v>0</v>
      </c>
      <c r="I794" s="84">
        <f>Проект!$I$1268</f>
        <v>0</v>
      </c>
      <c r="J794" s="84">
        <f>Проект!$J$1268</f>
        <v>0</v>
      </c>
      <c r="K794" s="84" t="e">
        <f>Проект!#REF!</f>
        <v>#REF!</v>
      </c>
      <c r="L794" s="84" t="e">
        <f>Проект!#REF!</f>
        <v>#REF!</v>
      </c>
      <c r="M794" s="84" t="e">
        <f>Проект!#REF!</f>
        <v>#REF!</v>
      </c>
      <c r="N794" s="84" t="e">
        <f>Проект!#REF!</f>
        <v>#REF!</v>
      </c>
      <c r="O794" s="84" t="e">
        <f>Проект!#REF!</f>
        <v>#REF!</v>
      </c>
      <c r="P794" s="84" t="e">
        <f>Проект!#REF!</f>
        <v>#REF!</v>
      </c>
      <c r="Q794" s="84">
        <f>Проект!$K$1268</f>
        <v>0</v>
      </c>
      <c r="R794" s="48"/>
      <c r="S794" s="94">
        <f>Проект!$M$1268</f>
        <v>0</v>
      </c>
    </row>
    <row r="795" spans="1:19" ht="11.25" customHeight="1" x14ac:dyDescent="0.2">
      <c r="A795" s="48" t="str">
        <f ca="1">Проект!$A$1269</f>
        <v>Прирост чистого оборотного капитала</v>
      </c>
      <c r="B795" s="48"/>
      <c r="C795" s="73" t="str">
        <f ca="1">Проект!$C$1269</f>
        <v>руб.</v>
      </c>
      <c r="D795" s="48"/>
      <c r="E795" s="48"/>
      <c r="F795" s="84">
        <f ca="1">Проект!$F$1269</f>
        <v>2534583.333333333</v>
      </c>
      <c r="G795" s="84">
        <f ca="1">Проект!$G$1269</f>
        <v>8801560</v>
      </c>
      <c r="H795" s="84">
        <f ca="1">Проект!$H$1269</f>
        <v>6641560</v>
      </c>
      <c r="I795" s="84">
        <f ca="1">Проект!$I$1269</f>
        <v>80780</v>
      </c>
      <c r="J795" s="84">
        <f ca="1">Проект!$J$1269</f>
        <v>0</v>
      </c>
      <c r="K795" s="84" t="e">
        <f>Проект!#REF!</f>
        <v>#REF!</v>
      </c>
      <c r="L795" s="84" t="e">
        <f>Проект!#REF!</f>
        <v>#REF!</v>
      </c>
      <c r="M795" s="84" t="e">
        <f>Проект!#REF!</f>
        <v>#REF!</v>
      </c>
      <c r="N795" s="84" t="e">
        <f>Проект!#REF!</f>
        <v>#REF!</v>
      </c>
      <c r="O795" s="84" t="e">
        <f>Проект!#REF!</f>
        <v>#REF!</v>
      </c>
      <c r="P795" s="84" t="e">
        <f>Проект!#REF!</f>
        <v>#REF!</v>
      </c>
      <c r="Q795" s="84">
        <f ca="1">Проект!$K$1269</f>
        <v>0</v>
      </c>
      <c r="R795" s="48"/>
      <c r="S795" s="94">
        <f ca="1">Проект!$M$1269</f>
        <v>18058483.333333332</v>
      </c>
    </row>
    <row r="796" spans="1:19" ht="11.25" customHeight="1" x14ac:dyDescent="0.2">
      <c r="A796" s="48" t="str">
        <f ca="1">Проект!$A$1270</f>
        <v>Выручка от реализации активов</v>
      </c>
      <c r="B796" s="48"/>
      <c r="C796" s="73" t="str">
        <f ca="1">Проект!$C$1270</f>
        <v>руб.</v>
      </c>
      <c r="D796" s="48"/>
      <c r="E796" s="48"/>
      <c r="F796" s="84">
        <f>Проект!$F$1270</f>
        <v>0</v>
      </c>
      <c r="G796" s="84">
        <f>Проект!$G$1270</f>
        <v>0</v>
      </c>
      <c r="H796" s="84">
        <f>Проект!$H$1270</f>
        <v>0</v>
      </c>
      <c r="I796" s="84">
        <f>Проект!$I$1270</f>
        <v>0</v>
      </c>
      <c r="J796" s="84">
        <f>Проект!$J$1270</f>
        <v>0</v>
      </c>
      <c r="K796" s="84" t="e">
        <f>Проект!#REF!</f>
        <v>#REF!</v>
      </c>
      <c r="L796" s="84" t="e">
        <f>Проект!#REF!</f>
        <v>#REF!</v>
      </c>
      <c r="M796" s="84" t="e">
        <f>Проект!#REF!</f>
        <v>#REF!</v>
      </c>
      <c r="N796" s="84" t="e">
        <f>Проект!#REF!</f>
        <v>#REF!</v>
      </c>
      <c r="O796" s="84" t="e">
        <f>Проект!#REF!</f>
        <v>#REF!</v>
      </c>
      <c r="P796" s="84" t="e">
        <f>Проект!#REF!</f>
        <v>#REF!</v>
      </c>
      <c r="Q796" s="84">
        <f>Проект!$K$1270</f>
        <v>0</v>
      </c>
      <c r="R796" s="48"/>
      <c r="S796" s="94">
        <f>Проект!$M$1270</f>
        <v>0</v>
      </c>
    </row>
    <row r="797" spans="1:19" ht="11.25" customHeight="1" x14ac:dyDescent="0.2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1"/>
    </row>
    <row r="798" spans="1:19" ht="11.25" customHeight="1" x14ac:dyDescent="0.2">
      <c r="A798" s="130" t="str">
        <f ca="1">Проект!$A$1272</f>
        <v>Денежные потоки от инвестиционной деятельности</v>
      </c>
      <c r="B798" s="48"/>
      <c r="C798" s="73" t="str">
        <f ca="1">Проект!$C$1272</f>
        <v>руб.</v>
      </c>
      <c r="D798" s="48"/>
      <c r="E798" s="48"/>
      <c r="F798" s="160">
        <f ca="1">Проект!$F$1272</f>
        <v>1994583.333333333</v>
      </c>
      <c r="G798" s="160">
        <f ca="1">Проект!$G$1272</f>
        <v>8761560</v>
      </c>
      <c r="H798" s="160">
        <f ca="1">Проект!$H$1272</f>
        <v>6591560</v>
      </c>
      <c r="I798" s="160">
        <f ca="1">Проект!$I$1272</f>
        <v>-669220</v>
      </c>
      <c r="J798" s="160">
        <f ca="1">Проект!$J$1272</f>
        <v>-50000</v>
      </c>
      <c r="K798" s="160" t="e">
        <f>Проект!#REF!</f>
        <v>#REF!</v>
      </c>
      <c r="L798" s="160" t="e">
        <f>Проект!#REF!</f>
        <v>#REF!</v>
      </c>
      <c r="M798" s="160" t="e">
        <f>Проект!#REF!</f>
        <v>#REF!</v>
      </c>
      <c r="N798" s="160" t="e">
        <f>Проект!#REF!</f>
        <v>#REF!</v>
      </c>
      <c r="O798" s="160" t="e">
        <f>Проект!#REF!</f>
        <v>#REF!</v>
      </c>
      <c r="P798" s="160" t="e">
        <f>Проект!#REF!</f>
        <v>#REF!</v>
      </c>
      <c r="Q798" s="160">
        <f ca="1">Проект!$K$1272</f>
        <v>-50000</v>
      </c>
      <c r="R798" s="48"/>
      <c r="S798" s="95">
        <f ca="1">Проект!$M$1272</f>
        <v>16578483.333333332</v>
      </c>
    </row>
    <row r="799" spans="1:19" ht="11.25" customHeight="1" x14ac:dyDescent="0.2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1"/>
    </row>
    <row r="800" spans="1:19" ht="11.25" customHeight="1" x14ac:dyDescent="0.2">
      <c r="A800" s="48" t="str">
        <f ca="1">Проект!$A$1274</f>
        <v>Поступления собственного капитала</v>
      </c>
      <c r="B800" s="48"/>
      <c r="C800" s="73" t="str">
        <f ca="1">Проект!$C$1274</f>
        <v>руб.</v>
      </c>
      <c r="D800" s="48"/>
      <c r="E800" s="48"/>
      <c r="F800" s="84">
        <f>Проект!$F$1274</f>
        <v>0</v>
      </c>
      <c r="G800" s="84">
        <f>Проект!$G$1274</f>
        <v>0</v>
      </c>
      <c r="H800" s="84">
        <f>Проект!$H$1274</f>
        <v>0</v>
      </c>
      <c r="I800" s="84">
        <f>Проект!$I$1274</f>
        <v>0</v>
      </c>
      <c r="J800" s="84">
        <f>Проект!$J$1274</f>
        <v>0</v>
      </c>
      <c r="K800" s="84" t="e">
        <f>Проект!#REF!</f>
        <v>#REF!</v>
      </c>
      <c r="L800" s="84" t="e">
        <f>Проект!#REF!</f>
        <v>#REF!</v>
      </c>
      <c r="M800" s="84" t="e">
        <f>Проект!#REF!</f>
        <v>#REF!</v>
      </c>
      <c r="N800" s="84" t="e">
        <f>Проект!#REF!</f>
        <v>#REF!</v>
      </c>
      <c r="O800" s="84" t="e">
        <f>Проект!#REF!</f>
        <v>#REF!</v>
      </c>
      <c r="P800" s="84" t="e">
        <f>Проект!#REF!</f>
        <v>#REF!</v>
      </c>
      <c r="Q800" s="84">
        <f>Проект!$K$1274</f>
        <v>0</v>
      </c>
      <c r="R800" s="48"/>
      <c r="S800" s="94">
        <f>Проект!$M$1274</f>
        <v>0</v>
      </c>
    </row>
    <row r="801" spans="1:19" ht="11.25" customHeight="1" x14ac:dyDescent="0.2">
      <c r="A801" s="48" t="str">
        <f ca="1">Проект!$A$1275</f>
        <v>Целевое финансирование</v>
      </c>
      <c r="B801" s="48"/>
      <c r="C801" s="73" t="str">
        <f ca="1">Проект!$C$1275</f>
        <v>руб.</v>
      </c>
      <c r="D801" s="48"/>
      <c r="E801" s="48"/>
      <c r="F801" s="84">
        <f>Проект!$F$1275</f>
        <v>0</v>
      </c>
      <c r="G801" s="84">
        <f>Проект!$G$1275</f>
        <v>0</v>
      </c>
      <c r="H801" s="84">
        <f>Проект!$H$1275</f>
        <v>0</v>
      </c>
      <c r="I801" s="84">
        <f>Проект!$I$1275</f>
        <v>0</v>
      </c>
      <c r="J801" s="84">
        <f>Проект!$J$1275</f>
        <v>0</v>
      </c>
      <c r="K801" s="84" t="e">
        <f>Проект!#REF!</f>
        <v>#REF!</v>
      </c>
      <c r="L801" s="84" t="e">
        <f>Проект!#REF!</f>
        <v>#REF!</v>
      </c>
      <c r="M801" s="84" t="e">
        <f>Проект!#REF!</f>
        <v>#REF!</v>
      </c>
      <c r="N801" s="84" t="e">
        <f>Проект!#REF!</f>
        <v>#REF!</v>
      </c>
      <c r="O801" s="84" t="e">
        <f>Проект!#REF!</f>
        <v>#REF!</v>
      </c>
      <c r="P801" s="84" t="e">
        <f>Проект!#REF!</f>
        <v>#REF!</v>
      </c>
      <c r="Q801" s="84">
        <f>Проект!$K$1275</f>
        <v>0</v>
      </c>
      <c r="R801" s="48"/>
      <c r="S801" s="94">
        <f>Проект!$M$1275</f>
        <v>0</v>
      </c>
    </row>
    <row r="802" spans="1:19" ht="11.25" customHeight="1" x14ac:dyDescent="0.2">
      <c r="A802" s="48" t="str">
        <f ca="1">Проект!$A$1276</f>
        <v>Средства от инвесторов строительства</v>
      </c>
      <c r="B802" s="48"/>
      <c r="C802" s="73" t="str">
        <f ca="1">Проект!$C$1276</f>
        <v>руб.</v>
      </c>
      <c r="D802" s="48"/>
      <c r="E802" s="48"/>
      <c r="F802" s="84">
        <f>Проект!$F$1276</f>
        <v>0</v>
      </c>
      <c r="G802" s="84">
        <f>Проект!$G$1276</f>
        <v>0</v>
      </c>
      <c r="H802" s="84">
        <f>Проект!$H$1276</f>
        <v>0</v>
      </c>
      <c r="I802" s="84">
        <f>Проект!$I$1276</f>
        <v>0</v>
      </c>
      <c r="J802" s="84">
        <f>Проект!$J$1276</f>
        <v>0</v>
      </c>
      <c r="K802" s="84" t="e">
        <f>Проект!#REF!</f>
        <v>#REF!</v>
      </c>
      <c r="L802" s="84" t="e">
        <f>Проект!#REF!</f>
        <v>#REF!</v>
      </c>
      <c r="M802" s="84" t="e">
        <f>Проект!#REF!</f>
        <v>#REF!</v>
      </c>
      <c r="N802" s="84" t="e">
        <f>Проект!#REF!</f>
        <v>#REF!</v>
      </c>
      <c r="O802" s="84" t="e">
        <f>Проект!#REF!</f>
        <v>#REF!</v>
      </c>
      <c r="P802" s="84" t="e">
        <f>Проект!#REF!</f>
        <v>#REF!</v>
      </c>
      <c r="Q802" s="84">
        <f>Проект!$K$1276</f>
        <v>0</v>
      </c>
      <c r="R802" s="48"/>
      <c r="S802" s="94"/>
    </row>
    <row r="803" spans="1:19" ht="11.25" customHeight="1" x14ac:dyDescent="0.2">
      <c r="A803" s="48" t="str">
        <f ca="1">Проект!$A$1277</f>
        <v>Поступления кредитов</v>
      </c>
      <c r="B803" s="48"/>
      <c r="C803" s="73" t="str">
        <f ca="1">Проект!$C$1277</f>
        <v>руб.</v>
      </c>
      <c r="D803" s="48"/>
      <c r="E803" s="48"/>
      <c r="F803" s="84">
        <f>Проект!$F$1277</f>
        <v>0</v>
      </c>
      <c r="G803" s="84">
        <f>Проект!$G$1277</f>
        <v>0</v>
      </c>
      <c r="H803" s="84">
        <f>Проект!$H$1277</f>
        <v>0</v>
      </c>
      <c r="I803" s="84">
        <f>Проект!$I$1277</f>
        <v>0</v>
      </c>
      <c r="J803" s="84">
        <f>Проект!$J$1277</f>
        <v>0</v>
      </c>
      <c r="K803" s="84" t="e">
        <f>Проект!#REF!</f>
        <v>#REF!</v>
      </c>
      <c r="L803" s="84" t="e">
        <f>Проект!#REF!</f>
        <v>#REF!</v>
      </c>
      <c r="M803" s="84" t="e">
        <f>Проект!#REF!</f>
        <v>#REF!</v>
      </c>
      <c r="N803" s="84" t="e">
        <f>Проект!#REF!</f>
        <v>#REF!</v>
      </c>
      <c r="O803" s="84" t="e">
        <f>Проект!#REF!</f>
        <v>#REF!</v>
      </c>
      <c r="P803" s="84" t="e">
        <f>Проект!#REF!</f>
        <v>#REF!</v>
      </c>
      <c r="Q803" s="84">
        <f>Проект!$K$1277</f>
        <v>0</v>
      </c>
      <c r="R803" s="48"/>
      <c r="S803" s="94">
        <f>Проект!$M$1277</f>
        <v>0</v>
      </c>
    </row>
    <row r="804" spans="1:19" ht="11.25" customHeight="1" x14ac:dyDescent="0.2">
      <c r="A804" s="48" t="str">
        <f ca="1">Проект!$A$1278</f>
        <v>Возврат кредитов</v>
      </c>
      <c r="B804" s="48"/>
      <c r="C804" s="73" t="str">
        <f ca="1">Проект!$C$1278</f>
        <v>руб.</v>
      </c>
      <c r="D804" s="48"/>
      <c r="E804" s="48"/>
      <c r="F804" s="84">
        <f>Проект!$F$1278</f>
        <v>0</v>
      </c>
      <c r="G804" s="84">
        <f>Проект!$G$1278</f>
        <v>0</v>
      </c>
      <c r="H804" s="84">
        <f>Проект!$H$1278</f>
        <v>0</v>
      </c>
      <c r="I804" s="84">
        <f>Проект!$I$1278</f>
        <v>0</v>
      </c>
      <c r="J804" s="84">
        <f>Проект!$J$1278</f>
        <v>0</v>
      </c>
      <c r="K804" s="84" t="e">
        <f>Проект!#REF!</f>
        <v>#REF!</v>
      </c>
      <c r="L804" s="84" t="e">
        <f>Проект!#REF!</f>
        <v>#REF!</v>
      </c>
      <c r="M804" s="84" t="e">
        <f>Проект!#REF!</f>
        <v>#REF!</v>
      </c>
      <c r="N804" s="84" t="e">
        <f>Проект!#REF!</f>
        <v>#REF!</v>
      </c>
      <c r="O804" s="84" t="e">
        <f>Проект!#REF!</f>
        <v>#REF!</v>
      </c>
      <c r="P804" s="84" t="e">
        <f>Проект!#REF!</f>
        <v>#REF!</v>
      </c>
      <c r="Q804" s="84">
        <f>Проект!$K$1278</f>
        <v>0</v>
      </c>
      <c r="R804" s="48"/>
      <c r="S804" s="94">
        <f>Проект!$M$1278</f>
        <v>0</v>
      </c>
    </row>
    <row r="805" spans="1:19" ht="11.25" customHeight="1" x14ac:dyDescent="0.2">
      <c r="A805" s="48" t="str">
        <f ca="1">Проект!$A$1279</f>
        <v>Лизинговые платежи</v>
      </c>
      <c r="B805" s="48"/>
      <c r="C805" s="73" t="str">
        <f ca="1">Проект!$C$1279</f>
        <v>руб.</v>
      </c>
      <c r="D805" s="48"/>
      <c r="E805" s="48"/>
      <c r="F805" s="84">
        <f ca="1">Проект!$F$1279</f>
        <v>0</v>
      </c>
      <c r="G805" s="84">
        <f ca="1">Проект!$G$1279</f>
        <v>0</v>
      </c>
      <c r="H805" s="84">
        <f ca="1">Проект!$H$1279</f>
        <v>0</v>
      </c>
      <c r="I805" s="84">
        <f ca="1">Проект!$I$1279</f>
        <v>0</v>
      </c>
      <c r="J805" s="84">
        <f ca="1">Проект!$J$1279</f>
        <v>0</v>
      </c>
      <c r="K805" s="84" t="e">
        <f>Проект!#REF!</f>
        <v>#REF!</v>
      </c>
      <c r="L805" s="84" t="e">
        <f>Проект!#REF!</f>
        <v>#REF!</v>
      </c>
      <c r="M805" s="84" t="e">
        <f>Проект!#REF!</f>
        <v>#REF!</v>
      </c>
      <c r="N805" s="84" t="e">
        <f>Проект!#REF!</f>
        <v>#REF!</v>
      </c>
      <c r="O805" s="84" t="e">
        <f>Проект!#REF!</f>
        <v>#REF!</v>
      </c>
      <c r="P805" s="84" t="e">
        <f>Проект!#REF!</f>
        <v>#REF!</v>
      </c>
      <c r="Q805" s="84">
        <f ca="1">Проект!$K$1279</f>
        <v>0</v>
      </c>
      <c r="R805" s="48"/>
      <c r="S805" s="94">
        <f ca="1">Проект!$M$1279</f>
        <v>0</v>
      </c>
    </row>
    <row r="806" spans="1:19" ht="11.25" customHeight="1" x14ac:dyDescent="0.2">
      <c r="A806" s="48" t="str">
        <f ca="1">Проект!$A$1280</f>
        <v>Выплата дивидендов</v>
      </c>
      <c r="B806" s="48"/>
      <c r="C806" s="73" t="str">
        <f ca="1">Проект!$C$1280</f>
        <v>руб.</v>
      </c>
      <c r="D806" s="48"/>
      <c r="E806" s="48"/>
      <c r="F806" s="106">
        <f ca="1">Проект!$F$1280</f>
        <v>0</v>
      </c>
      <c r="G806" s="106">
        <f ca="1">Проект!$G$1280</f>
        <v>0</v>
      </c>
      <c r="H806" s="106">
        <f ca="1">Проект!$H$1280</f>
        <v>0</v>
      </c>
      <c r="I806" s="106">
        <f ca="1">Проект!$I$1280</f>
        <v>0</v>
      </c>
      <c r="J806" s="106">
        <f ca="1">Проект!$J$1280</f>
        <v>0</v>
      </c>
      <c r="K806" s="106" t="e">
        <f>Проект!#REF!</f>
        <v>#REF!</v>
      </c>
      <c r="L806" s="106" t="e">
        <f>Проект!#REF!</f>
        <v>#REF!</v>
      </c>
      <c r="M806" s="106" t="e">
        <f>Проект!#REF!</f>
        <v>#REF!</v>
      </c>
      <c r="N806" s="106" t="e">
        <f>Проект!#REF!</f>
        <v>#REF!</v>
      </c>
      <c r="O806" s="106" t="e">
        <f>Проект!#REF!</f>
        <v>#REF!</v>
      </c>
      <c r="P806" s="106" t="e">
        <f>Проект!#REF!</f>
        <v>#REF!</v>
      </c>
      <c r="Q806" s="106">
        <f ca="1">Проект!$K$1280</f>
        <v>0</v>
      </c>
      <c r="R806" s="48"/>
      <c r="S806" s="94">
        <f ca="1">Проект!$M$1280</f>
        <v>0</v>
      </c>
    </row>
    <row r="807" spans="1:19" ht="11.25" customHeight="1" x14ac:dyDescent="0.2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1"/>
    </row>
    <row r="808" spans="1:19" ht="11.25" customHeight="1" x14ac:dyDescent="0.2">
      <c r="A808" s="130" t="str">
        <f ca="1">Проект!$A$1282</f>
        <v>Денежные потоки от финансовой деятельности</v>
      </c>
      <c r="B808" s="48"/>
      <c r="C808" s="73" t="str">
        <f ca="1">Проект!$C$1282</f>
        <v>руб.</v>
      </c>
      <c r="D808" s="48"/>
      <c r="E808" s="48"/>
      <c r="F808" s="160">
        <f ca="1">Проект!$F$1282</f>
        <v>0</v>
      </c>
      <c r="G808" s="160">
        <f ca="1">Проект!$G$1282</f>
        <v>0</v>
      </c>
      <c r="H808" s="160">
        <f ca="1">Проект!$H$1282</f>
        <v>0</v>
      </c>
      <c r="I808" s="160">
        <f ca="1">Проект!$I$1282</f>
        <v>0</v>
      </c>
      <c r="J808" s="160">
        <f ca="1">Проект!$J$1282</f>
        <v>0</v>
      </c>
      <c r="K808" s="160" t="e">
        <f>Проект!#REF!</f>
        <v>#REF!</v>
      </c>
      <c r="L808" s="160" t="e">
        <f>Проект!#REF!</f>
        <v>#REF!</v>
      </c>
      <c r="M808" s="160" t="e">
        <f>Проект!#REF!</f>
        <v>#REF!</v>
      </c>
      <c r="N808" s="160" t="e">
        <f>Проект!#REF!</f>
        <v>#REF!</v>
      </c>
      <c r="O808" s="160" t="e">
        <f>Проект!#REF!</f>
        <v>#REF!</v>
      </c>
      <c r="P808" s="160" t="e">
        <f>Проект!#REF!</f>
        <v>#REF!</v>
      </c>
      <c r="Q808" s="160">
        <f ca="1">Проект!$K$1282</f>
        <v>0</v>
      </c>
      <c r="R808" s="48"/>
      <c r="S808" s="95">
        <f ca="1">Проект!$M$1282</f>
        <v>0</v>
      </c>
    </row>
    <row r="809" spans="1:19" ht="11.25" customHeight="1" x14ac:dyDescent="0.2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1"/>
    </row>
    <row r="810" spans="1:19" ht="11.25" customHeight="1" x14ac:dyDescent="0.2">
      <c r="A810" s="52" t="str">
        <f ca="1">Проект!$A$1284</f>
        <v>Суммарный денежный поток за период</v>
      </c>
      <c r="B810" s="380"/>
      <c r="C810" s="381" t="str">
        <f ca="1">Проект!$C$1284</f>
        <v>руб.</v>
      </c>
      <c r="D810" s="380"/>
      <c r="E810" s="380"/>
      <c r="F810" s="210">
        <f ca="1">Проект!$F$1284</f>
        <v>15122083.333333332</v>
      </c>
      <c r="G810" s="210">
        <f ca="1">Проект!$G$1284</f>
        <v>66849460</v>
      </c>
      <c r="H810" s="210">
        <f ca="1">Проект!$H$1284</f>
        <v>98359860</v>
      </c>
      <c r="I810" s="210">
        <f ca="1">Проект!$I$1284</f>
        <v>91019280</v>
      </c>
      <c r="J810" s="210">
        <f ca="1">Проект!$J$1284</f>
        <v>91638500</v>
      </c>
      <c r="K810" s="210" t="e">
        <f>Проект!#REF!</f>
        <v>#REF!</v>
      </c>
      <c r="L810" s="210" t="e">
        <f>Проект!#REF!</f>
        <v>#REF!</v>
      </c>
      <c r="M810" s="210" t="e">
        <f>Проект!#REF!</f>
        <v>#REF!</v>
      </c>
      <c r="N810" s="210" t="e">
        <f>Проект!#REF!</f>
        <v>#REF!</v>
      </c>
      <c r="O810" s="210" t="e">
        <f>Проект!#REF!</f>
        <v>#REF!</v>
      </c>
      <c r="P810" s="210" t="e">
        <f>Проект!#REF!</f>
        <v>#REF!</v>
      </c>
      <c r="Q810" s="210">
        <f ca="1">Проект!$K$1284</f>
        <v>91638500</v>
      </c>
      <c r="R810" s="52"/>
      <c r="S810" s="94">
        <f ca="1">Проект!$M$1284</f>
        <v>454627683.33333331</v>
      </c>
    </row>
    <row r="811" spans="1:19" ht="11.25" customHeight="1" x14ac:dyDescent="0.2">
      <c r="A811" s="52" t="str">
        <f ca="1">Проект!$A$1285</f>
        <v>Денежные средства на начало периода</v>
      </c>
      <c r="B811" s="380"/>
      <c r="C811" s="381" t="str">
        <f ca="1">Проект!$C$1285</f>
        <v>руб.</v>
      </c>
      <c r="D811" s="101" t="str">
        <f>Проект!$D$1285</f>
        <v>int_start</v>
      </c>
      <c r="E811" s="380"/>
      <c r="F811" s="210">
        <f>Проект!$F$1285</f>
        <v>0</v>
      </c>
      <c r="G811" s="210">
        <f ca="1">Проект!$G$1285</f>
        <v>15122083.333333332</v>
      </c>
      <c r="H811" s="210">
        <f ca="1">Проект!$H$1285</f>
        <v>81971543.333333328</v>
      </c>
      <c r="I811" s="210">
        <f ca="1">Проект!$I$1285</f>
        <v>180331403.33333331</v>
      </c>
      <c r="J811" s="210">
        <f ca="1">Проект!$J$1285</f>
        <v>271350683.33333331</v>
      </c>
      <c r="K811" s="210" t="e">
        <f>Проект!#REF!</f>
        <v>#REF!</v>
      </c>
      <c r="L811" s="210" t="e">
        <f>Проект!#REF!</f>
        <v>#REF!</v>
      </c>
      <c r="M811" s="210" t="e">
        <f>Проект!#REF!</f>
        <v>#REF!</v>
      </c>
      <c r="N811" s="210" t="e">
        <f>Проект!#REF!</f>
        <v>#REF!</v>
      </c>
      <c r="O811" s="210" t="e">
        <f>Проект!#REF!</f>
        <v>#REF!</v>
      </c>
      <c r="P811" s="210" t="e">
        <f>Проект!#REF!</f>
        <v>#REF!</v>
      </c>
      <c r="Q811" s="210">
        <f ca="1">Проект!$K$1285</f>
        <v>362989183.33333331</v>
      </c>
      <c r="R811" s="130"/>
      <c r="S811" s="382"/>
    </row>
    <row r="812" spans="1:19" ht="11.25" customHeight="1" x14ac:dyDescent="0.2">
      <c r="A812" s="130" t="str">
        <f ca="1">Проект!$A$1286</f>
        <v>Денежные средства на конец периода</v>
      </c>
      <c r="B812" s="383"/>
      <c r="C812" s="381" t="str">
        <f ca="1">Проект!$C$1286</f>
        <v>руб.</v>
      </c>
      <c r="D812" s="101" t="str">
        <f>Проект!$D$1286</f>
        <v>int_end</v>
      </c>
      <c r="E812" s="380">
        <f>Проект!$E$1286</f>
        <v>0</v>
      </c>
      <c r="F812" s="160">
        <f ca="1">Проект!$F$1286</f>
        <v>15122083.333333332</v>
      </c>
      <c r="G812" s="160">
        <f ca="1">Проект!$G$1286</f>
        <v>81971543.333333328</v>
      </c>
      <c r="H812" s="160">
        <f ca="1">Проект!$H$1286</f>
        <v>180331403.33333331</v>
      </c>
      <c r="I812" s="160">
        <f ca="1">Проект!$I$1286</f>
        <v>271350683.33333331</v>
      </c>
      <c r="J812" s="160">
        <f ca="1">Проект!$J$1286</f>
        <v>362989183.33333331</v>
      </c>
      <c r="K812" s="160" t="e">
        <f>Проект!#REF!</f>
        <v>#REF!</v>
      </c>
      <c r="L812" s="160" t="e">
        <f>Проект!#REF!</f>
        <v>#REF!</v>
      </c>
      <c r="M812" s="160" t="e">
        <f>Проект!#REF!</f>
        <v>#REF!</v>
      </c>
      <c r="N812" s="160" t="e">
        <f>Проект!#REF!</f>
        <v>#REF!</v>
      </c>
      <c r="O812" s="160" t="e">
        <f>Проект!#REF!</f>
        <v>#REF!</v>
      </c>
      <c r="P812" s="160" t="e">
        <f>Проект!#REF!</f>
        <v>#REF!</v>
      </c>
      <c r="Q812" s="160">
        <f ca="1">Проект!$K$1286</f>
        <v>454627683.33333331</v>
      </c>
      <c r="R812" s="130"/>
      <c r="S812" s="382"/>
    </row>
    <row r="815" spans="1:19" x14ac:dyDescent="0.2">
      <c r="A815" s="22" t="str">
        <f ca="1">Language!A$763 &amp; ", " &amp; Проект!CUR_Report</f>
        <v>График: Движение денежных средств, руб.</v>
      </c>
      <c r="B815" s="19"/>
      <c r="C815" s="19"/>
      <c r="D815" s="19"/>
      <c r="E815" s="19"/>
      <c r="F815" s="19"/>
      <c r="G815" s="19"/>
    </row>
    <row r="841" spans="1:1" x14ac:dyDescent="0.2">
      <c r="A841" s="11" t="str">
        <f ca="1">Language!A$764 &amp; ", " &amp; Проект!CUR_Report</f>
        <v>График: Остаток денежных средств, руб.</v>
      </c>
    </row>
    <row r="867" spans="1:7" x14ac:dyDescent="0.2">
      <c r="A867" s="22" t="str">
        <f ca="1">Language!A$1006 &amp; ", " &amp; Проект!CUR_Report</f>
        <v>График: Движение денег по кредитам, руб.</v>
      </c>
      <c r="B867" s="19"/>
      <c r="C867" s="19"/>
      <c r="D867" s="19"/>
      <c r="E867" s="19"/>
      <c r="F867" s="19"/>
      <c r="G867" s="19"/>
    </row>
    <row r="893" spans="1:1" x14ac:dyDescent="0.2">
      <c r="A893" s="11" t="str">
        <f ca="1">Language!A$1008 &amp; ", " &amp; Проект!CUR_Report</f>
        <v>График: Поступления от продаж, руб.</v>
      </c>
    </row>
    <row r="919" spans="1:19" ht="15.9" customHeight="1" thickBot="1" x14ac:dyDescent="0.25">
      <c r="A919" s="166" t="str">
        <f ca="1">Проект!$A$1389</f>
        <v xml:space="preserve">         БАЛАНС</v>
      </c>
      <c r="B919" s="166"/>
      <c r="C919" s="166"/>
      <c r="D919" s="166"/>
      <c r="E919" s="166"/>
      <c r="F919" s="178" t="str">
        <f>Проект!$F$1389</f>
        <v>4/ 2020</v>
      </c>
      <c r="G919" s="178" t="str">
        <f>Проект!$G$1389</f>
        <v>5/ 2020</v>
      </c>
      <c r="H919" s="178" t="str">
        <f>Проект!$H$1389</f>
        <v>6/ 2020</v>
      </c>
      <c r="I919" s="178" t="str">
        <f>Проект!$I$1389</f>
        <v>7/ 2020</v>
      </c>
      <c r="J919" s="178" t="str">
        <f>Проект!$J$1389</f>
        <v>8/ 2020</v>
      </c>
      <c r="K919" s="178" t="e">
        <f>Проект!#REF!</f>
        <v>#REF!</v>
      </c>
      <c r="L919" s="178" t="e">
        <f>Проект!#REF!</f>
        <v>#REF!</v>
      </c>
      <c r="M919" s="178" t="e">
        <f>Проект!#REF!</f>
        <v>#REF!</v>
      </c>
      <c r="N919" s="178" t="e">
        <f>Проект!#REF!</f>
        <v>#REF!</v>
      </c>
      <c r="O919" s="178" t="e">
        <f>Проект!#REF!</f>
        <v>#REF!</v>
      </c>
      <c r="P919" s="178" t="e">
        <f>Проект!#REF!</f>
        <v>#REF!</v>
      </c>
      <c r="Q919" s="178" t="str">
        <f>Проект!$K$1389</f>
        <v>9/ 2020</v>
      </c>
      <c r="R919" s="166"/>
      <c r="S919" s="110"/>
    </row>
    <row r="920" spans="1:19" ht="12" customHeight="1" thickTop="1" x14ac:dyDescent="0.2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1"/>
    </row>
    <row r="921" spans="1:19" ht="11.25" customHeight="1" x14ac:dyDescent="0.2">
      <c r="A921" s="48" t="str">
        <f ca="1">Проект!$A$1391</f>
        <v>Денежные средства</v>
      </c>
      <c r="B921" s="48"/>
      <c r="C921" s="73" t="str">
        <f ca="1">Проект!$C$1391</f>
        <v>руб.</v>
      </c>
      <c r="D921" s="101" t="str">
        <f>Проект!$D$1391</f>
        <v>int_end</v>
      </c>
      <c r="E921" s="48"/>
      <c r="F921" s="84">
        <f ca="1">Проект!$F$1391</f>
        <v>19955000</v>
      </c>
      <c r="G921" s="84">
        <f ca="1">Проект!$G$1391</f>
        <v>86841700</v>
      </c>
      <c r="H921" s="84">
        <f ca="1">Проект!$H$1391</f>
        <v>185238799.99999997</v>
      </c>
      <c r="I921" s="84">
        <f ca="1">Проект!$I$1391</f>
        <v>276276700</v>
      </c>
      <c r="J921" s="84">
        <f ca="1">Проект!$J$1391</f>
        <v>367915200</v>
      </c>
      <c r="K921" s="84" t="e">
        <f>Проект!#REF!</f>
        <v>#REF!</v>
      </c>
      <c r="L921" s="84" t="e">
        <f>Проект!#REF!</f>
        <v>#REF!</v>
      </c>
      <c r="M921" s="84" t="e">
        <f>Проект!#REF!</f>
        <v>#REF!</v>
      </c>
      <c r="N921" s="84" t="e">
        <f>Проект!#REF!</f>
        <v>#REF!</v>
      </c>
      <c r="O921" s="84" t="e">
        <f>Проект!#REF!</f>
        <v>#REF!</v>
      </c>
      <c r="P921" s="84" t="e">
        <f>Проект!#REF!</f>
        <v>#REF!</v>
      </c>
      <c r="Q921" s="84">
        <f ca="1">Проект!$K$1391</f>
        <v>459553700</v>
      </c>
      <c r="R921" s="48"/>
      <c r="S921" s="41"/>
    </row>
    <row r="922" spans="1:19" ht="11.25" customHeight="1" x14ac:dyDescent="0.2">
      <c r="A922" s="48" t="str">
        <f ca="1">Проект!$A$1392</f>
        <v>Дебиторская задолженность</v>
      </c>
      <c r="B922" s="48"/>
      <c r="C922" s="73" t="str">
        <f ca="1">Проект!$C$1392</f>
        <v>руб.</v>
      </c>
      <c r="D922" s="101" t="str">
        <f>Проект!$D$1392</f>
        <v>int_end</v>
      </c>
      <c r="E922" s="48"/>
      <c r="F922" s="84">
        <f>Проект!$F$1392</f>
        <v>0</v>
      </c>
      <c r="G922" s="84">
        <f>Проект!$G$1392</f>
        <v>0</v>
      </c>
      <c r="H922" s="84">
        <f>Проект!$H$1392</f>
        <v>0</v>
      </c>
      <c r="I922" s="84">
        <f>Проект!$I$1392</f>
        <v>0</v>
      </c>
      <c r="J922" s="84">
        <f>Проект!$J$1392</f>
        <v>0</v>
      </c>
      <c r="K922" s="84" t="e">
        <f>Проект!#REF!</f>
        <v>#REF!</v>
      </c>
      <c r="L922" s="84" t="e">
        <f>Проект!#REF!</f>
        <v>#REF!</v>
      </c>
      <c r="M922" s="84" t="e">
        <f>Проект!#REF!</f>
        <v>#REF!</v>
      </c>
      <c r="N922" s="84" t="e">
        <f>Проект!#REF!</f>
        <v>#REF!</v>
      </c>
      <c r="O922" s="84" t="e">
        <f>Проект!#REF!</f>
        <v>#REF!</v>
      </c>
      <c r="P922" s="84" t="e">
        <f>Проект!#REF!</f>
        <v>#REF!</v>
      </c>
      <c r="Q922" s="84">
        <f>Проект!$K$1392</f>
        <v>0</v>
      </c>
      <c r="R922" s="48"/>
      <c r="S922" s="41"/>
    </row>
    <row r="923" spans="1:19" ht="11.25" customHeight="1" x14ac:dyDescent="0.2">
      <c r="A923" s="48" t="str">
        <f ca="1">Проект!$A$1393</f>
        <v>Авансы уплаченные</v>
      </c>
      <c r="B923" s="48"/>
      <c r="C923" s="73" t="str">
        <f ca="1">Проект!$C$1393</f>
        <v>руб.</v>
      </c>
      <c r="D923" s="101" t="str">
        <f>Проект!$D$1393</f>
        <v>int_end</v>
      </c>
      <c r="E923" s="48"/>
      <c r="F923" s="84">
        <f ca="1">Проект!$F$1393</f>
        <v>0</v>
      </c>
      <c r="G923" s="84">
        <f ca="1">Проект!$G$1393</f>
        <v>0</v>
      </c>
      <c r="H923" s="84">
        <f ca="1">Проект!$H$1393</f>
        <v>0</v>
      </c>
      <c r="I923" s="84">
        <f ca="1">Проект!$I$1393</f>
        <v>0</v>
      </c>
      <c r="J923" s="84">
        <f ca="1">Проект!$J$1393</f>
        <v>0</v>
      </c>
      <c r="K923" s="84" t="e">
        <f>Проект!#REF!</f>
        <v>#REF!</v>
      </c>
      <c r="L923" s="84" t="e">
        <f>Проект!#REF!</f>
        <v>#REF!</v>
      </c>
      <c r="M923" s="84" t="e">
        <f>Проект!#REF!</f>
        <v>#REF!</v>
      </c>
      <c r="N923" s="84" t="e">
        <f>Проект!#REF!</f>
        <v>#REF!</v>
      </c>
      <c r="O923" s="84" t="e">
        <f>Проект!#REF!</f>
        <v>#REF!</v>
      </c>
      <c r="P923" s="84" t="e">
        <f>Проект!#REF!</f>
        <v>#REF!</v>
      </c>
      <c r="Q923" s="84">
        <f ca="1">Проект!$K$1393</f>
        <v>0</v>
      </c>
      <c r="R923" s="48"/>
      <c r="S923" s="41"/>
    </row>
    <row r="924" spans="1:19" ht="11.25" customHeight="1" x14ac:dyDescent="0.2">
      <c r="A924" s="48" t="str">
        <f ca="1">Проект!$A$1394</f>
        <v>Готовая продукция</v>
      </c>
      <c r="B924" s="48"/>
      <c r="C924" s="73" t="str">
        <f ca="1">Проект!$C$1394</f>
        <v>руб.</v>
      </c>
      <c r="D924" s="101" t="str">
        <f>Проект!$D$1394</f>
        <v>int_end</v>
      </c>
      <c r="E924" s="48"/>
      <c r="F924" s="84">
        <f>Проект!$F$1394</f>
        <v>0</v>
      </c>
      <c r="G924" s="84">
        <f>Проект!$G$1394</f>
        <v>0</v>
      </c>
      <c r="H924" s="84">
        <f>Проект!$H$1394</f>
        <v>0</v>
      </c>
      <c r="I924" s="84">
        <f>Проект!$I$1394</f>
        <v>0</v>
      </c>
      <c r="J924" s="84">
        <f>Проект!$J$1394</f>
        <v>0</v>
      </c>
      <c r="K924" s="84" t="e">
        <f>Проект!#REF!</f>
        <v>#REF!</v>
      </c>
      <c r="L924" s="84" t="e">
        <f>Проект!#REF!</f>
        <v>#REF!</v>
      </c>
      <c r="M924" s="84" t="e">
        <f>Проект!#REF!</f>
        <v>#REF!</v>
      </c>
      <c r="N924" s="84" t="e">
        <f>Проект!#REF!</f>
        <v>#REF!</v>
      </c>
      <c r="O924" s="84" t="e">
        <f>Проект!#REF!</f>
        <v>#REF!</v>
      </c>
      <c r="P924" s="84" t="e">
        <f>Проект!#REF!</f>
        <v>#REF!</v>
      </c>
      <c r="Q924" s="84">
        <f>Проект!$K$1394</f>
        <v>0</v>
      </c>
      <c r="R924" s="48"/>
      <c r="S924" s="41"/>
    </row>
    <row r="925" spans="1:19" ht="11.25" customHeight="1" x14ac:dyDescent="0.2">
      <c r="A925" s="48" t="str">
        <f ca="1">Проект!$A$1395</f>
        <v>Незавершенное производство</v>
      </c>
      <c r="B925" s="48"/>
      <c r="C925" s="73" t="str">
        <f ca="1">Проект!$C$1395</f>
        <v>руб.</v>
      </c>
      <c r="D925" s="101" t="str">
        <f>Проект!$D$1395</f>
        <v>int_end</v>
      </c>
      <c r="E925" s="48"/>
      <c r="F925" s="84">
        <f>Проект!$F$1395</f>
        <v>0</v>
      </c>
      <c r="G925" s="84">
        <f>Проект!$G$1395</f>
        <v>0</v>
      </c>
      <c r="H925" s="84">
        <f>Проект!$H$1395</f>
        <v>0</v>
      </c>
      <c r="I925" s="84">
        <f>Проект!$I$1395</f>
        <v>0</v>
      </c>
      <c r="J925" s="84">
        <f>Проект!$J$1395</f>
        <v>0</v>
      </c>
      <c r="K925" s="84" t="e">
        <f>Проект!#REF!</f>
        <v>#REF!</v>
      </c>
      <c r="L925" s="84" t="e">
        <f>Проект!#REF!</f>
        <v>#REF!</v>
      </c>
      <c r="M925" s="84" t="e">
        <f>Проект!#REF!</f>
        <v>#REF!</v>
      </c>
      <c r="N925" s="84" t="e">
        <f>Проект!#REF!</f>
        <v>#REF!</v>
      </c>
      <c r="O925" s="84" t="e">
        <f>Проект!#REF!</f>
        <v>#REF!</v>
      </c>
      <c r="P925" s="84" t="e">
        <f>Проект!#REF!</f>
        <v>#REF!</v>
      </c>
      <c r="Q925" s="84">
        <f>Проект!$K$1395</f>
        <v>0</v>
      </c>
      <c r="R925" s="48"/>
      <c r="S925" s="41"/>
    </row>
    <row r="926" spans="1:19" ht="11.25" customHeight="1" x14ac:dyDescent="0.2">
      <c r="A926" s="48" t="str">
        <f ca="1">Проект!$A$1396</f>
        <v>Материалы и комплектующие</v>
      </c>
      <c r="B926" s="48"/>
      <c r="C926" s="73" t="str">
        <f ca="1">Проект!$C$1396</f>
        <v>руб.</v>
      </c>
      <c r="D926" s="101" t="str">
        <f>Проект!$D$1396</f>
        <v>int_end</v>
      </c>
      <c r="E926" s="48"/>
      <c r="F926" s="84">
        <f>Проект!$F$1396</f>
        <v>0</v>
      </c>
      <c r="G926" s="84">
        <f>Проект!$G$1396</f>
        <v>0</v>
      </c>
      <c r="H926" s="84">
        <f>Проект!$H$1396</f>
        <v>0</v>
      </c>
      <c r="I926" s="84">
        <f>Проект!$I$1396</f>
        <v>0</v>
      </c>
      <c r="J926" s="84">
        <f>Проект!$J$1396</f>
        <v>0</v>
      </c>
      <c r="K926" s="84" t="e">
        <f>Проект!#REF!</f>
        <v>#REF!</v>
      </c>
      <c r="L926" s="84" t="e">
        <f>Проект!#REF!</f>
        <v>#REF!</v>
      </c>
      <c r="M926" s="84" t="e">
        <f>Проект!#REF!</f>
        <v>#REF!</v>
      </c>
      <c r="N926" s="84" t="e">
        <f>Проект!#REF!</f>
        <v>#REF!</v>
      </c>
      <c r="O926" s="84" t="e">
        <f>Проект!#REF!</f>
        <v>#REF!</v>
      </c>
      <c r="P926" s="84" t="e">
        <f>Проект!#REF!</f>
        <v>#REF!</v>
      </c>
      <c r="Q926" s="84">
        <f>Проект!$K$1396</f>
        <v>0</v>
      </c>
      <c r="R926" s="48"/>
      <c r="S926" s="41"/>
    </row>
    <row r="927" spans="1:19" ht="11.25" customHeight="1" x14ac:dyDescent="0.2">
      <c r="A927" s="48" t="str">
        <f ca="1">Проект!$A$1397</f>
        <v>НДС на приобретенные товары</v>
      </c>
      <c r="B927" s="48"/>
      <c r="C927" s="73" t="str">
        <f ca="1">Проект!$C$1397</f>
        <v>руб.</v>
      </c>
      <c r="D927" s="101" t="str">
        <f>Проект!$D$1397</f>
        <v>int_end</v>
      </c>
      <c r="E927" s="48"/>
      <c r="F927" s="84">
        <f ca="1">Проект!$F$1397</f>
        <v>0</v>
      </c>
      <c r="G927" s="84">
        <f ca="1">Проект!$G$1397</f>
        <v>0</v>
      </c>
      <c r="H927" s="84">
        <f ca="1">Проект!$H$1397</f>
        <v>0</v>
      </c>
      <c r="I927" s="84">
        <f ca="1">Проект!$I$1397</f>
        <v>0</v>
      </c>
      <c r="J927" s="84">
        <f ca="1">Проект!$J$1397</f>
        <v>0</v>
      </c>
      <c r="K927" s="84" t="e">
        <f>Проект!#REF!</f>
        <v>#REF!</v>
      </c>
      <c r="L927" s="84" t="e">
        <f>Проект!#REF!</f>
        <v>#REF!</v>
      </c>
      <c r="M927" s="84" t="e">
        <f>Проект!#REF!</f>
        <v>#REF!</v>
      </c>
      <c r="N927" s="84" t="e">
        <f>Проект!#REF!</f>
        <v>#REF!</v>
      </c>
      <c r="O927" s="84" t="e">
        <f>Проект!#REF!</f>
        <v>#REF!</v>
      </c>
      <c r="P927" s="84" t="e">
        <f>Проект!#REF!</f>
        <v>#REF!</v>
      </c>
      <c r="Q927" s="84">
        <f ca="1">Проект!$K$1397</f>
        <v>0</v>
      </c>
      <c r="R927" s="48"/>
      <c r="S927" s="41"/>
    </row>
    <row r="928" spans="1:19" ht="11.25" customHeight="1" x14ac:dyDescent="0.2">
      <c r="A928" s="48" t="str">
        <f ca="1">Проект!$A$1398</f>
        <v>Расходы будущих периодов</v>
      </c>
      <c r="B928" s="48"/>
      <c r="C928" s="73" t="str">
        <f ca="1">Проект!$C$1398</f>
        <v>руб.</v>
      </c>
      <c r="D928" s="101" t="str">
        <f>Проект!$D$1398</f>
        <v>int_end</v>
      </c>
      <c r="E928" s="48"/>
      <c r="F928" s="84">
        <f ca="1">Проект!$F$1398</f>
        <v>0</v>
      </c>
      <c r="G928" s="84">
        <f ca="1">Проект!$G$1398</f>
        <v>0</v>
      </c>
      <c r="H928" s="84">
        <f ca="1">Проект!$H$1398</f>
        <v>0</v>
      </c>
      <c r="I928" s="84">
        <f ca="1">Проект!$I$1398</f>
        <v>0</v>
      </c>
      <c r="J928" s="84">
        <f ca="1">Проект!$J$1398</f>
        <v>0</v>
      </c>
      <c r="K928" s="84" t="e">
        <f>Проект!#REF!</f>
        <v>#REF!</v>
      </c>
      <c r="L928" s="84" t="e">
        <f>Проект!#REF!</f>
        <v>#REF!</v>
      </c>
      <c r="M928" s="84" t="e">
        <f>Проект!#REF!</f>
        <v>#REF!</v>
      </c>
      <c r="N928" s="84" t="e">
        <f>Проект!#REF!</f>
        <v>#REF!</v>
      </c>
      <c r="O928" s="84" t="e">
        <f>Проект!#REF!</f>
        <v>#REF!</v>
      </c>
      <c r="P928" s="84" t="e">
        <f>Проект!#REF!</f>
        <v>#REF!</v>
      </c>
      <c r="Q928" s="84">
        <f ca="1">Проект!$K$1398</f>
        <v>0</v>
      </c>
      <c r="R928" s="48"/>
      <c r="S928" s="41"/>
    </row>
    <row r="929" spans="1:19" ht="11.25" customHeight="1" x14ac:dyDescent="0.2">
      <c r="A929" s="48" t="str">
        <f ca="1">Проект!$A$1399</f>
        <v>Прочие оборотные активы</v>
      </c>
      <c r="B929" s="48"/>
      <c r="C929" s="73" t="str">
        <f ca="1">Проект!$C$1399</f>
        <v>руб.</v>
      </c>
      <c r="D929" s="101" t="str">
        <f>Проект!$D$1399</f>
        <v>int_end</v>
      </c>
      <c r="E929" s="48"/>
      <c r="F929" s="106">
        <f>Проект!$F$1399</f>
        <v>0</v>
      </c>
      <c r="G929" s="106">
        <f>Проект!$G$1399</f>
        <v>0</v>
      </c>
      <c r="H929" s="106">
        <f>Проект!$H$1399</f>
        <v>0</v>
      </c>
      <c r="I929" s="106">
        <f>Проект!$I$1399</f>
        <v>0</v>
      </c>
      <c r="J929" s="106">
        <f>Проект!$J$1399</f>
        <v>0</v>
      </c>
      <c r="K929" s="106" t="e">
        <f>Проект!#REF!</f>
        <v>#REF!</v>
      </c>
      <c r="L929" s="106" t="e">
        <f>Проект!#REF!</f>
        <v>#REF!</v>
      </c>
      <c r="M929" s="106" t="e">
        <f>Проект!#REF!</f>
        <v>#REF!</v>
      </c>
      <c r="N929" s="106" t="e">
        <f>Проект!#REF!</f>
        <v>#REF!</v>
      </c>
      <c r="O929" s="106" t="e">
        <f>Проект!#REF!</f>
        <v>#REF!</v>
      </c>
      <c r="P929" s="106" t="e">
        <f>Проект!#REF!</f>
        <v>#REF!</v>
      </c>
      <c r="Q929" s="106">
        <f>Проект!$K$1399</f>
        <v>0</v>
      </c>
      <c r="R929" s="48"/>
      <c r="S929" s="41"/>
    </row>
    <row r="930" spans="1:19" ht="11.25" customHeight="1" x14ac:dyDescent="0.2">
      <c r="A930" s="130" t="str">
        <f ca="1">Проект!$A$1400</f>
        <v>Суммарные оборотные активы</v>
      </c>
      <c r="B930" s="48"/>
      <c r="C930" s="73" t="str">
        <f ca="1">Проект!$C$1400</f>
        <v>руб.</v>
      </c>
      <c r="D930" s="101" t="str">
        <f>Проект!$D$1400</f>
        <v>int_end</v>
      </c>
      <c r="E930" s="48"/>
      <c r="F930" s="160">
        <f ca="1">Проект!$F$1400</f>
        <v>19955000</v>
      </c>
      <c r="G930" s="160">
        <f ca="1">Проект!$G$1400</f>
        <v>86841700</v>
      </c>
      <c r="H930" s="160">
        <f ca="1">Проект!$H$1400</f>
        <v>185238799.99999997</v>
      </c>
      <c r="I930" s="160">
        <f ca="1">Проект!$I$1400</f>
        <v>276276700</v>
      </c>
      <c r="J930" s="160">
        <f ca="1">Проект!$J$1400</f>
        <v>367915200</v>
      </c>
      <c r="K930" s="160" t="e">
        <f>Проект!#REF!</f>
        <v>#REF!</v>
      </c>
      <c r="L930" s="160" t="e">
        <f>Проект!#REF!</f>
        <v>#REF!</v>
      </c>
      <c r="M930" s="160" t="e">
        <f>Проект!#REF!</f>
        <v>#REF!</v>
      </c>
      <c r="N930" s="160" t="e">
        <f>Проект!#REF!</f>
        <v>#REF!</v>
      </c>
      <c r="O930" s="160" t="e">
        <f>Проект!#REF!</f>
        <v>#REF!</v>
      </c>
      <c r="P930" s="160" t="e">
        <f>Проект!#REF!</f>
        <v>#REF!</v>
      </c>
      <c r="Q930" s="160">
        <f ca="1">Проект!$K$1400</f>
        <v>459553700</v>
      </c>
      <c r="R930" s="48"/>
      <c r="S930" s="41"/>
    </row>
    <row r="931" spans="1:19" ht="11.25" customHeight="1" x14ac:dyDescent="0.2">
      <c r="A931" s="48"/>
      <c r="B931" s="48"/>
      <c r="C931" s="48"/>
      <c r="D931" s="48"/>
      <c r="E931" s="48"/>
      <c r="F931" s="106"/>
      <c r="G931" s="106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48"/>
      <c r="S931" s="41"/>
    </row>
    <row r="932" spans="1:19" ht="11.25" customHeight="1" x14ac:dyDescent="0.2">
      <c r="A932" s="48" t="str">
        <f ca="1">Проект!$A$1402</f>
        <v>Внеоборотные активы</v>
      </c>
      <c r="B932" s="48"/>
      <c r="C932" s="73" t="str">
        <f ca="1">Проект!$C$1402</f>
        <v>руб.</v>
      </c>
      <c r="D932" s="101" t="str">
        <f>Проект!$D$1402</f>
        <v>int_end</v>
      </c>
      <c r="E932" s="48"/>
      <c r="F932" s="84">
        <f ca="1">Проект!$F$1402</f>
        <v>0</v>
      </c>
      <c r="G932" s="84">
        <f ca="1">Проект!$G$1402</f>
        <v>0</v>
      </c>
      <c r="H932" s="84">
        <f ca="1">Проект!$H$1402</f>
        <v>0</v>
      </c>
      <c r="I932" s="84">
        <f ca="1">Проект!$I$1402</f>
        <v>1180000</v>
      </c>
      <c r="J932" s="84">
        <f ca="1">Проект!$J$1402</f>
        <v>1160000</v>
      </c>
      <c r="K932" s="84" t="e">
        <f>Проект!#REF!</f>
        <v>#REF!</v>
      </c>
      <c r="L932" s="84" t="e">
        <f>Проект!#REF!</f>
        <v>#REF!</v>
      </c>
      <c r="M932" s="84" t="e">
        <f>Проект!#REF!</f>
        <v>#REF!</v>
      </c>
      <c r="N932" s="84" t="e">
        <f>Проект!#REF!</f>
        <v>#REF!</v>
      </c>
      <c r="O932" s="84" t="e">
        <f>Проект!#REF!</f>
        <v>#REF!</v>
      </c>
      <c r="P932" s="84" t="e">
        <f>Проект!#REF!</f>
        <v>#REF!</v>
      </c>
      <c r="Q932" s="84">
        <f ca="1">Проект!$K$1402</f>
        <v>1418833.3333333333</v>
      </c>
      <c r="R932" s="48"/>
      <c r="S932" s="41"/>
    </row>
    <row r="933" spans="1:19" ht="11.25" customHeight="1" x14ac:dyDescent="0.2">
      <c r="A933" s="48" t="str">
        <f ca="1">Проект!$A$1403</f>
        <v xml:space="preserve">    земельные участки</v>
      </c>
      <c r="B933" s="48"/>
      <c r="C933" s="73" t="str">
        <f ca="1">Проект!$C$1403</f>
        <v>руб.</v>
      </c>
      <c r="D933" s="101" t="str">
        <f>Проект!$D$1403</f>
        <v>int_end</v>
      </c>
      <c r="E933" s="48"/>
      <c r="F933" s="84">
        <f ca="1">Проект!$F$1403</f>
        <v>0</v>
      </c>
      <c r="G933" s="84">
        <f ca="1">Проект!$G$1403</f>
        <v>0</v>
      </c>
      <c r="H933" s="84">
        <f ca="1">Проект!$H$1403</f>
        <v>0</v>
      </c>
      <c r="I933" s="84">
        <f ca="1">Проект!$I$1403</f>
        <v>0</v>
      </c>
      <c r="J933" s="84">
        <f ca="1">Проект!$J$1403</f>
        <v>0</v>
      </c>
      <c r="K933" s="84" t="e">
        <f>Проект!#REF!</f>
        <v>#REF!</v>
      </c>
      <c r="L933" s="84" t="e">
        <f>Проект!#REF!</f>
        <v>#REF!</v>
      </c>
      <c r="M933" s="84" t="e">
        <f>Проект!#REF!</f>
        <v>#REF!</v>
      </c>
      <c r="N933" s="84" t="e">
        <f>Проект!#REF!</f>
        <v>#REF!</v>
      </c>
      <c r="O933" s="84" t="e">
        <f>Проект!#REF!</f>
        <v>#REF!</v>
      </c>
      <c r="P933" s="84" t="e">
        <f>Проект!#REF!</f>
        <v>#REF!</v>
      </c>
      <c r="Q933" s="84">
        <f ca="1">Проект!$K$1403</f>
        <v>0</v>
      </c>
      <c r="R933" s="48"/>
      <c r="S933" s="41"/>
    </row>
    <row r="934" spans="1:19" ht="11.25" customHeight="1" x14ac:dyDescent="0.2">
      <c r="A934" s="48" t="str">
        <f ca="1">Проект!$A$1404</f>
        <v xml:space="preserve">    здания и сооружения</v>
      </c>
      <c r="B934" s="48"/>
      <c r="C934" s="73" t="str">
        <f ca="1">Проект!$C$1404</f>
        <v>руб.</v>
      </c>
      <c r="D934" s="101" t="str">
        <f>Проект!$D$1404</f>
        <v>int_end</v>
      </c>
      <c r="E934" s="48"/>
      <c r="F934" s="84">
        <f ca="1">Проект!$F$1404</f>
        <v>0</v>
      </c>
      <c r="G934" s="84">
        <f ca="1">Проект!$G$1404</f>
        <v>0</v>
      </c>
      <c r="H934" s="84">
        <f ca="1">Проект!$H$1404</f>
        <v>0</v>
      </c>
      <c r="I934" s="84">
        <f ca="1">Проект!$I$1404</f>
        <v>0</v>
      </c>
      <c r="J934" s="84">
        <f ca="1">Проект!$J$1404</f>
        <v>0</v>
      </c>
      <c r="K934" s="84" t="e">
        <f>Проект!#REF!</f>
        <v>#REF!</v>
      </c>
      <c r="L934" s="84" t="e">
        <f>Проект!#REF!</f>
        <v>#REF!</v>
      </c>
      <c r="M934" s="84" t="e">
        <f>Проект!#REF!</f>
        <v>#REF!</v>
      </c>
      <c r="N934" s="84" t="e">
        <f>Проект!#REF!</f>
        <v>#REF!</v>
      </c>
      <c r="O934" s="84" t="e">
        <f>Проект!#REF!</f>
        <v>#REF!</v>
      </c>
      <c r="P934" s="84" t="e">
        <f>Проект!#REF!</f>
        <v>#REF!</v>
      </c>
      <c r="Q934" s="84">
        <f ca="1">Проект!$K$1404</f>
        <v>278833.33333333331</v>
      </c>
      <c r="R934" s="48"/>
      <c r="S934" s="41"/>
    </row>
    <row r="935" spans="1:19" ht="11.25" customHeight="1" x14ac:dyDescent="0.2">
      <c r="A935" s="48" t="str">
        <f ca="1">Проект!$A$1405</f>
        <v xml:space="preserve">    оборудование и прочие активы</v>
      </c>
      <c r="B935" s="48"/>
      <c r="C935" s="73" t="str">
        <f ca="1">Проект!$C$1405</f>
        <v>руб.</v>
      </c>
      <c r="D935" s="101" t="str">
        <f>Проект!$D$1405</f>
        <v>int_end</v>
      </c>
      <c r="E935" s="48"/>
      <c r="F935" s="84">
        <f ca="1">Проект!$F$1405</f>
        <v>0</v>
      </c>
      <c r="G935" s="84">
        <f ca="1">Проект!$G$1405</f>
        <v>0</v>
      </c>
      <c r="H935" s="84">
        <f ca="1">Проект!$H$1405</f>
        <v>0</v>
      </c>
      <c r="I935" s="84">
        <f ca="1">Проект!$I$1405</f>
        <v>1180000</v>
      </c>
      <c r="J935" s="84">
        <f ca="1">Проект!$J$1405</f>
        <v>1160000</v>
      </c>
      <c r="K935" s="84" t="e">
        <f>Проект!#REF!</f>
        <v>#REF!</v>
      </c>
      <c r="L935" s="84" t="e">
        <f>Проект!#REF!</f>
        <v>#REF!</v>
      </c>
      <c r="M935" s="84" t="e">
        <f>Проект!#REF!</f>
        <v>#REF!</v>
      </c>
      <c r="N935" s="84" t="e">
        <f>Проект!#REF!</f>
        <v>#REF!</v>
      </c>
      <c r="O935" s="84" t="e">
        <f>Проект!#REF!</f>
        <v>#REF!</v>
      </c>
      <c r="P935" s="84" t="e">
        <f>Проект!#REF!</f>
        <v>#REF!</v>
      </c>
      <c r="Q935" s="84">
        <f ca="1">Проект!$K$1405</f>
        <v>1140000</v>
      </c>
      <c r="R935" s="48"/>
      <c r="S935" s="41"/>
    </row>
    <row r="936" spans="1:19" ht="11.25" customHeight="1" x14ac:dyDescent="0.2">
      <c r="A936" s="48" t="str">
        <f ca="1">Проект!$A$1406</f>
        <v xml:space="preserve">    нематериальные активы</v>
      </c>
      <c r="B936" s="48"/>
      <c r="C936" s="73" t="str">
        <f ca="1">Проект!$C$1406</f>
        <v>руб.</v>
      </c>
      <c r="D936" s="101" t="str">
        <f>Проект!$D$1406</f>
        <v>int_end</v>
      </c>
      <c r="E936" s="48"/>
      <c r="F936" s="84">
        <f ca="1">Проект!$F$1406</f>
        <v>0</v>
      </c>
      <c r="G936" s="84">
        <f ca="1">Проект!$G$1406</f>
        <v>0</v>
      </c>
      <c r="H936" s="84">
        <f ca="1">Проект!$H$1406</f>
        <v>0</v>
      </c>
      <c r="I936" s="84">
        <f ca="1">Проект!$I$1406</f>
        <v>0</v>
      </c>
      <c r="J936" s="84">
        <f ca="1">Проект!$J$1406</f>
        <v>0</v>
      </c>
      <c r="K936" s="84" t="e">
        <f>Проект!#REF!</f>
        <v>#REF!</v>
      </c>
      <c r="L936" s="84" t="e">
        <f>Проект!#REF!</f>
        <v>#REF!</v>
      </c>
      <c r="M936" s="84" t="e">
        <f>Проект!#REF!</f>
        <v>#REF!</v>
      </c>
      <c r="N936" s="84" t="e">
        <f>Проект!#REF!</f>
        <v>#REF!</v>
      </c>
      <c r="O936" s="84" t="e">
        <f>Проект!#REF!</f>
        <v>#REF!</v>
      </c>
      <c r="P936" s="84" t="e">
        <f>Проект!#REF!</f>
        <v>#REF!</v>
      </c>
      <c r="Q936" s="84">
        <f ca="1">Проект!$K$1406</f>
        <v>0</v>
      </c>
      <c r="R936" s="48"/>
      <c r="S936" s="41"/>
    </row>
    <row r="937" spans="1:19" ht="11.25" customHeight="1" x14ac:dyDescent="0.2">
      <c r="A937" s="48" t="str">
        <f ca="1">Проект!$A$1407</f>
        <v>Финансовые вложения</v>
      </c>
      <c r="B937" s="48"/>
      <c r="C937" s="73" t="str">
        <f ca="1">Проект!$C$1407</f>
        <v>руб.</v>
      </c>
      <c r="D937" s="101" t="str">
        <f>Проект!$D$1407</f>
        <v>int_end</v>
      </c>
      <c r="E937" s="48"/>
      <c r="F937" s="84">
        <f ca="1">Проект!$F$1407</f>
        <v>0</v>
      </c>
      <c r="G937" s="84">
        <f ca="1">Проект!$G$1407</f>
        <v>0</v>
      </c>
      <c r="H937" s="84">
        <f ca="1">Проект!$H$1407</f>
        <v>0</v>
      </c>
      <c r="I937" s="84">
        <f ca="1">Проект!$I$1407</f>
        <v>0</v>
      </c>
      <c r="J937" s="84">
        <f ca="1">Проект!$J$1407</f>
        <v>0</v>
      </c>
      <c r="K937" s="84" t="e">
        <f>Проект!#REF!</f>
        <v>#REF!</v>
      </c>
      <c r="L937" s="84" t="e">
        <f>Проект!#REF!</f>
        <v>#REF!</v>
      </c>
      <c r="M937" s="84" t="e">
        <f>Проект!#REF!</f>
        <v>#REF!</v>
      </c>
      <c r="N937" s="84" t="e">
        <f>Проект!#REF!</f>
        <v>#REF!</v>
      </c>
      <c r="O937" s="84" t="e">
        <f>Проект!#REF!</f>
        <v>#REF!</v>
      </c>
      <c r="P937" s="84" t="e">
        <f>Проект!#REF!</f>
        <v>#REF!</v>
      </c>
      <c r="Q937" s="84">
        <f ca="1">Проект!$K$1407</f>
        <v>0</v>
      </c>
      <c r="R937" s="48"/>
      <c r="S937" s="41"/>
    </row>
    <row r="938" spans="1:19" ht="11.25" customHeight="1" x14ac:dyDescent="0.2">
      <c r="A938" s="48" t="str">
        <f ca="1">Проект!$A$1408</f>
        <v>Незавершенные капиталовложения</v>
      </c>
      <c r="B938" s="48"/>
      <c r="C938" s="73" t="str">
        <f ca="1">Проект!$C$1408</f>
        <v>руб.</v>
      </c>
      <c r="D938" s="101" t="str">
        <f>Проект!$D$1408</f>
        <v>int_end</v>
      </c>
      <c r="E938" s="48"/>
      <c r="F938" s="84">
        <f ca="1">Проект!$F$1408</f>
        <v>540000</v>
      </c>
      <c r="G938" s="84">
        <f ca="1">Проект!$G$1408</f>
        <v>580000</v>
      </c>
      <c r="H938" s="84">
        <f ca="1">Проект!$H$1408</f>
        <v>630000</v>
      </c>
      <c r="I938" s="84">
        <f ca="1">Проект!$I$1408</f>
        <v>180000</v>
      </c>
      <c r="J938" s="84">
        <f ca="1">Проект!$J$1408</f>
        <v>230000</v>
      </c>
      <c r="K938" s="84" t="e">
        <f>Проект!#REF!</f>
        <v>#REF!</v>
      </c>
      <c r="L938" s="84" t="e">
        <f>Проект!#REF!</f>
        <v>#REF!</v>
      </c>
      <c r="M938" s="84" t="e">
        <f>Проект!#REF!</f>
        <v>#REF!</v>
      </c>
      <c r="N938" s="84" t="e">
        <f>Проект!#REF!</f>
        <v>#REF!</v>
      </c>
      <c r="O938" s="84" t="e">
        <f>Проект!#REF!</f>
        <v>#REF!</v>
      </c>
      <c r="P938" s="84" t="e">
        <f>Проект!#REF!</f>
        <v>#REF!</v>
      </c>
      <c r="Q938" s="84">
        <f ca="1">Проект!$K$1408</f>
        <v>0</v>
      </c>
      <c r="R938" s="48"/>
      <c r="S938" s="41"/>
    </row>
    <row r="939" spans="1:19" ht="11.25" customHeight="1" x14ac:dyDescent="0.2">
      <c r="A939" s="130" t="str">
        <f ca="1">Проект!$A$1409</f>
        <v>Суммарные внеоборотные активы</v>
      </c>
      <c r="B939" s="48"/>
      <c r="C939" s="73" t="str">
        <f ca="1">Проект!$C$1409</f>
        <v>руб.</v>
      </c>
      <c r="D939" s="101" t="str">
        <f>Проект!$D$1409</f>
        <v>int_end</v>
      </c>
      <c r="E939" s="48"/>
      <c r="F939" s="160">
        <f ca="1">Проект!$F$1409</f>
        <v>540000</v>
      </c>
      <c r="G939" s="160">
        <f ca="1">Проект!$G$1409</f>
        <v>580000</v>
      </c>
      <c r="H939" s="160">
        <f ca="1">Проект!$H$1409</f>
        <v>630000</v>
      </c>
      <c r="I939" s="160">
        <f ca="1">Проект!$I$1409</f>
        <v>1360000</v>
      </c>
      <c r="J939" s="160">
        <f ca="1">Проект!$J$1409</f>
        <v>1390000</v>
      </c>
      <c r="K939" s="160" t="e">
        <f>Проект!#REF!</f>
        <v>#REF!</v>
      </c>
      <c r="L939" s="160" t="e">
        <f>Проект!#REF!</f>
        <v>#REF!</v>
      </c>
      <c r="M939" s="160" t="e">
        <f>Проект!#REF!</f>
        <v>#REF!</v>
      </c>
      <c r="N939" s="160" t="e">
        <f>Проект!#REF!</f>
        <v>#REF!</v>
      </c>
      <c r="O939" s="160" t="e">
        <f>Проект!#REF!</f>
        <v>#REF!</v>
      </c>
      <c r="P939" s="160" t="e">
        <f>Проект!#REF!</f>
        <v>#REF!</v>
      </c>
      <c r="Q939" s="160">
        <f ca="1">Проект!$K$1409</f>
        <v>1418833.3333333333</v>
      </c>
      <c r="R939" s="48"/>
      <c r="S939" s="41"/>
    </row>
    <row r="940" spans="1:19" ht="11.25" customHeight="1" x14ac:dyDescent="0.2">
      <c r="A940" s="48"/>
      <c r="B940" s="48"/>
      <c r="C940" s="48"/>
      <c r="D940" s="48"/>
      <c r="E940" s="48"/>
      <c r="F940" s="106"/>
      <c r="G940" s="106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48"/>
      <c r="S940" s="41"/>
    </row>
    <row r="941" spans="1:19" ht="11.25" customHeight="1" x14ac:dyDescent="0.2">
      <c r="A941" s="130" t="str">
        <f ca="1">Проект!$A$1411</f>
        <v xml:space="preserve"> = ИТОГО АКТИВОВ</v>
      </c>
      <c r="B941" s="48"/>
      <c r="C941" s="73" t="str">
        <f ca="1">Проект!$C$1411</f>
        <v>руб.</v>
      </c>
      <c r="D941" s="101" t="str">
        <f>Проект!$D$1411</f>
        <v>int_end</v>
      </c>
      <c r="E941" s="48"/>
      <c r="F941" s="160">
        <f ca="1">Проект!$F$1411</f>
        <v>20495000</v>
      </c>
      <c r="G941" s="160">
        <f ca="1">Проект!$G$1411</f>
        <v>87421700</v>
      </c>
      <c r="H941" s="160">
        <f ca="1">Проект!$H$1411</f>
        <v>185868799.99999997</v>
      </c>
      <c r="I941" s="160">
        <f ca="1">Проект!$I$1411</f>
        <v>277636700</v>
      </c>
      <c r="J941" s="160">
        <f ca="1">Проект!$J$1411</f>
        <v>369305200</v>
      </c>
      <c r="K941" s="160" t="e">
        <f>Проект!#REF!</f>
        <v>#REF!</v>
      </c>
      <c r="L941" s="160" t="e">
        <f>Проект!#REF!</f>
        <v>#REF!</v>
      </c>
      <c r="M941" s="160" t="e">
        <f>Проект!#REF!</f>
        <v>#REF!</v>
      </c>
      <c r="N941" s="160" t="e">
        <f>Проект!#REF!</f>
        <v>#REF!</v>
      </c>
      <c r="O941" s="160" t="e">
        <f>Проект!#REF!</f>
        <v>#REF!</v>
      </c>
      <c r="P941" s="160" t="e">
        <f>Проект!#REF!</f>
        <v>#REF!</v>
      </c>
      <c r="Q941" s="160">
        <f ca="1">Проект!$K$1411</f>
        <v>460972533.33333331</v>
      </c>
      <c r="R941" s="48"/>
      <c r="S941" s="41"/>
    </row>
    <row r="942" spans="1:19" ht="11.25" customHeight="1" x14ac:dyDescent="0.2">
      <c r="A942" s="48"/>
      <c r="B942" s="48"/>
      <c r="C942" s="48"/>
      <c r="D942" s="48"/>
      <c r="E942" s="48"/>
      <c r="F942" s="106"/>
      <c r="G942" s="106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48"/>
      <c r="S942" s="41"/>
    </row>
    <row r="943" spans="1:19" ht="11.25" customHeight="1" x14ac:dyDescent="0.2">
      <c r="A943" s="48" t="str">
        <f ca="1">Проект!$A$1413</f>
        <v>Кредиторская задолженность</v>
      </c>
      <c r="B943" s="48"/>
      <c r="C943" s="73" t="str">
        <f ca="1">Проект!$C$1413</f>
        <v>руб.</v>
      </c>
      <c r="D943" s="101" t="str">
        <f>Проект!$D$1413</f>
        <v>int_end</v>
      </c>
      <c r="E943" s="48"/>
      <c r="F943" s="106">
        <f ca="1">Проект!$F$1413</f>
        <v>0</v>
      </c>
      <c r="G943" s="106">
        <f ca="1">Проект!$G$1413</f>
        <v>0</v>
      </c>
      <c r="H943" s="106">
        <f ca="1">Проект!$H$1413</f>
        <v>0</v>
      </c>
      <c r="I943" s="106">
        <f ca="1">Проект!$I$1413</f>
        <v>0</v>
      </c>
      <c r="J943" s="106">
        <f ca="1">Проект!$J$1413</f>
        <v>0</v>
      </c>
      <c r="K943" s="106" t="e">
        <f>Проект!#REF!</f>
        <v>#REF!</v>
      </c>
      <c r="L943" s="106" t="e">
        <f>Проект!#REF!</f>
        <v>#REF!</v>
      </c>
      <c r="M943" s="106" t="e">
        <f>Проект!#REF!</f>
        <v>#REF!</v>
      </c>
      <c r="N943" s="106" t="e">
        <f>Проект!#REF!</f>
        <v>#REF!</v>
      </c>
      <c r="O943" s="106" t="e">
        <f>Проект!#REF!</f>
        <v>#REF!</v>
      </c>
      <c r="P943" s="106" t="e">
        <f>Проект!#REF!</f>
        <v>#REF!</v>
      </c>
      <c r="Q943" s="106">
        <f ca="1">Проект!$K$1413</f>
        <v>0</v>
      </c>
      <c r="R943" s="48"/>
      <c r="S943" s="41"/>
    </row>
    <row r="944" spans="1:19" ht="11.25" customHeight="1" x14ac:dyDescent="0.2">
      <c r="A944" s="48" t="str">
        <f ca="1">Проект!$A$1414</f>
        <v xml:space="preserve">    за поставленные товары</v>
      </c>
      <c r="B944" s="48"/>
      <c r="C944" s="73" t="str">
        <f ca="1">Проект!$C$1414</f>
        <v>руб.</v>
      </c>
      <c r="D944" s="101" t="str">
        <f>Проект!$D$1414</f>
        <v>int_end</v>
      </c>
      <c r="E944" s="48"/>
      <c r="F944" s="84">
        <f>Проект!$F$1414</f>
        <v>0</v>
      </c>
      <c r="G944" s="84">
        <f>Проект!$G$1414</f>
        <v>0</v>
      </c>
      <c r="H944" s="84">
        <f>Проект!$H$1414</f>
        <v>0</v>
      </c>
      <c r="I944" s="84">
        <f>Проект!$I$1414</f>
        <v>0</v>
      </c>
      <c r="J944" s="84">
        <f>Проект!$J$1414</f>
        <v>0</v>
      </c>
      <c r="K944" s="84" t="e">
        <f>Проект!#REF!</f>
        <v>#REF!</v>
      </c>
      <c r="L944" s="84" t="e">
        <f>Проект!#REF!</f>
        <v>#REF!</v>
      </c>
      <c r="M944" s="84" t="e">
        <f>Проект!#REF!</f>
        <v>#REF!</v>
      </c>
      <c r="N944" s="84" t="e">
        <f>Проект!#REF!</f>
        <v>#REF!</v>
      </c>
      <c r="O944" s="84" t="e">
        <f>Проект!#REF!</f>
        <v>#REF!</v>
      </c>
      <c r="P944" s="84" t="e">
        <f>Проект!#REF!</f>
        <v>#REF!</v>
      </c>
      <c r="Q944" s="84">
        <f>Проект!$K$1414</f>
        <v>0</v>
      </c>
      <c r="R944" s="48"/>
      <c r="S944" s="41"/>
    </row>
    <row r="945" spans="1:19" ht="11.25" customHeight="1" x14ac:dyDescent="0.2">
      <c r="A945" s="48" t="str">
        <f ca="1">Проект!$A$1415</f>
        <v xml:space="preserve">    за внеоборотные активы</v>
      </c>
      <c r="B945" s="48"/>
      <c r="C945" s="73" t="str">
        <f ca="1">Проект!$C$1415</f>
        <v>руб.</v>
      </c>
      <c r="D945" s="101" t="str">
        <f>Проект!$D$1415</f>
        <v>int_end</v>
      </c>
      <c r="E945" s="48"/>
      <c r="F945" s="84">
        <f ca="1">Проект!$F$1415</f>
        <v>0</v>
      </c>
      <c r="G945" s="84">
        <f ca="1">Проект!$G$1415</f>
        <v>0</v>
      </c>
      <c r="H945" s="84">
        <f ca="1">Проект!$H$1415</f>
        <v>0</v>
      </c>
      <c r="I945" s="84">
        <f ca="1">Проект!$I$1415</f>
        <v>0</v>
      </c>
      <c r="J945" s="84">
        <f ca="1">Проект!$J$1415</f>
        <v>0</v>
      </c>
      <c r="K945" s="84" t="e">
        <f>Проект!#REF!</f>
        <v>#REF!</v>
      </c>
      <c r="L945" s="84" t="e">
        <f>Проект!#REF!</f>
        <v>#REF!</v>
      </c>
      <c r="M945" s="84" t="e">
        <f>Проект!#REF!</f>
        <v>#REF!</v>
      </c>
      <c r="N945" s="84" t="e">
        <f>Проект!#REF!</f>
        <v>#REF!</v>
      </c>
      <c r="O945" s="84" t="e">
        <f>Проект!#REF!</f>
        <v>#REF!</v>
      </c>
      <c r="P945" s="84" t="e">
        <f>Проект!#REF!</f>
        <v>#REF!</v>
      </c>
      <c r="Q945" s="84">
        <f ca="1">Проект!$K$1415</f>
        <v>0</v>
      </c>
      <c r="R945" s="48"/>
      <c r="S945" s="41"/>
    </row>
    <row r="946" spans="1:19" ht="11.25" customHeight="1" x14ac:dyDescent="0.2">
      <c r="A946" s="48" t="str">
        <f ca="1">Проект!$A$1416</f>
        <v>Расчеты с бюджетом</v>
      </c>
      <c r="B946" s="48"/>
      <c r="C946" s="73" t="str">
        <f ca="1">Проект!$C$1416</f>
        <v>руб.</v>
      </c>
      <c r="D946" s="101" t="str">
        <f>Проект!$D$1416</f>
        <v>int_end</v>
      </c>
      <c r="E946" s="48"/>
      <c r="F946" s="84">
        <f ca="1">Проект!$F$1416</f>
        <v>6742500</v>
      </c>
      <c r="G946" s="84">
        <f ca="1">Проект!$G$1416</f>
        <v>15441300</v>
      </c>
      <c r="H946" s="84">
        <f ca="1">Проект!$H$1416</f>
        <v>21980100</v>
      </c>
      <c r="I946" s="84">
        <f ca="1">Проект!$I$1416</f>
        <v>22009500</v>
      </c>
      <c r="J946" s="84">
        <f ca="1">Проект!$J$1416</f>
        <v>22009500</v>
      </c>
      <c r="K946" s="84" t="e">
        <f>Проект!#REF!</f>
        <v>#REF!</v>
      </c>
      <c r="L946" s="84" t="e">
        <f>Проект!#REF!</f>
        <v>#REF!</v>
      </c>
      <c r="M946" s="84" t="e">
        <f>Проект!#REF!</f>
        <v>#REF!</v>
      </c>
      <c r="N946" s="84" t="e">
        <f>Проект!#REF!</f>
        <v>#REF!</v>
      </c>
      <c r="O946" s="84" t="e">
        <f>Проект!#REF!</f>
        <v>#REF!</v>
      </c>
      <c r="P946" s="84" t="e">
        <f>Проект!#REF!</f>
        <v>#REF!</v>
      </c>
      <c r="Q946" s="84">
        <f ca="1">Проект!$K$1416</f>
        <v>22009500</v>
      </c>
      <c r="R946" s="48"/>
      <c r="S946" s="41"/>
    </row>
    <row r="947" spans="1:19" ht="11.25" customHeight="1" x14ac:dyDescent="0.2">
      <c r="A947" s="48" t="str">
        <f ca="1">Проект!$A$1417</f>
        <v>Расчеты с персоналом</v>
      </c>
      <c r="B947" s="48"/>
      <c r="C947" s="73" t="str">
        <f ca="1">Проект!$C$1417</f>
        <v>руб.</v>
      </c>
      <c r="D947" s="101" t="str">
        <f>Проект!$D$1417</f>
        <v>int_end</v>
      </c>
      <c r="E947" s="48"/>
      <c r="F947" s="84">
        <f>Проект!$F$1417</f>
        <v>625000</v>
      </c>
      <c r="G947" s="84">
        <f>Проект!$G$1417</f>
        <v>765000</v>
      </c>
      <c r="H947" s="84">
        <f>Проект!$H$1417</f>
        <v>905000</v>
      </c>
      <c r="I947" s="84">
        <f>Проект!$I$1417</f>
        <v>975000</v>
      </c>
      <c r="J947" s="84">
        <f>Проект!$J$1417</f>
        <v>975000</v>
      </c>
      <c r="K947" s="84" t="e">
        <f>Проект!#REF!</f>
        <v>#REF!</v>
      </c>
      <c r="L947" s="84" t="e">
        <f>Проект!#REF!</f>
        <v>#REF!</v>
      </c>
      <c r="M947" s="84" t="e">
        <f>Проект!#REF!</f>
        <v>#REF!</v>
      </c>
      <c r="N947" s="84" t="e">
        <f>Проект!#REF!</f>
        <v>#REF!</v>
      </c>
      <c r="O947" s="84" t="e">
        <f>Проект!#REF!</f>
        <v>#REF!</v>
      </c>
      <c r="P947" s="84" t="e">
        <f>Проект!#REF!</f>
        <v>#REF!</v>
      </c>
      <c r="Q947" s="84">
        <f>Проект!$K$1417</f>
        <v>975000</v>
      </c>
      <c r="R947" s="48"/>
      <c r="S947" s="41"/>
    </row>
    <row r="948" spans="1:19" ht="11.25" customHeight="1" x14ac:dyDescent="0.2">
      <c r="A948" s="48" t="str">
        <f ca="1">Проект!$A$1418</f>
        <v>Авансы покупателей</v>
      </c>
      <c r="B948" s="48"/>
      <c r="C948" s="73" t="str">
        <f ca="1">Проект!$C$1418</f>
        <v>руб.</v>
      </c>
      <c r="D948" s="101" t="str">
        <f>Проект!$D$1418</f>
        <v>int_end</v>
      </c>
      <c r="E948" s="48"/>
      <c r="F948" s="84">
        <f>Проект!$F$1418</f>
        <v>0</v>
      </c>
      <c r="G948" s="84">
        <f>Проект!$G$1418</f>
        <v>0</v>
      </c>
      <c r="H948" s="84">
        <f>Проект!$H$1418</f>
        <v>0</v>
      </c>
      <c r="I948" s="84">
        <f>Проект!$I$1418</f>
        <v>0</v>
      </c>
      <c r="J948" s="84">
        <f>Проект!$J$1418</f>
        <v>0</v>
      </c>
      <c r="K948" s="84" t="e">
        <f>Проект!#REF!</f>
        <v>#REF!</v>
      </c>
      <c r="L948" s="84" t="e">
        <f>Проект!#REF!</f>
        <v>#REF!</v>
      </c>
      <c r="M948" s="84" t="e">
        <f>Проект!#REF!</f>
        <v>#REF!</v>
      </c>
      <c r="N948" s="84" t="e">
        <f>Проект!#REF!</f>
        <v>#REF!</v>
      </c>
      <c r="O948" s="84" t="e">
        <f>Проект!#REF!</f>
        <v>#REF!</v>
      </c>
      <c r="P948" s="84" t="e">
        <f>Проект!#REF!</f>
        <v>#REF!</v>
      </c>
      <c r="Q948" s="84">
        <f>Проект!$K$1418</f>
        <v>0</v>
      </c>
      <c r="R948" s="48"/>
      <c r="S948" s="41"/>
    </row>
    <row r="949" spans="1:19" ht="11.25" customHeight="1" x14ac:dyDescent="0.2">
      <c r="A949" s="48" t="str">
        <f ca="1">Проект!$A$1419</f>
        <v>Краткосрочные кредиты</v>
      </c>
      <c r="B949" s="48"/>
      <c r="C949" s="73" t="str">
        <f ca="1">Проект!$C$1419</f>
        <v>руб.</v>
      </c>
      <c r="D949" s="101" t="str">
        <f>Проект!$D$1419</f>
        <v>int_end</v>
      </c>
      <c r="E949" s="48"/>
      <c r="F949" s="84">
        <f>Проект!$F$1419</f>
        <v>0</v>
      </c>
      <c r="G949" s="84">
        <f>Проект!$G$1419</f>
        <v>0</v>
      </c>
      <c r="H949" s="84">
        <f>Проект!$H$1419</f>
        <v>0</v>
      </c>
      <c r="I949" s="84">
        <f>Проект!$I$1419</f>
        <v>0</v>
      </c>
      <c r="J949" s="84">
        <f>Проект!$J$1419</f>
        <v>0</v>
      </c>
      <c r="K949" s="84" t="e">
        <f>Проект!#REF!</f>
        <v>#REF!</v>
      </c>
      <c r="L949" s="84" t="e">
        <f>Проект!#REF!</f>
        <v>#REF!</v>
      </c>
      <c r="M949" s="84" t="e">
        <f>Проект!#REF!</f>
        <v>#REF!</v>
      </c>
      <c r="N949" s="84" t="e">
        <f>Проект!#REF!</f>
        <v>#REF!</v>
      </c>
      <c r="O949" s="84" t="e">
        <f>Проект!#REF!</f>
        <v>#REF!</v>
      </c>
      <c r="P949" s="84" t="e">
        <f>Проект!#REF!</f>
        <v>#REF!</v>
      </c>
      <c r="Q949" s="84">
        <f>Проект!$K$1419</f>
        <v>0</v>
      </c>
      <c r="R949" s="48"/>
      <c r="S949" s="41"/>
    </row>
    <row r="950" spans="1:19" ht="11.25" customHeight="1" x14ac:dyDescent="0.2">
      <c r="A950" s="48" t="str">
        <f ca="1">Проект!$A$1420</f>
        <v>Прочие краткосрочные обязательства</v>
      </c>
      <c r="B950" s="48"/>
      <c r="C950" s="73" t="str">
        <f ca="1">Проект!$C$1420</f>
        <v>руб.</v>
      </c>
      <c r="D950" s="101" t="str">
        <f>Проект!$D$1420</f>
        <v>int_end</v>
      </c>
      <c r="E950" s="48"/>
      <c r="F950" s="106">
        <f>Проект!$F$1420</f>
        <v>0</v>
      </c>
      <c r="G950" s="106">
        <f>Проект!$G$1420</f>
        <v>0</v>
      </c>
      <c r="H950" s="106">
        <f>Проект!$H$1420</f>
        <v>0</v>
      </c>
      <c r="I950" s="106">
        <f>Проект!$I$1420</f>
        <v>0</v>
      </c>
      <c r="J950" s="106">
        <f>Проект!$J$1420</f>
        <v>0</v>
      </c>
      <c r="K950" s="106" t="e">
        <f>Проект!#REF!</f>
        <v>#REF!</v>
      </c>
      <c r="L950" s="106" t="e">
        <f>Проект!#REF!</f>
        <v>#REF!</v>
      </c>
      <c r="M950" s="106" t="e">
        <f>Проект!#REF!</f>
        <v>#REF!</v>
      </c>
      <c r="N950" s="106" t="e">
        <f>Проект!#REF!</f>
        <v>#REF!</v>
      </c>
      <c r="O950" s="106" t="e">
        <f>Проект!#REF!</f>
        <v>#REF!</v>
      </c>
      <c r="P950" s="106" t="e">
        <f>Проект!#REF!</f>
        <v>#REF!</v>
      </c>
      <c r="Q950" s="106">
        <f>Проект!$K$1420</f>
        <v>0</v>
      </c>
      <c r="R950" s="48"/>
      <c r="S950" s="41"/>
    </row>
    <row r="951" spans="1:19" ht="11.25" customHeight="1" x14ac:dyDescent="0.2">
      <c r="A951" s="130" t="str">
        <f ca="1">Проект!$A$1421</f>
        <v>Суммарные краткосрочные обязательства</v>
      </c>
      <c r="B951" s="48"/>
      <c r="C951" s="73" t="str">
        <f ca="1">Проект!$C$1421</f>
        <v>руб.</v>
      </c>
      <c r="D951" s="101" t="str">
        <f>Проект!$D$1421</f>
        <v>int_end</v>
      </c>
      <c r="E951" s="48"/>
      <c r="F951" s="160">
        <f ca="1">Проект!$F$1421</f>
        <v>7367500</v>
      </c>
      <c r="G951" s="160">
        <f ca="1">Проект!$G$1421</f>
        <v>16206300</v>
      </c>
      <c r="H951" s="160">
        <f ca="1">Проект!$H$1421</f>
        <v>22885100</v>
      </c>
      <c r="I951" s="160">
        <f ca="1">Проект!$I$1421</f>
        <v>22984500</v>
      </c>
      <c r="J951" s="160">
        <f ca="1">Проект!$J$1421</f>
        <v>22984500</v>
      </c>
      <c r="K951" s="160" t="e">
        <f>Проект!#REF!</f>
        <v>#REF!</v>
      </c>
      <c r="L951" s="160" t="e">
        <f>Проект!#REF!</f>
        <v>#REF!</v>
      </c>
      <c r="M951" s="160" t="e">
        <f>Проект!#REF!</f>
        <v>#REF!</v>
      </c>
      <c r="N951" s="160" t="e">
        <f>Проект!#REF!</f>
        <v>#REF!</v>
      </c>
      <c r="O951" s="160" t="e">
        <f>Проект!#REF!</f>
        <v>#REF!</v>
      </c>
      <c r="P951" s="160" t="e">
        <f>Проект!#REF!</f>
        <v>#REF!</v>
      </c>
      <c r="Q951" s="160">
        <f ca="1">Проект!$K$1421</f>
        <v>22984500</v>
      </c>
      <c r="R951" s="48"/>
      <c r="S951" s="41"/>
    </row>
    <row r="952" spans="1:19" ht="11.25" customHeight="1" x14ac:dyDescent="0.2">
      <c r="A952" s="48"/>
      <c r="B952" s="48"/>
      <c r="C952" s="73" t="str">
        <f ca="1">Проект!$C$1422</f>
        <v>руб.</v>
      </c>
      <c r="D952" s="101" t="str">
        <f>Проект!$D$1422</f>
        <v>int_end</v>
      </c>
      <c r="E952" s="48"/>
      <c r="F952" s="106"/>
      <c r="G952" s="106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48"/>
      <c r="S952" s="41"/>
    </row>
    <row r="953" spans="1:19" ht="11.25" customHeight="1" x14ac:dyDescent="0.2">
      <c r="A953" s="130" t="str">
        <f ca="1">Проект!$A$1423</f>
        <v>Долгосрочные обязательства</v>
      </c>
      <c r="B953" s="48"/>
      <c r="C953" s="73" t="str">
        <f ca="1">Проект!$C$1423</f>
        <v>руб.</v>
      </c>
      <c r="D953" s="101" t="str">
        <f>Проект!$D$1423</f>
        <v>int_end</v>
      </c>
      <c r="E953" s="48"/>
      <c r="F953" s="361">
        <f>Проект!$F$1423</f>
        <v>0</v>
      </c>
      <c r="G953" s="361">
        <f>Проект!$G$1423</f>
        <v>0</v>
      </c>
      <c r="H953" s="361">
        <f>Проект!$H$1423</f>
        <v>0</v>
      </c>
      <c r="I953" s="361">
        <f>Проект!$I$1423</f>
        <v>0</v>
      </c>
      <c r="J953" s="361">
        <f>Проект!$J$1423</f>
        <v>0</v>
      </c>
      <c r="K953" s="361" t="e">
        <f>Проект!#REF!</f>
        <v>#REF!</v>
      </c>
      <c r="L953" s="361" t="e">
        <f>Проект!#REF!</f>
        <v>#REF!</v>
      </c>
      <c r="M953" s="361" t="e">
        <f>Проект!#REF!</f>
        <v>#REF!</v>
      </c>
      <c r="N953" s="361" t="e">
        <f>Проект!#REF!</f>
        <v>#REF!</v>
      </c>
      <c r="O953" s="361" t="e">
        <f>Проект!#REF!</f>
        <v>#REF!</v>
      </c>
      <c r="P953" s="361" t="e">
        <f>Проект!#REF!</f>
        <v>#REF!</v>
      </c>
      <c r="Q953" s="361">
        <f>Проект!$K$1423</f>
        <v>0</v>
      </c>
      <c r="R953" s="48"/>
      <c r="S953" s="41"/>
    </row>
    <row r="954" spans="1:19" ht="11.25" customHeight="1" x14ac:dyDescent="0.2">
      <c r="A954" s="48"/>
      <c r="B954" s="48"/>
      <c r="C954" s="48"/>
      <c r="D954" s="48"/>
      <c r="E954" s="48"/>
      <c r="F954" s="106"/>
      <c r="G954" s="106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48"/>
      <c r="S954" s="41"/>
    </row>
    <row r="955" spans="1:19" ht="11.25" customHeight="1" x14ac:dyDescent="0.2">
      <c r="A955" s="48" t="str">
        <f ca="1">Проект!$A$1425</f>
        <v>Средства собственников</v>
      </c>
      <c r="B955" s="48"/>
      <c r="C955" s="73" t="str">
        <f ca="1">Проект!$C$1425</f>
        <v>руб.</v>
      </c>
      <c r="D955" s="101" t="str">
        <f>Проект!$D$1425</f>
        <v>int_end</v>
      </c>
      <c r="E955" s="48"/>
      <c r="F955" s="84">
        <f>Проект!$F$1425</f>
        <v>0</v>
      </c>
      <c r="G955" s="84">
        <f>Проект!$G$1425</f>
        <v>0</v>
      </c>
      <c r="H955" s="84">
        <f>Проект!$H$1425</f>
        <v>0</v>
      </c>
      <c r="I955" s="84">
        <f>Проект!$I$1425</f>
        <v>0</v>
      </c>
      <c r="J955" s="84">
        <f>Проект!$J$1425</f>
        <v>0</v>
      </c>
      <c r="K955" s="84" t="e">
        <f>Проект!#REF!</f>
        <v>#REF!</v>
      </c>
      <c r="L955" s="84" t="e">
        <f>Проект!#REF!</f>
        <v>#REF!</v>
      </c>
      <c r="M955" s="84" t="e">
        <f>Проект!#REF!</f>
        <v>#REF!</v>
      </c>
      <c r="N955" s="84" t="e">
        <f>Проект!#REF!</f>
        <v>#REF!</v>
      </c>
      <c r="O955" s="84" t="e">
        <f>Проект!#REF!</f>
        <v>#REF!</v>
      </c>
      <c r="P955" s="84" t="e">
        <f>Проект!#REF!</f>
        <v>#REF!</v>
      </c>
      <c r="Q955" s="84">
        <f>Проект!$K$1425</f>
        <v>0</v>
      </c>
      <c r="R955" s="48"/>
      <c r="S955" s="41"/>
    </row>
    <row r="956" spans="1:19" ht="11.25" customHeight="1" x14ac:dyDescent="0.2">
      <c r="A956" s="48" t="str">
        <f ca="1">Проект!$A$1426</f>
        <v>Нераспределенная прибыль</v>
      </c>
      <c r="B956" s="48"/>
      <c r="C956" s="73" t="str">
        <f ca="1">Проект!$C$1426</f>
        <v>руб.</v>
      </c>
      <c r="D956" s="101" t="str">
        <f>Проект!$D$1426</f>
        <v>int_end</v>
      </c>
      <c r="E956" s="48"/>
      <c r="F956" s="106">
        <f ca="1">Проект!$F$1426</f>
        <v>13127500</v>
      </c>
      <c r="G956" s="106">
        <f ca="1">Проект!$G$1426</f>
        <v>71215400</v>
      </c>
      <c r="H956" s="106">
        <f ca="1">Проект!$H$1426</f>
        <v>162983700</v>
      </c>
      <c r="I956" s="106">
        <f ca="1">Проект!$I$1426</f>
        <v>254652200</v>
      </c>
      <c r="J956" s="106">
        <f ca="1">Проект!$J$1426</f>
        <v>346320700</v>
      </c>
      <c r="K956" s="106" t="e">
        <f>Проект!#REF!</f>
        <v>#REF!</v>
      </c>
      <c r="L956" s="106" t="e">
        <f>Проект!#REF!</f>
        <v>#REF!</v>
      </c>
      <c r="M956" s="106" t="e">
        <f>Проект!#REF!</f>
        <v>#REF!</v>
      </c>
      <c r="N956" s="106" t="e">
        <f>Проект!#REF!</f>
        <v>#REF!</v>
      </c>
      <c r="O956" s="106" t="e">
        <f>Проект!#REF!</f>
        <v>#REF!</v>
      </c>
      <c r="P956" s="106" t="e">
        <f>Проект!#REF!</f>
        <v>#REF!</v>
      </c>
      <c r="Q956" s="106">
        <f ca="1">Проект!$K$1426</f>
        <v>437988033.33333331</v>
      </c>
      <c r="R956" s="48"/>
      <c r="S956" s="41"/>
    </row>
    <row r="957" spans="1:19" ht="11.25" customHeight="1" x14ac:dyDescent="0.2">
      <c r="A957" s="48" t="str">
        <f ca="1">Проект!$A$1427</f>
        <v>Прочие источники финансирования</v>
      </c>
      <c r="B957" s="48"/>
      <c r="C957" s="73" t="str">
        <f ca="1">Проект!$C$1427</f>
        <v>руб.</v>
      </c>
      <c r="D957" s="101" t="str">
        <f>Проект!$D$1427</f>
        <v>int_end</v>
      </c>
      <c r="E957" s="48"/>
      <c r="F957" s="84">
        <f>Проект!$F$1427</f>
        <v>0</v>
      </c>
      <c r="G957" s="84">
        <f>Проект!$G$1427</f>
        <v>0</v>
      </c>
      <c r="H957" s="84">
        <f>Проект!$H$1427</f>
        <v>0</v>
      </c>
      <c r="I957" s="84">
        <f>Проект!$I$1427</f>
        <v>0</v>
      </c>
      <c r="J957" s="84">
        <f>Проект!$J$1427</f>
        <v>0</v>
      </c>
      <c r="K957" s="84" t="e">
        <f>Проект!#REF!</f>
        <v>#REF!</v>
      </c>
      <c r="L957" s="84" t="e">
        <f>Проект!#REF!</f>
        <v>#REF!</v>
      </c>
      <c r="M957" s="84" t="e">
        <f>Проект!#REF!</f>
        <v>#REF!</v>
      </c>
      <c r="N957" s="84" t="e">
        <f>Проект!#REF!</f>
        <v>#REF!</v>
      </c>
      <c r="O957" s="84" t="e">
        <f>Проект!#REF!</f>
        <v>#REF!</v>
      </c>
      <c r="P957" s="84" t="e">
        <f>Проект!#REF!</f>
        <v>#REF!</v>
      </c>
      <c r="Q957" s="84">
        <f>Проект!$K$1427</f>
        <v>0</v>
      </c>
      <c r="R957" s="48"/>
      <c r="S957" s="41"/>
    </row>
    <row r="958" spans="1:19" ht="11.25" customHeight="1" x14ac:dyDescent="0.2">
      <c r="A958" s="130" t="str">
        <f ca="1">Проект!$A$1428</f>
        <v>Суммарный собственный капитал</v>
      </c>
      <c r="B958" s="48"/>
      <c r="C958" s="73" t="str">
        <f ca="1">Проект!$C$1428</f>
        <v>руб.</v>
      </c>
      <c r="D958" s="101" t="str">
        <f>Проект!$D$1428</f>
        <v>int_end</v>
      </c>
      <c r="E958" s="48"/>
      <c r="F958" s="160">
        <f ca="1">Проект!$F$1428</f>
        <v>13127500</v>
      </c>
      <c r="G958" s="160">
        <f ca="1">Проект!$G$1428</f>
        <v>71215400</v>
      </c>
      <c r="H958" s="160">
        <f ca="1">Проект!$H$1428</f>
        <v>162983700</v>
      </c>
      <c r="I958" s="160">
        <f ca="1">Проект!$I$1428</f>
        <v>254652200</v>
      </c>
      <c r="J958" s="160">
        <f ca="1">Проект!$J$1428</f>
        <v>346320700</v>
      </c>
      <c r="K958" s="160" t="e">
        <f>Проект!#REF!</f>
        <v>#REF!</v>
      </c>
      <c r="L958" s="160" t="e">
        <f>Проект!#REF!</f>
        <v>#REF!</v>
      </c>
      <c r="M958" s="160" t="e">
        <f>Проект!#REF!</f>
        <v>#REF!</v>
      </c>
      <c r="N958" s="160" t="e">
        <f>Проект!#REF!</f>
        <v>#REF!</v>
      </c>
      <c r="O958" s="160" t="e">
        <f>Проект!#REF!</f>
        <v>#REF!</v>
      </c>
      <c r="P958" s="160" t="e">
        <f>Проект!#REF!</f>
        <v>#REF!</v>
      </c>
      <c r="Q958" s="160">
        <f ca="1">Проект!$K$1428</f>
        <v>437988033.33333331</v>
      </c>
      <c r="R958" s="48"/>
      <c r="S958" s="41"/>
    </row>
    <row r="959" spans="1:19" ht="11.25" customHeight="1" x14ac:dyDescent="0.2">
      <c r="A959" s="130"/>
      <c r="B959" s="48"/>
      <c r="C959" s="48"/>
      <c r="D959" s="48"/>
      <c r="E959" s="48"/>
      <c r="F959" s="106"/>
      <c r="G959" s="106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48"/>
      <c r="S959" s="41"/>
    </row>
    <row r="960" spans="1:19" ht="11.25" customHeight="1" x14ac:dyDescent="0.2">
      <c r="A960" s="130" t="str">
        <f ca="1">Проект!$A$1430</f>
        <v xml:space="preserve"> = ИТОГО ПАССИВОВ</v>
      </c>
      <c r="B960" s="48"/>
      <c r="C960" s="73" t="str">
        <f ca="1">Проект!$C$1430</f>
        <v>руб.</v>
      </c>
      <c r="D960" s="101" t="str">
        <f>Проект!$D$1430</f>
        <v>int_end</v>
      </c>
      <c r="E960" s="48"/>
      <c r="F960" s="160">
        <f ca="1">Проект!$F$1430</f>
        <v>20495000</v>
      </c>
      <c r="G960" s="160">
        <f ca="1">Проект!$G$1430</f>
        <v>87421700</v>
      </c>
      <c r="H960" s="160">
        <f ca="1">Проект!$H$1430</f>
        <v>185868800</v>
      </c>
      <c r="I960" s="160">
        <f ca="1">Проект!$I$1430</f>
        <v>277636700</v>
      </c>
      <c r="J960" s="160">
        <f ca="1">Проект!$J$1430</f>
        <v>369305200</v>
      </c>
      <c r="K960" s="160" t="e">
        <f>Проект!#REF!</f>
        <v>#REF!</v>
      </c>
      <c r="L960" s="160" t="e">
        <f>Проект!#REF!</f>
        <v>#REF!</v>
      </c>
      <c r="M960" s="160" t="e">
        <f>Проект!#REF!</f>
        <v>#REF!</v>
      </c>
      <c r="N960" s="160" t="e">
        <f>Проект!#REF!</f>
        <v>#REF!</v>
      </c>
      <c r="O960" s="160" t="e">
        <f>Проект!#REF!</f>
        <v>#REF!</v>
      </c>
      <c r="P960" s="160" t="e">
        <f>Проект!#REF!</f>
        <v>#REF!</v>
      </c>
      <c r="Q960" s="160">
        <f ca="1">Проект!$K$1430</f>
        <v>460972533.33333331</v>
      </c>
      <c r="R960" s="48"/>
      <c r="S960" s="77"/>
    </row>
    <row r="961" spans="1:19" ht="11.25" customHeight="1" x14ac:dyDescent="0.2">
      <c r="A961" s="359" t="str">
        <f ca="1">Проект!$A$1431</f>
        <v>Контроль сходимости баланса</v>
      </c>
      <c r="B961" s="384" t="str">
        <f ca="1">Проект!$B$1431</f>
        <v/>
      </c>
      <c r="C961" s="359"/>
      <c r="D961" s="359"/>
      <c r="E961" s="359"/>
      <c r="F961" s="385">
        <f ca="1">Проект!$F$1431</f>
        <v>0</v>
      </c>
      <c r="G961" s="385">
        <f ca="1">Проект!$G$1431</f>
        <v>0</v>
      </c>
      <c r="H961" s="385">
        <f ca="1">Проект!$H$1431</f>
        <v>0</v>
      </c>
      <c r="I961" s="385">
        <f ca="1">Проект!$I$1431</f>
        <v>0</v>
      </c>
      <c r="J961" s="385">
        <f ca="1">Проект!$J$1431</f>
        <v>0</v>
      </c>
      <c r="K961" s="385" t="e">
        <f>Проект!#REF!</f>
        <v>#REF!</v>
      </c>
      <c r="L961" s="385" t="e">
        <f>Проект!#REF!</f>
        <v>#REF!</v>
      </c>
      <c r="M961" s="385" t="e">
        <f>Проект!#REF!</f>
        <v>#REF!</v>
      </c>
      <c r="N961" s="385" t="e">
        <f>Проект!#REF!</f>
        <v>#REF!</v>
      </c>
      <c r="O961" s="385" t="e">
        <f>Проект!#REF!</f>
        <v>#REF!</v>
      </c>
      <c r="P961" s="385" t="e">
        <f>Проект!#REF!</f>
        <v>#REF!</v>
      </c>
      <c r="Q961" s="385">
        <f ca="1">Проект!$K$1431</f>
        <v>0</v>
      </c>
      <c r="R961" s="359"/>
      <c r="S961" s="77"/>
    </row>
    <row r="964" spans="1:19" ht="15.9" customHeight="1" thickBot="1" x14ac:dyDescent="0.25">
      <c r="A964" s="166" t="str">
        <f ca="1">Проект!$A$1484</f>
        <v xml:space="preserve">         ПОКАЗАТЕЛИ ФИНАНСОВОЙ СОСТОЯТЕЛЬНОСТИ</v>
      </c>
      <c r="B964" s="166"/>
      <c r="C964" s="166"/>
      <c r="D964" s="166"/>
      <c r="E964" s="166"/>
      <c r="F964" s="178" t="str">
        <f>Проект!$F$1484</f>
        <v>4/ 2020</v>
      </c>
      <c r="G964" s="178" t="str">
        <f>Проект!$G$1484</f>
        <v>5/ 2020</v>
      </c>
      <c r="H964" s="178" t="str">
        <f>Проект!$H$1484</f>
        <v>6/ 2020</v>
      </c>
      <c r="I964" s="178" t="str">
        <f>Проект!$I$1484</f>
        <v>7/ 2020</v>
      </c>
      <c r="J964" s="178" t="str">
        <f>Проект!$J$1484</f>
        <v>8/ 2020</v>
      </c>
      <c r="K964" s="178" t="e">
        <f>Проект!#REF!</f>
        <v>#REF!</v>
      </c>
      <c r="L964" s="178" t="e">
        <f>Проект!#REF!</f>
        <v>#REF!</v>
      </c>
      <c r="M964" s="178" t="e">
        <f>Проект!#REF!</f>
        <v>#REF!</v>
      </c>
      <c r="N964" s="178" t="e">
        <f>Проект!#REF!</f>
        <v>#REF!</v>
      </c>
      <c r="O964" s="178" t="e">
        <f>Проект!#REF!</f>
        <v>#REF!</v>
      </c>
      <c r="P964" s="178" t="e">
        <f>Проект!#REF!</f>
        <v>#REF!</v>
      </c>
      <c r="Q964" s="178" t="str">
        <f>Проект!$K$1484</f>
        <v>9/ 2020</v>
      </c>
      <c r="R964" s="166"/>
      <c r="S964" s="38"/>
    </row>
    <row r="965" spans="1:19" ht="12" customHeight="1" thickTop="1" x14ac:dyDescent="0.2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1"/>
    </row>
    <row r="966" spans="1:19" ht="11.25" customHeight="1" x14ac:dyDescent="0.2">
      <c r="A966" s="48" t="str">
        <f ca="1">Проект!$A$1486</f>
        <v>Рентабельность активов</v>
      </c>
      <c r="B966" s="48"/>
      <c r="C966" s="50" t="str">
        <f>Проект!$C$1486</f>
        <v>%</v>
      </c>
      <c r="D966" s="101" t="str">
        <f>Проект!$D$1486</f>
        <v>int_avg</v>
      </c>
      <c r="E966" s="48"/>
      <c r="F966" s="137">
        <f ca="1">Проект!$F$1486</f>
        <v>15.372529885337887</v>
      </c>
      <c r="G966" s="137">
        <f ca="1">Проект!$G$1486</f>
        <v>12.918386125595019</v>
      </c>
      <c r="H966" s="137">
        <f ca="1">Проект!$H$1486</f>
        <v>8.0589672893862012</v>
      </c>
      <c r="I966" s="137">
        <f ca="1">Проект!$I$1486</f>
        <v>4.7465326732908242</v>
      </c>
      <c r="J966" s="137">
        <f ca="1">Проект!$J$1486</f>
        <v>3.4006825033283516</v>
      </c>
      <c r="K966" s="137" t="e">
        <f>Проект!#REF!</f>
        <v>#REF!</v>
      </c>
      <c r="L966" s="137" t="e">
        <f>Проект!#REF!</f>
        <v>#REF!</v>
      </c>
      <c r="M966" s="137" t="e">
        <f>Проект!#REF!</f>
        <v>#REF!</v>
      </c>
      <c r="N966" s="137" t="e">
        <f>Проект!#REF!</f>
        <v>#REF!</v>
      </c>
      <c r="O966" s="137" t="e">
        <f>Проект!#REF!</f>
        <v>#REF!</v>
      </c>
      <c r="P966" s="137" t="e">
        <f>Проект!#REF!</f>
        <v>#REF!</v>
      </c>
      <c r="Q966" s="137">
        <f ca="1">Проект!$K$1486</f>
        <v>2.3862766660862511</v>
      </c>
      <c r="R966" s="48"/>
      <c r="S966" s="41"/>
    </row>
    <row r="967" spans="1:19" ht="11.25" customHeight="1" x14ac:dyDescent="0.2">
      <c r="A967" s="48" t="str">
        <f ca="1">Проект!$A$1487</f>
        <v>Рентабельность собственного капитала</v>
      </c>
      <c r="B967" s="48"/>
      <c r="C967" s="50" t="str">
        <f>Проект!$C$1487</f>
        <v>%</v>
      </c>
      <c r="D967" s="101" t="str">
        <f>Проект!$D$1487</f>
        <v>int_avg</v>
      </c>
      <c r="E967" s="48"/>
      <c r="F967" s="137">
        <f ca="1">Проект!$F$1487</f>
        <v>24</v>
      </c>
      <c r="G967" s="137">
        <f ca="1">Проект!$G$1487</f>
        <v>16.529068836855267</v>
      </c>
      <c r="H967" s="137">
        <f ca="1">Проект!$H$1487</f>
        <v>9.4041317835978013</v>
      </c>
      <c r="I967" s="137">
        <f ca="1">Проект!$I$1487</f>
        <v>5.2678517340104145</v>
      </c>
      <c r="J967" s="137">
        <f ca="1">Проект!$J$1487</f>
        <v>3.6608040063037786</v>
      </c>
      <c r="K967" s="137" t="e">
        <f>Проект!#REF!</f>
        <v>#REF!</v>
      </c>
      <c r="L967" s="137" t="e">
        <f>Проект!#REF!</f>
        <v>#REF!</v>
      </c>
      <c r="M967" s="137" t="e">
        <f>Проект!#REF!</f>
        <v>#REF!</v>
      </c>
      <c r="N967" s="137" t="e">
        <f>Проект!#REF!</f>
        <v>#REF!</v>
      </c>
      <c r="O967" s="137" t="e">
        <f>Проект!#REF!</f>
        <v>#REF!</v>
      </c>
      <c r="P967" s="137" t="e">
        <f>Проект!#REF!</f>
        <v>#REF!</v>
      </c>
      <c r="Q967" s="137">
        <f ca="1">Проект!$K$1487</f>
        <v>2.5115024071053385</v>
      </c>
      <c r="R967" s="48"/>
      <c r="S967" s="41"/>
    </row>
    <row r="968" spans="1:19" ht="11.25" customHeight="1" x14ac:dyDescent="0.2">
      <c r="A968" s="48" t="str">
        <f ca="1">Проект!$A$1488</f>
        <v>Рентабельность внеоборотных активов</v>
      </c>
      <c r="B968" s="48"/>
      <c r="C968" s="50" t="str">
        <f>Проект!$C$1488</f>
        <v>%</v>
      </c>
      <c r="D968" s="101" t="str">
        <f>Проект!$D$1488</f>
        <v>int_avg</v>
      </c>
      <c r="E968" s="48"/>
      <c r="F968" s="137">
        <f ca="1">Проект!$F$1488</f>
        <v>583.44444444444457</v>
      </c>
      <c r="G968" s="137">
        <f ca="1">Проект!$G$1488</f>
        <v>1244.7407142857144</v>
      </c>
      <c r="H968" s="137">
        <f ca="1">Проект!$H$1488</f>
        <v>1820.1976859504134</v>
      </c>
      <c r="I968" s="137">
        <f ca="1">Проект!$I$1488</f>
        <v>1105.5497487437185</v>
      </c>
      <c r="J968" s="137">
        <f ca="1">Проект!$J$1488</f>
        <v>800.01600000000008</v>
      </c>
      <c r="K968" s="137" t="e">
        <f>Проект!#REF!</f>
        <v>#REF!</v>
      </c>
      <c r="L968" s="137" t="e">
        <f>Проект!#REF!</f>
        <v>#REF!</v>
      </c>
      <c r="M968" s="137" t="e">
        <f>Проект!#REF!</f>
        <v>#REF!</v>
      </c>
      <c r="N968" s="137" t="e">
        <f>Проект!#REF!</f>
        <v>#REF!</v>
      </c>
      <c r="O968" s="137" t="e">
        <f>Проект!#REF!</f>
        <v>#REF!</v>
      </c>
      <c r="P968" s="137" t="e">
        <f>Проект!#REF!</f>
        <v>#REF!</v>
      </c>
      <c r="Q968" s="137">
        <f ca="1">Проект!$K$1488</f>
        <v>775.29049688711382</v>
      </c>
      <c r="R968" s="48"/>
      <c r="S968" s="41"/>
    </row>
    <row r="969" spans="1:19" ht="11.25" customHeight="1" x14ac:dyDescent="0.2">
      <c r="A969" s="48" t="str">
        <f ca="1">Проект!$A$1489</f>
        <v>Прямые расходы к выручке от реализации</v>
      </c>
      <c r="B969" s="48"/>
      <c r="C969" s="50" t="str">
        <f>Проект!$C$1489</f>
        <v>%</v>
      </c>
      <c r="D969" s="101" t="str">
        <f>Проект!$D$1489</f>
        <v>int_avg</v>
      </c>
      <c r="E969" s="48"/>
      <c r="F969" s="137">
        <f ca="1">Проект!$F$1489</f>
        <v>1.8683333333333333E-2</v>
      </c>
      <c r="G969" s="137">
        <f ca="1">Проект!$G$1489</f>
        <v>9.9071428571428574E-3</v>
      </c>
      <c r="H969" s="137">
        <f ca="1">Проект!$H$1489</f>
        <v>8.2649999999999998E-3</v>
      </c>
      <c r="I969" s="137">
        <f ca="1">Проект!$I$1489</f>
        <v>9.0966666666666661E-3</v>
      </c>
      <c r="J969" s="137">
        <f ca="1">Проект!$J$1489</f>
        <v>9.0966666666666661E-3</v>
      </c>
      <c r="K969" s="137" t="e">
        <f>Проект!#REF!</f>
        <v>#REF!</v>
      </c>
      <c r="L969" s="137" t="e">
        <f>Проект!#REF!</f>
        <v>#REF!</v>
      </c>
      <c r="M969" s="137" t="e">
        <f>Проект!#REF!</f>
        <v>#REF!</v>
      </c>
      <c r="N969" s="137" t="e">
        <f>Проект!#REF!</f>
        <v>#REF!</v>
      </c>
      <c r="O969" s="137" t="e">
        <f>Проект!#REF!</f>
        <v>#REF!</v>
      </c>
      <c r="P969" s="137" t="e">
        <f>Проект!#REF!</f>
        <v>#REF!</v>
      </c>
      <c r="Q969" s="137">
        <f ca="1">Проект!$K$1489</f>
        <v>9.1063888888888896E-3</v>
      </c>
      <c r="R969" s="48"/>
      <c r="S969" s="41"/>
    </row>
    <row r="970" spans="1:19" ht="11.25" customHeight="1" x14ac:dyDescent="0.2">
      <c r="A970" s="48" t="str">
        <f ca="1">Проект!$A$1490</f>
        <v>Прибыльность продаж</v>
      </c>
      <c r="B970" s="48"/>
      <c r="C970" s="50" t="str">
        <f>Проект!$C$1490</f>
        <v>%</v>
      </c>
      <c r="D970" s="101" t="str">
        <f>Проект!$D$1490</f>
        <v>int_avg</v>
      </c>
      <c r="E970" s="48"/>
      <c r="F970" s="137">
        <f ca="1">Проект!$F$1490</f>
        <v>0.36465277777777777</v>
      </c>
      <c r="G970" s="137">
        <f ca="1">Проект!$G$1490</f>
        <v>0.69152261904761902</v>
      </c>
      <c r="H970" s="137">
        <f ca="1">Проект!$H$1490</f>
        <v>0.76473583333333328</v>
      </c>
      <c r="I970" s="137">
        <f ca="1">Проект!$I$1490</f>
        <v>0.76390416666666672</v>
      </c>
      <c r="J970" s="137">
        <f ca="1">Проект!$J$1490</f>
        <v>0.76390416666666672</v>
      </c>
      <c r="K970" s="137" t="e">
        <f>Проект!#REF!</f>
        <v>#REF!</v>
      </c>
      <c r="L970" s="137" t="e">
        <f>Проект!#REF!</f>
        <v>#REF!</v>
      </c>
      <c r="M970" s="137" t="e">
        <f>Проект!#REF!</f>
        <v>#REF!</v>
      </c>
      <c r="N970" s="137" t="e">
        <f>Проект!#REF!</f>
        <v>#REF!</v>
      </c>
      <c r="O970" s="137" t="e">
        <f>Проект!#REF!</f>
        <v>#REF!</v>
      </c>
      <c r="P970" s="137" t="e">
        <f>Проект!#REF!</f>
        <v>#REF!</v>
      </c>
      <c r="Q970" s="137">
        <f ca="1">Проект!$K$1490</f>
        <v>0.76389444444444443</v>
      </c>
      <c r="R970" s="48"/>
      <c r="S970" s="41"/>
    </row>
    <row r="971" spans="1:19" ht="11.25" customHeight="1" x14ac:dyDescent="0.2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1"/>
    </row>
    <row r="972" spans="1:19" ht="11.25" customHeight="1" x14ac:dyDescent="0.2">
      <c r="A972" s="386" t="str">
        <f ca="1">Проект!$A$1492</f>
        <v>Доля постоянных  затрат</v>
      </c>
      <c r="B972" s="48"/>
      <c r="C972" s="50" t="str">
        <f>Проект!$C$1492</f>
        <v>%</v>
      </c>
      <c r="D972" s="101" t="str">
        <f>Проект!$D$1492</f>
        <v>int_avg</v>
      </c>
      <c r="E972" s="48"/>
      <c r="F972" s="387">
        <f ca="1">Проект!$F$1492</f>
        <v>1</v>
      </c>
      <c r="G972" s="387">
        <f ca="1">Проект!$G$1492</f>
        <v>1</v>
      </c>
      <c r="H972" s="387">
        <f ca="1">Проект!$H$1492</f>
        <v>1</v>
      </c>
      <c r="I972" s="387">
        <f ca="1">Проект!$I$1492</f>
        <v>1</v>
      </c>
      <c r="J972" s="387">
        <f ca="1">Проект!$J$1492</f>
        <v>1</v>
      </c>
      <c r="K972" s="387" t="e">
        <f>Проект!#REF!</f>
        <v>#REF!</v>
      </c>
      <c r="L972" s="387" t="e">
        <f>Проект!#REF!</f>
        <v>#REF!</v>
      </c>
      <c r="M972" s="387" t="e">
        <f>Проект!#REF!</f>
        <v>#REF!</v>
      </c>
      <c r="N972" s="387" t="e">
        <f>Проект!#REF!</f>
        <v>#REF!</v>
      </c>
      <c r="O972" s="387" t="e">
        <f>Проект!#REF!</f>
        <v>#REF!</v>
      </c>
      <c r="P972" s="387" t="e">
        <f>Проект!#REF!</f>
        <v>#REF!</v>
      </c>
      <c r="Q972" s="387">
        <f ca="1">Проект!$K$1492</f>
        <v>1</v>
      </c>
      <c r="R972" s="48"/>
      <c r="S972" s="41"/>
    </row>
    <row r="973" spans="1:19" ht="11.25" customHeight="1" x14ac:dyDescent="0.2">
      <c r="A973" s="386" t="str">
        <f ca="1">Проект!$A$1493</f>
        <v>Точка безубыточности</v>
      </c>
      <c r="B973" s="48"/>
      <c r="C973" s="73" t="str">
        <f ca="1">Проект!$C$1493</f>
        <v>руб.</v>
      </c>
      <c r="D973" s="101" t="str">
        <f>Проект!$D$1493</f>
        <v>int_avg</v>
      </c>
      <c r="E973" s="48"/>
      <c r="F973" s="87">
        <f ca="1">Проект!$F$1493</f>
        <v>20712500</v>
      </c>
      <c r="G973" s="87">
        <f ca="1">Проект!$G$1493</f>
        <v>20872100</v>
      </c>
      <c r="H973" s="87">
        <f ca="1">Проект!$H$1493</f>
        <v>21031700</v>
      </c>
      <c r="I973" s="87">
        <f ca="1">Проект!$I$1493</f>
        <v>21131500</v>
      </c>
      <c r="J973" s="87">
        <f ca="1">Проект!$J$1493</f>
        <v>21131500</v>
      </c>
      <c r="K973" s="87" t="e">
        <f>Проект!#REF!</f>
        <v>#REF!</v>
      </c>
      <c r="L973" s="87" t="e">
        <f>Проект!#REF!</f>
        <v>#REF!</v>
      </c>
      <c r="M973" s="87" t="e">
        <f>Проект!#REF!</f>
        <v>#REF!</v>
      </c>
      <c r="N973" s="87" t="e">
        <f>Проект!#REF!</f>
        <v>#REF!</v>
      </c>
      <c r="O973" s="87" t="e">
        <f>Проект!#REF!</f>
        <v>#REF!</v>
      </c>
      <c r="P973" s="87" t="e">
        <f>Проект!#REF!</f>
        <v>#REF!</v>
      </c>
      <c r="Q973" s="87">
        <f ca="1">Проект!$K$1493</f>
        <v>21132666.666666668</v>
      </c>
      <c r="R973" s="48"/>
      <c r="S973" s="41"/>
    </row>
    <row r="974" spans="1:19" ht="11.25" customHeight="1" x14ac:dyDescent="0.2">
      <c r="A974" s="386" t="str">
        <f ca="1">Проект!$A$1494</f>
        <v>"Запас прочности"</v>
      </c>
      <c r="B974" s="48"/>
      <c r="C974" s="50" t="str">
        <f>Проект!$C$1494</f>
        <v>%</v>
      </c>
      <c r="D974" s="101" t="str">
        <f>Проект!$D$1494</f>
        <v>int_avg</v>
      </c>
      <c r="E974" s="48"/>
      <c r="F974" s="137">
        <f ca="1">Проект!$F$1494</f>
        <v>0.42465277777777777</v>
      </c>
      <c r="G974" s="137">
        <f ca="1">Проект!$G$1494</f>
        <v>0.75152261904761908</v>
      </c>
      <c r="H974" s="137">
        <f ca="1">Проект!$H$1494</f>
        <v>0.82473583333333333</v>
      </c>
      <c r="I974" s="137">
        <f ca="1">Проект!$I$1494</f>
        <v>0.82390416666666666</v>
      </c>
      <c r="J974" s="137">
        <f ca="1">Проект!$J$1494</f>
        <v>0.82390416666666666</v>
      </c>
      <c r="K974" s="137" t="e">
        <f>Проект!#REF!</f>
        <v>#REF!</v>
      </c>
      <c r="L974" s="137" t="e">
        <f>Проект!#REF!</f>
        <v>#REF!</v>
      </c>
      <c r="M974" s="137" t="e">
        <f>Проект!#REF!</f>
        <v>#REF!</v>
      </c>
      <c r="N974" s="137" t="e">
        <f>Проект!#REF!</f>
        <v>#REF!</v>
      </c>
      <c r="O974" s="137" t="e">
        <f>Проект!#REF!</f>
        <v>#REF!</v>
      </c>
      <c r="P974" s="137" t="e">
        <f>Проект!#REF!</f>
        <v>#REF!</v>
      </c>
      <c r="Q974" s="137">
        <f ca="1">Проект!$K$1494</f>
        <v>0.82389444444444437</v>
      </c>
      <c r="R974" s="48"/>
      <c r="S974" s="41"/>
    </row>
    <row r="975" spans="1:19" ht="11.25" customHeight="1" x14ac:dyDescent="0.2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1"/>
    </row>
    <row r="976" spans="1:19" ht="11.25" customHeight="1" x14ac:dyDescent="0.2">
      <c r="A976" s="48" t="str">
        <f ca="1">Проект!$A$1496</f>
        <v>Рентабельность по EBITDA</v>
      </c>
      <c r="B976" s="48"/>
      <c r="C976" s="50" t="str">
        <f>Проект!$C$1496</f>
        <v>%</v>
      </c>
      <c r="D976" s="101" t="str">
        <f>Проект!$D$1496</f>
        <v>int_avg</v>
      </c>
      <c r="E976" s="48"/>
      <c r="F976" s="81">
        <f ca="1">Проект!$F$1496</f>
        <v>0.73808086904043457</v>
      </c>
      <c r="G976" s="81">
        <f ca="1">Проект!$G$1496</f>
        <v>3.0245111895784325</v>
      </c>
      <c r="H976" s="81">
        <f ca="1">Проект!$H$1496</f>
        <v>4.7056728652462709</v>
      </c>
      <c r="I976" s="81">
        <f ca="1">Проект!$I$1496</f>
        <v>4.6796725267964883</v>
      </c>
      <c r="J976" s="81">
        <f ca="1">Проект!$J$1496</f>
        <v>4.6796725267964883</v>
      </c>
      <c r="K976" s="81" t="e">
        <f>Проект!#REF!</f>
        <v>#REF!</v>
      </c>
      <c r="L976" s="81" t="e">
        <f>Проект!#REF!</f>
        <v>#REF!</v>
      </c>
      <c r="M976" s="81" t="e">
        <f>Проект!#REF!</f>
        <v>#REF!</v>
      </c>
      <c r="N976" s="81" t="e">
        <f>Проект!#REF!</f>
        <v>#REF!</v>
      </c>
      <c r="O976" s="81" t="e">
        <f>Проект!#REF!</f>
        <v>#REF!</v>
      </c>
      <c r="P976" s="81" t="e">
        <f>Проект!#REF!</f>
        <v>#REF!</v>
      </c>
      <c r="Q976" s="81">
        <f ca="1">Проект!$K$1496</f>
        <v>4.6794141771033786</v>
      </c>
      <c r="R976" s="48"/>
      <c r="S976" s="41"/>
    </row>
    <row r="977" spans="1:19" ht="11.25" customHeight="1" x14ac:dyDescent="0.2">
      <c r="A977" s="48" t="str">
        <f ca="1">Проект!$A$1497</f>
        <v>Рентабельность по EBIT</v>
      </c>
      <c r="B977" s="48"/>
      <c r="C977" s="50" t="str">
        <f>Проект!$C$1497</f>
        <v>%</v>
      </c>
      <c r="D977" s="101" t="str">
        <f>Проект!$D$1497</f>
        <v>int_avg</v>
      </c>
      <c r="E977" s="48"/>
      <c r="F977" s="81">
        <f ca="1">Проект!$F$1497</f>
        <v>0.73808086904043457</v>
      </c>
      <c r="G977" s="81">
        <f ca="1">Проект!$G$1497</f>
        <v>3.0245111895784325</v>
      </c>
      <c r="H977" s="81">
        <f ca="1">Проект!$H$1497</f>
        <v>4.7056728652462709</v>
      </c>
      <c r="I977" s="81">
        <f ca="1">Проект!$I$1497</f>
        <v>4.67872607245108</v>
      </c>
      <c r="J977" s="81">
        <f ca="1">Проект!$J$1497</f>
        <v>4.67872607245108</v>
      </c>
      <c r="K977" s="81" t="e">
        <f>Проект!#REF!</f>
        <v>#REF!</v>
      </c>
      <c r="L977" s="81" t="e">
        <f>Проект!#REF!</f>
        <v>#REF!</v>
      </c>
      <c r="M977" s="81" t="e">
        <f>Проект!#REF!</f>
        <v>#REF!</v>
      </c>
      <c r="N977" s="81" t="e">
        <f>Проект!#REF!</f>
        <v>#REF!</v>
      </c>
      <c r="O977" s="81" t="e">
        <f>Проект!#REF!</f>
        <v>#REF!</v>
      </c>
      <c r="P977" s="81" t="e">
        <f>Проект!#REF!</f>
        <v>#REF!</v>
      </c>
      <c r="Q977" s="81">
        <f ca="1">Проект!$K$1497</f>
        <v>4.6784125682198168</v>
      </c>
      <c r="R977" s="48"/>
      <c r="S977" s="41"/>
    </row>
    <row r="978" spans="1:19" ht="11.25" customHeight="1" x14ac:dyDescent="0.2">
      <c r="A978" s="48" t="str">
        <f ca="1">Проект!$A$1498</f>
        <v xml:space="preserve">Рентабельность по чистой прибыли </v>
      </c>
      <c r="B978" s="48"/>
      <c r="C978" s="50" t="str">
        <f>Проект!$C$1498</f>
        <v>%</v>
      </c>
      <c r="D978" s="101" t="str">
        <f>Проект!$D$1498</f>
        <v>int_avg</v>
      </c>
      <c r="E978" s="48"/>
      <c r="F978" s="81">
        <f ca="1">Проект!$F$1498</f>
        <v>0.63379601689800846</v>
      </c>
      <c r="G978" s="81">
        <f ca="1">Проект!$G$1498</f>
        <v>2.7830405182037263</v>
      </c>
      <c r="H978" s="81">
        <f ca="1">Проект!$H$1498</f>
        <v>4.3633324933314945</v>
      </c>
      <c r="I978" s="81">
        <f ca="1">Проект!$I$1498</f>
        <v>4.3380025081040152</v>
      </c>
      <c r="J978" s="81">
        <f ca="1">Проект!$J$1498</f>
        <v>4.3380025081040152</v>
      </c>
      <c r="K978" s="81" t="e">
        <f>Проект!#REF!</f>
        <v>#REF!</v>
      </c>
      <c r="L978" s="81" t="e">
        <f>Проект!#REF!</f>
        <v>#REF!</v>
      </c>
      <c r="M978" s="81" t="e">
        <f>Проект!#REF!</f>
        <v>#REF!</v>
      </c>
      <c r="N978" s="81" t="e">
        <f>Проект!#REF!</f>
        <v>#REF!</v>
      </c>
      <c r="O978" s="81" t="e">
        <f>Проект!#REF!</f>
        <v>#REF!</v>
      </c>
      <c r="P978" s="81" t="e">
        <f>Проект!#REF!</f>
        <v>#REF!</v>
      </c>
      <c r="Q978" s="81">
        <f ca="1">Проект!$K$1498</f>
        <v>4.3377078141266283</v>
      </c>
      <c r="R978" s="48"/>
      <c r="S978" s="41"/>
    </row>
    <row r="979" spans="1:19" ht="11.25" customHeight="1" x14ac:dyDescent="0.2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1"/>
    </row>
    <row r="980" spans="1:19" ht="11.25" customHeight="1" x14ac:dyDescent="0.2">
      <c r="A980" s="48" t="str">
        <f ca="1">Проект!$A$1500</f>
        <v>Эффективная ставка налога на прибыль</v>
      </c>
      <c r="B980" s="44"/>
      <c r="C980" s="73" t="str">
        <f>Проект!$C$1500</f>
        <v>%</v>
      </c>
      <c r="D980" s="101" t="str">
        <f>Проект!$D$1500</f>
        <v>int_avg</v>
      </c>
      <c r="E980" s="48"/>
      <c r="F980" s="211">
        <f ca="1">Проект!$F$1500</f>
        <v>0.14129190515126738</v>
      </c>
      <c r="G980" s="211">
        <f ca="1">Проект!$G$1500</f>
        <v>7.9837916357109934E-2</v>
      </c>
      <c r="H980" s="211">
        <f ca="1">Проект!$H$1500</f>
        <v>7.2750567605991009E-2</v>
      </c>
      <c r="I980" s="211">
        <f ca="1">Проект!$I$1500</f>
        <v>7.2824003600742399E-2</v>
      </c>
      <c r="J980" s="211">
        <f ca="1">Проект!$J$1500</f>
        <v>7.2824003600742399E-2</v>
      </c>
      <c r="K980" s="211" t="e">
        <f>Проект!#REF!</f>
        <v>#REF!</v>
      </c>
      <c r="L980" s="211" t="e">
        <f>Проект!#REF!</f>
        <v>#REF!</v>
      </c>
      <c r="M980" s="211" t="e">
        <f>Проект!#REF!</f>
        <v>#REF!</v>
      </c>
      <c r="N980" s="211" t="e">
        <f>Проект!#REF!</f>
        <v>#REF!</v>
      </c>
      <c r="O980" s="211" t="e">
        <f>Проект!#REF!</f>
        <v>#REF!</v>
      </c>
      <c r="P980" s="211" t="e">
        <f>Проект!#REF!</f>
        <v>#REF!</v>
      </c>
      <c r="Q980" s="211">
        <f ca="1">Проект!$K$1500</f>
        <v>7.2824862947653765E-2</v>
      </c>
      <c r="R980" s="48"/>
      <c r="S980" s="41"/>
    </row>
    <row r="981" spans="1:19" ht="11.25" customHeight="1" x14ac:dyDescent="0.2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1"/>
    </row>
    <row r="982" spans="1:19" ht="11.25" customHeight="1" x14ac:dyDescent="0.2">
      <c r="A982" s="48" t="str">
        <f ca="1">Проект!$A$1502</f>
        <v>Коэффициент общей ликвидности</v>
      </c>
      <c r="B982" s="48"/>
      <c r="C982" s="73" t="str">
        <f ca="1">Проект!$C$1502</f>
        <v>разы</v>
      </c>
      <c r="D982" s="101" t="str">
        <f>Проект!$D$1502</f>
        <v>int_avg</v>
      </c>
      <c r="E982" s="48"/>
      <c r="F982" s="388">
        <f ca="1">Проект!$F$1502</f>
        <v>2.7085171360705802</v>
      </c>
      <c r="G982" s="388">
        <f ca="1">Проект!$G$1502</f>
        <v>5.3585148985271163</v>
      </c>
      <c r="H982" s="388">
        <f ca="1">Проект!$H$1502</f>
        <v>8.0942971627827696</v>
      </c>
      <c r="I982" s="388">
        <f ca="1">Проект!$I$1502</f>
        <v>12.020130957819401</v>
      </c>
      <c r="J982" s="388">
        <f ca="1">Проект!$J$1502</f>
        <v>16.007100437251189</v>
      </c>
      <c r="K982" s="388" t="e">
        <f>Проект!#REF!</f>
        <v>#REF!</v>
      </c>
      <c r="L982" s="388" t="e">
        <f>Проект!#REF!</f>
        <v>#REF!</v>
      </c>
      <c r="M982" s="388" t="e">
        <f>Проект!#REF!</f>
        <v>#REF!</v>
      </c>
      <c r="N982" s="388" t="e">
        <f>Проект!#REF!</f>
        <v>#REF!</v>
      </c>
      <c r="O982" s="388" t="e">
        <f>Проект!#REF!</f>
        <v>#REF!</v>
      </c>
      <c r="P982" s="388" t="e">
        <f>Проект!#REF!</f>
        <v>#REF!</v>
      </c>
      <c r="Q982" s="388">
        <f ca="1">Проект!$K$1502</f>
        <v>19.994069916682982</v>
      </c>
      <c r="R982" s="48"/>
      <c r="S982" s="41"/>
    </row>
    <row r="983" spans="1:19" ht="11.25" customHeight="1" x14ac:dyDescent="0.2">
      <c r="A983" s="48" t="str">
        <f ca="1">Проект!$A$1503</f>
        <v>Чистый оборотный капитал</v>
      </c>
      <c r="B983" s="48"/>
      <c r="C983" s="73" t="str">
        <f ca="1">Проект!$C$1503</f>
        <v>руб.</v>
      </c>
      <c r="D983" s="101" t="str">
        <f>Проект!$D$1503</f>
        <v>int_avg</v>
      </c>
      <c r="E983" s="48"/>
      <c r="F983" s="25">
        <f ca="1">Проект!$F$1503</f>
        <v>12587500</v>
      </c>
      <c r="G983" s="25">
        <f ca="1">Проект!$G$1503</f>
        <v>70635400</v>
      </c>
      <c r="H983" s="25">
        <f ca="1">Проект!$H$1503</f>
        <v>162353699.99999997</v>
      </c>
      <c r="I983" s="25">
        <f ca="1">Проект!$I$1503</f>
        <v>253292200</v>
      </c>
      <c r="J983" s="25">
        <f ca="1">Проект!$J$1503</f>
        <v>344930700</v>
      </c>
      <c r="K983" s="25" t="e">
        <f>Проект!#REF!</f>
        <v>#REF!</v>
      </c>
      <c r="L983" s="25" t="e">
        <f>Проект!#REF!</f>
        <v>#REF!</v>
      </c>
      <c r="M983" s="25" t="e">
        <f>Проект!#REF!</f>
        <v>#REF!</v>
      </c>
      <c r="N983" s="25" t="e">
        <f>Проект!#REF!</f>
        <v>#REF!</v>
      </c>
      <c r="O983" s="25" t="e">
        <f>Проект!#REF!</f>
        <v>#REF!</v>
      </c>
      <c r="P983" s="25" t="e">
        <f>Проект!#REF!</f>
        <v>#REF!</v>
      </c>
      <c r="Q983" s="25">
        <f ca="1">Проект!$K$1503</f>
        <v>436569200</v>
      </c>
      <c r="R983" s="48"/>
      <c r="S983" s="41"/>
    </row>
    <row r="984" spans="1:19" ht="11.25" customHeight="1" x14ac:dyDescent="0.2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1"/>
    </row>
    <row r="985" spans="1:19" ht="11.25" customHeight="1" x14ac:dyDescent="0.2">
      <c r="A985" s="48" t="str">
        <f ca="1">Проект!$A$1505</f>
        <v>Коэффициент общей платежеспособности</v>
      </c>
      <c r="B985" s="48"/>
      <c r="C985" s="73" t="str">
        <f ca="1">Проект!$C$1505</f>
        <v>разы</v>
      </c>
      <c r="D985" s="101" t="str">
        <f>Проект!$D$1505</f>
        <v>int_avg</v>
      </c>
      <c r="E985" s="48"/>
      <c r="F985" s="388">
        <f ca="1">Проект!$F$1505</f>
        <v>0.64052207855574528</v>
      </c>
      <c r="G985" s="388">
        <f ca="1">Проект!$G$1505</f>
        <v>0.81461925357205367</v>
      </c>
      <c r="H985" s="388">
        <f ca="1">Проект!$H$1505</f>
        <v>0.87687497847944351</v>
      </c>
      <c r="I985" s="388">
        <f ca="1">Проект!$I$1505</f>
        <v>0.91721375452164644</v>
      </c>
      <c r="J985" s="388">
        <f ca="1">Проект!$J$1505</f>
        <v>0.93776285847044671</v>
      </c>
      <c r="K985" s="388" t="e">
        <f>Проект!#REF!</f>
        <v>#REF!</v>
      </c>
      <c r="L985" s="388" t="e">
        <f>Проект!#REF!</f>
        <v>#REF!</v>
      </c>
      <c r="M985" s="388" t="e">
        <f>Проект!#REF!</f>
        <v>#REF!</v>
      </c>
      <c r="N985" s="388" t="e">
        <f>Проект!#REF!</f>
        <v>#REF!</v>
      </c>
      <c r="O985" s="388" t="e">
        <f>Проект!#REF!</f>
        <v>#REF!</v>
      </c>
      <c r="P985" s="388" t="e">
        <f>Проект!#REF!</f>
        <v>#REF!</v>
      </c>
      <c r="Q985" s="388">
        <f ca="1">Проект!$K$1505</f>
        <v>0.95013911168677001</v>
      </c>
      <c r="R985" s="48"/>
      <c r="S985" s="41"/>
    </row>
    <row r="986" spans="1:19" ht="11.25" customHeight="1" x14ac:dyDescent="0.2">
      <c r="A986" s="48" t="str">
        <f ca="1">Проект!$A$1506</f>
        <v>Коэффициент автономии</v>
      </c>
      <c r="B986" s="48"/>
      <c r="C986" s="73" t="str">
        <f ca="1">Проект!$C$1506</f>
        <v>разы</v>
      </c>
      <c r="D986" s="101" t="str">
        <f>Проект!$D$1506</f>
        <v>int_avg</v>
      </c>
      <c r="E986" s="48"/>
      <c r="F986" s="388">
        <f ca="1">Проект!$F$1506</f>
        <v>1.7818120122158128</v>
      </c>
      <c r="G986" s="388">
        <f ca="1">Проект!$G$1506</f>
        <v>4.3943034498929432</v>
      </c>
      <c r="H986" s="388">
        <f ca="1">Проект!$H$1506</f>
        <v>7.1218259915840436</v>
      </c>
      <c r="I986" s="388">
        <f ca="1">Проект!$I$1506</f>
        <v>11.079301268245992</v>
      </c>
      <c r="J986" s="388">
        <f ca="1">Проект!$J$1506</f>
        <v>15.067575975113664</v>
      </c>
      <c r="K986" s="388" t="e">
        <f>Проект!#REF!</f>
        <v>#REF!</v>
      </c>
      <c r="L986" s="388" t="e">
        <f>Проект!#REF!</f>
        <v>#REF!</v>
      </c>
      <c r="M986" s="388" t="e">
        <f>Проект!#REF!</f>
        <v>#REF!</v>
      </c>
      <c r="N986" s="388" t="e">
        <f>Проект!#REF!</f>
        <v>#REF!</v>
      </c>
      <c r="O986" s="388" t="e">
        <f>Проект!#REF!</f>
        <v>#REF!</v>
      </c>
      <c r="P986" s="388" t="e">
        <f>Проект!#REF!</f>
        <v>#REF!</v>
      </c>
      <c r="Q986" s="388">
        <f ca="1">Проект!$K$1506</f>
        <v>19.055799923136604</v>
      </c>
      <c r="R986" s="48"/>
      <c r="S986" s="41"/>
    </row>
    <row r="987" spans="1:19" ht="11.25" customHeight="1" x14ac:dyDescent="0.2">
      <c r="A987" s="48" t="str">
        <f ca="1">Проект!$A$1507</f>
        <v>Доля долгосрочных кредитов в валюте баланса</v>
      </c>
      <c r="B987" s="48"/>
      <c r="C987" s="73" t="str">
        <f>Проект!$C$1507</f>
        <v>%</v>
      </c>
      <c r="D987" s="101" t="str">
        <f>Проект!$D$1507</f>
        <v>int_avg</v>
      </c>
      <c r="E987" s="48"/>
      <c r="F987" s="81">
        <f ca="1">Проект!$F$1507</f>
        <v>0</v>
      </c>
      <c r="G987" s="81">
        <f ca="1">Проект!$G$1507</f>
        <v>0</v>
      </c>
      <c r="H987" s="81">
        <f ca="1">Проект!$H$1507</f>
        <v>0</v>
      </c>
      <c r="I987" s="81">
        <f ca="1">Проект!$I$1507</f>
        <v>0</v>
      </c>
      <c r="J987" s="81">
        <f ca="1">Проект!$J$1507</f>
        <v>0</v>
      </c>
      <c r="K987" s="81" t="e">
        <f>Проект!#REF!</f>
        <v>#REF!</v>
      </c>
      <c r="L987" s="81" t="e">
        <f>Проект!#REF!</f>
        <v>#REF!</v>
      </c>
      <c r="M987" s="81" t="e">
        <f>Проект!#REF!</f>
        <v>#REF!</v>
      </c>
      <c r="N987" s="81" t="e">
        <f>Проект!#REF!</f>
        <v>#REF!</v>
      </c>
      <c r="O987" s="81" t="e">
        <f>Проект!#REF!</f>
        <v>#REF!</v>
      </c>
      <c r="P987" s="81" t="e">
        <f>Проект!#REF!</f>
        <v>#REF!</v>
      </c>
      <c r="Q987" s="81">
        <f ca="1">Проект!$K$1507</f>
        <v>0</v>
      </c>
      <c r="R987" s="48"/>
      <c r="S987" s="41"/>
    </row>
    <row r="988" spans="1:19" ht="11.25" customHeight="1" x14ac:dyDescent="0.2">
      <c r="A988" s="48" t="str">
        <f ca="1">Проект!$A$1508</f>
        <v>Общий коэффициент покрытия долга</v>
      </c>
      <c r="B988" s="48"/>
      <c r="C988" s="73" t="str">
        <f ca="1">Проект!$C$1508</f>
        <v>разы</v>
      </c>
      <c r="D988" s="101" t="str">
        <f>Проект!$D$1508</f>
        <v>int_avg</v>
      </c>
      <c r="E988" s="48"/>
      <c r="F988" s="388" t="str">
        <f>Проект!$F$1508</f>
        <v>-</v>
      </c>
      <c r="G988" s="388" t="str">
        <f>Проект!$G$1508</f>
        <v>-</v>
      </c>
      <c r="H988" s="388" t="str">
        <f>Проект!$H$1508</f>
        <v>-</v>
      </c>
      <c r="I988" s="388" t="str">
        <f>Проект!$I$1508</f>
        <v>-</v>
      </c>
      <c r="J988" s="388" t="str">
        <f>Проект!$J$1508</f>
        <v>-</v>
      </c>
      <c r="K988" s="388" t="e">
        <f>Проект!#REF!</f>
        <v>#REF!</v>
      </c>
      <c r="L988" s="388" t="e">
        <f>Проект!#REF!</f>
        <v>#REF!</v>
      </c>
      <c r="M988" s="388" t="e">
        <f>Проект!#REF!</f>
        <v>#REF!</v>
      </c>
      <c r="N988" s="388" t="e">
        <f>Проект!#REF!</f>
        <v>#REF!</v>
      </c>
      <c r="O988" s="388" t="e">
        <f>Проект!#REF!</f>
        <v>#REF!</v>
      </c>
      <c r="P988" s="388" t="e">
        <f>Проект!#REF!</f>
        <v>#REF!</v>
      </c>
      <c r="Q988" s="388" t="str">
        <f>Проект!$K$1508</f>
        <v>-</v>
      </c>
      <c r="R988" s="48"/>
      <c r="S988" s="41"/>
    </row>
    <row r="989" spans="1:19" ht="11.25" customHeight="1" x14ac:dyDescent="0.2">
      <c r="A989" s="48" t="str">
        <f ca="1">Проект!$A$1509</f>
        <v>Покрытие процентов по кредитам</v>
      </c>
      <c r="B989" s="48"/>
      <c r="C989" s="73" t="str">
        <f ca="1">Проект!$C$1509</f>
        <v>разы</v>
      </c>
      <c r="D989" s="101" t="str">
        <f>Проект!$D$1509</f>
        <v>int_avg</v>
      </c>
      <c r="E989" s="48"/>
      <c r="F989" s="389" t="str">
        <f ca="1">Проект!$F$1509</f>
        <v>-</v>
      </c>
      <c r="G989" s="389" t="str">
        <f ca="1">Проект!$G$1509</f>
        <v>-</v>
      </c>
      <c r="H989" s="389" t="str">
        <f ca="1">Проект!$H$1509</f>
        <v>-</v>
      </c>
      <c r="I989" s="389" t="str">
        <f ca="1">Проект!$I$1509</f>
        <v>-</v>
      </c>
      <c r="J989" s="389" t="str">
        <f ca="1">Проект!$J$1509</f>
        <v>-</v>
      </c>
      <c r="K989" s="389" t="e">
        <f>Проект!#REF!</f>
        <v>#REF!</v>
      </c>
      <c r="L989" s="389" t="e">
        <f>Проект!#REF!</f>
        <v>#REF!</v>
      </c>
      <c r="M989" s="389" t="e">
        <f>Проект!#REF!</f>
        <v>#REF!</v>
      </c>
      <c r="N989" s="389" t="e">
        <f>Проект!#REF!</f>
        <v>#REF!</v>
      </c>
      <c r="O989" s="389" t="e">
        <f>Проект!#REF!</f>
        <v>#REF!</v>
      </c>
      <c r="P989" s="389" t="e">
        <f>Проект!#REF!</f>
        <v>#REF!</v>
      </c>
      <c r="Q989" s="389" t="str">
        <f ca="1">Проект!$K$1509</f>
        <v>-</v>
      </c>
      <c r="R989" s="48"/>
      <c r="S989" s="41"/>
    </row>
    <row r="992" spans="1:19" ht="15.9" customHeight="1" thickBot="1" x14ac:dyDescent="0.25">
      <c r="A992" s="166" t="str">
        <f ca="1">Проект!$A$1587</f>
        <v xml:space="preserve">         ЭФФЕКТИВНОСТЬ ПОЛНЫХ ИНВЕСТИЦИОННЫХ ЗАТРАТ</v>
      </c>
      <c r="B992" s="166"/>
      <c r="C992" s="166"/>
      <c r="D992" s="166"/>
      <c r="E992" s="166"/>
      <c r="F992" s="178" t="str">
        <f>Проект!$F$1587</f>
        <v>4/ 2020</v>
      </c>
      <c r="G992" s="178" t="str">
        <f>Проект!$G$1587</f>
        <v>5/ 2020</v>
      </c>
      <c r="H992" s="178" t="str">
        <f>Проект!$H$1587</f>
        <v>6/ 2020</v>
      </c>
      <c r="I992" s="178" t="str">
        <f>Проект!$I$1587</f>
        <v>7/ 2020</v>
      </c>
      <c r="J992" s="178" t="str">
        <f>Проект!$J$1587</f>
        <v>8/ 2020</v>
      </c>
      <c r="K992" s="178" t="e">
        <f>Проект!#REF!</f>
        <v>#REF!</v>
      </c>
      <c r="L992" s="178" t="e">
        <f>Проект!#REF!</f>
        <v>#REF!</v>
      </c>
      <c r="M992" s="178" t="e">
        <f>Проект!#REF!</f>
        <v>#REF!</v>
      </c>
      <c r="N992" s="178" t="e">
        <f>Проект!#REF!</f>
        <v>#REF!</v>
      </c>
      <c r="O992" s="178" t="e">
        <f>Проект!#REF!</f>
        <v>#REF!</v>
      </c>
      <c r="P992" s="178" t="e">
        <f>Проект!#REF!</f>
        <v>#REF!</v>
      </c>
      <c r="Q992" s="178" t="str">
        <f>Проект!$K$1587</f>
        <v>9/ 2020</v>
      </c>
      <c r="R992" s="166"/>
      <c r="S992" s="167" t="str">
        <f ca="1">Проект!$M$1587</f>
        <v>ИТОГО</v>
      </c>
    </row>
    <row r="993" spans="1:19" ht="12" customHeight="1" thickTop="1" x14ac:dyDescent="0.2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1"/>
    </row>
    <row r="994" spans="1:19" ht="11.25" customHeight="1" x14ac:dyDescent="0.2">
      <c r="A994" s="48" t="str">
        <f ca="1">Проект!$A$1589</f>
        <v>Учитывать ранее осуществленные инвестиции</v>
      </c>
      <c r="B994" s="334">
        <f>Проект!$B$1589</f>
        <v>2</v>
      </c>
      <c r="C994" s="197" t="str">
        <f ca="1">Проект!$C$1589</f>
        <v>Нет</v>
      </c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1"/>
    </row>
    <row r="995" spans="1:19" ht="11.25" customHeight="1" x14ac:dyDescent="0.2">
      <c r="A995" s="48" t="str">
        <f ca="1">Проект!$A$1590</f>
        <v>Учитывать остаточную стоимость проекта</v>
      </c>
      <c r="B995" s="334">
        <f>Проект!$B$1590</f>
        <v>1</v>
      </c>
      <c r="C995" s="197" t="str">
        <f ca="1">Проект!$C$1590</f>
        <v>Да</v>
      </c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1"/>
    </row>
    <row r="996" spans="1:19" ht="11.25" customHeight="1" x14ac:dyDescent="0.2">
      <c r="A996" s="48" t="str">
        <f ca="1">Проект!$A$1591</f>
        <v>Валюта расчетов:</v>
      </c>
      <c r="B996" s="334">
        <f>Проект!$B$1591</f>
        <v>1</v>
      </c>
      <c r="C996" s="50" t="str">
        <f ca="1">Проект!$C$1591</f>
        <v>руб.</v>
      </c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1"/>
    </row>
    <row r="997" spans="1:19" ht="11.25" customHeight="1" x14ac:dyDescent="0.2">
      <c r="A997" s="48" t="str">
        <f ca="1">Проект!$A$1592</f>
        <v>Годовая ставка дисконтирования:</v>
      </c>
      <c r="B997" s="344">
        <f>Проект!$B$1592</f>
        <v>0.25</v>
      </c>
      <c r="C997" s="73" t="str">
        <f>Проект!$C$1592</f>
        <v>%</v>
      </c>
      <c r="D997" s="101" t="str">
        <f>Проект!$D$1592</f>
        <v>int_avg</v>
      </c>
      <c r="E997" s="48"/>
      <c r="F997" s="135">
        <f>Проект!$F$1592</f>
        <v>0.25</v>
      </c>
      <c r="G997" s="135">
        <f>Проект!$G$1592</f>
        <v>0.25</v>
      </c>
      <c r="H997" s="135">
        <f>Проект!$H$1592</f>
        <v>0.25</v>
      </c>
      <c r="I997" s="135">
        <f>Проект!$I$1592</f>
        <v>0.25</v>
      </c>
      <c r="J997" s="135">
        <f>Проект!$J$1592</f>
        <v>0.25</v>
      </c>
      <c r="K997" s="135" t="e">
        <f>Проект!#REF!</f>
        <v>#REF!</v>
      </c>
      <c r="L997" s="135" t="e">
        <f>Проект!#REF!</f>
        <v>#REF!</v>
      </c>
      <c r="M997" s="135" t="e">
        <f>Проект!#REF!</f>
        <v>#REF!</v>
      </c>
      <c r="N997" s="135" t="e">
        <f>Проект!#REF!</f>
        <v>#REF!</v>
      </c>
      <c r="O997" s="135" t="e">
        <f>Проект!#REF!</f>
        <v>#REF!</v>
      </c>
      <c r="P997" s="135" t="e">
        <f>Проект!#REF!</f>
        <v>#REF!</v>
      </c>
      <c r="Q997" s="135">
        <f>Проект!$K$1592</f>
        <v>0.25</v>
      </c>
      <c r="R997" s="48"/>
      <c r="S997" s="41"/>
    </row>
    <row r="998" spans="1:19" hidden="1" x14ac:dyDescent="0.2">
      <c r="A998" s="48" t="str">
        <f ca="1">Проект!$A$1593</f>
        <v xml:space="preserve">    ставка дисконтирования на расчетный период</v>
      </c>
      <c r="B998" s="48"/>
      <c r="C998" s="48"/>
      <c r="D998" s="101" t="str">
        <f>Проект!$D$1593</f>
        <v>int_avg</v>
      </c>
      <c r="E998" s="48"/>
      <c r="F998" s="135">
        <f>Проект!$F$1593</f>
        <v>1.3115119734100844E-2</v>
      </c>
      <c r="G998" s="135">
        <f>Проект!$G$1593</f>
        <v>1.3115119734100844E-2</v>
      </c>
      <c r="H998" s="135">
        <f>Проект!$H$1593</f>
        <v>1.3115119734100844E-2</v>
      </c>
      <c r="I998" s="135">
        <f>Проект!$I$1593</f>
        <v>1.3115119734100844E-2</v>
      </c>
      <c r="J998" s="135">
        <f>Проект!$J$1593</f>
        <v>1.3115119734100844E-2</v>
      </c>
      <c r="K998" s="135" t="e">
        <f>Проект!#REF!</f>
        <v>#REF!</v>
      </c>
      <c r="L998" s="135" t="e">
        <f>Проект!#REF!</f>
        <v>#REF!</v>
      </c>
      <c r="M998" s="135" t="e">
        <f>Проект!#REF!</f>
        <v>#REF!</v>
      </c>
      <c r="N998" s="135" t="e">
        <f>Проект!#REF!</f>
        <v>#REF!</v>
      </c>
      <c r="O998" s="135" t="e">
        <f>Проект!#REF!</f>
        <v>#REF!</v>
      </c>
      <c r="P998" s="135" t="e">
        <f>Проект!#REF!</f>
        <v>#REF!</v>
      </c>
      <c r="Q998" s="135">
        <f>Проект!$K$1593</f>
        <v>1.3115119734100844E-2</v>
      </c>
      <c r="R998" s="48"/>
      <c r="S998" s="41"/>
    </row>
    <row r="999" spans="1:19" hidden="1" x14ac:dyDescent="0.2">
      <c r="A999" s="48" t="str">
        <f ca="1">Проект!$A$1594</f>
        <v xml:space="preserve">    коэффициент дисконта для потока на начало периода</v>
      </c>
      <c r="B999" s="48"/>
      <c r="C999" s="48"/>
      <c r="D999" s="101" t="str">
        <f>Проект!$D$1594</f>
        <v>int_avg</v>
      </c>
      <c r="E999" s="48"/>
      <c r="F999" s="390">
        <f>Проект!$F$1594</f>
        <v>1</v>
      </c>
      <c r="G999" s="390">
        <f>Проект!$G$1594</f>
        <v>1.0131151197341008</v>
      </c>
      <c r="H999" s="390">
        <f>Проект!$H$1594</f>
        <v>1.0264022458338415</v>
      </c>
      <c r="I999" s="390">
        <f>Проект!$I$1594</f>
        <v>1.0398636341833023</v>
      </c>
      <c r="J999" s="390">
        <f>Проект!$J$1594</f>
        <v>1.0535015702527535</v>
      </c>
      <c r="K999" s="390" t="e">
        <f>Проект!#REF!</f>
        <v>#REF!</v>
      </c>
      <c r="L999" s="390" t="e">
        <f>Проект!#REF!</f>
        <v>#REF!</v>
      </c>
      <c r="M999" s="390" t="e">
        <f>Проект!#REF!</f>
        <v>#REF!</v>
      </c>
      <c r="N999" s="390" t="e">
        <f>Проект!#REF!</f>
        <v>#REF!</v>
      </c>
      <c r="O999" s="390" t="e">
        <f>Проект!#REF!</f>
        <v>#REF!</v>
      </c>
      <c r="P999" s="390" t="e">
        <f>Проект!#REF!</f>
        <v>#REF!</v>
      </c>
      <c r="Q999" s="390">
        <f>Проект!$K$1594</f>
        <v>1.0673183694866817</v>
      </c>
      <c r="R999" s="48"/>
      <c r="S999" s="41"/>
    </row>
    <row r="1000" spans="1:19" ht="11.25" customHeight="1" x14ac:dyDescent="0.2">
      <c r="A1000" s="48"/>
      <c r="B1000" s="48"/>
      <c r="C1000" s="48"/>
      <c r="D1000" s="48"/>
      <c r="E1000" s="48"/>
      <c r="F1000" s="390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1"/>
    </row>
    <row r="1001" spans="1:19" hidden="1" x14ac:dyDescent="0.2">
      <c r="A1001" s="52" t="str">
        <f ca="1">Проект!$A$1596</f>
        <v>Учитываемые денежные потоки проекта:</v>
      </c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  <c r="N1001" s="48"/>
      <c r="O1001" s="48"/>
      <c r="P1001" s="48"/>
      <c r="Q1001" s="48"/>
      <c r="R1001" s="48"/>
      <c r="S1001" s="41"/>
    </row>
    <row r="1002" spans="1:19" hidden="1" x14ac:dyDescent="0.2">
      <c r="A1002" s="48" t="str">
        <f ca="1">Проект!$A$1597</f>
        <v>Денежные потоки от операционной деятельности</v>
      </c>
      <c r="B1002" s="197" t="str">
        <f ca="1">Проект!$B$1597</f>
        <v>Да</v>
      </c>
      <c r="C1002" s="73" t="str">
        <f ca="1">Проект!$C$1597</f>
        <v>руб.</v>
      </c>
      <c r="D1002" s="48"/>
      <c r="E1002" s="48"/>
      <c r="F1002" s="84">
        <f ca="1">Проект!$F$1597</f>
        <v>13127500</v>
      </c>
      <c r="G1002" s="84">
        <f ca="1">Проект!$G$1597</f>
        <v>58087900</v>
      </c>
      <c r="H1002" s="84">
        <f ca="1">Проект!$H$1597</f>
        <v>91768300</v>
      </c>
      <c r="I1002" s="84">
        <f ca="1">Проект!$I$1597</f>
        <v>91688500</v>
      </c>
      <c r="J1002" s="84">
        <f ca="1">Проект!$J$1597</f>
        <v>91688500</v>
      </c>
      <c r="K1002" s="84" t="e">
        <f>Проект!#REF!</f>
        <v>#REF!</v>
      </c>
      <c r="L1002" s="84" t="e">
        <f>Проект!#REF!</f>
        <v>#REF!</v>
      </c>
      <c r="M1002" s="84" t="e">
        <f>Проект!#REF!</f>
        <v>#REF!</v>
      </c>
      <c r="N1002" s="84" t="e">
        <f>Проект!#REF!</f>
        <v>#REF!</v>
      </c>
      <c r="O1002" s="84" t="e">
        <f>Проект!#REF!</f>
        <v>#REF!</v>
      </c>
      <c r="P1002" s="84" t="e">
        <f>Проект!#REF!</f>
        <v>#REF!</v>
      </c>
      <c r="Q1002" s="84">
        <f ca="1">Проект!$K$1597</f>
        <v>91688500</v>
      </c>
      <c r="R1002" s="48"/>
      <c r="S1002" s="94">
        <f ca="1">Проект!$M$1597</f>
        <v>438049200</v>
      </c>
    </row>
    <row r="1003" spans="1:19" hidden="1" x14ac:dyDescent="0.2">
      <c r="A1003" s="48" t="str">
        <f ca="1">Проект!$A$1598</f>
        <v xml:space="preserve">    за исключением процентов по кредитам</v>
      </c>
      <c r="B1003" s="197" t="str">
        <f ca="1">Проект!$B$1598</f>
        <v>Да</v>
      </c>
      <c r="C1003" s="73" t="str">
        <f ca="1">Проект!$C$1598</f>
        <v>руб.</v>
      </c>
      <c r="D1003" s="73"/>
      <c r="E1003" s="48"/>
      <c r="F1003" s="84">
        <f>Проект!$F$1598</f>
        <v>0</v>
      </c>
      <c r="G1003" s="84">
        <f>Проект!$G$1598</f>
        <v>0</v>
      </c>
      <c r="H1003" s="84">
        <f>Проект!$H$1598</f>
        <v>0</v>
      </c>
      <c r="I1003" s="84">
        <f>Проект!$I$1598</f>
        <v>0</v>
      </c>
      <c r="J1003" s="84">
        <f>Проект!$J$1598</f>
        <v>0</v>
      </c>
      <c r="K1003" s="84" t="e">
        <f>Проект!#REF!</f>
        <v>#REF!</v>
      </c>
      <c r="L1003" s="84" t="e">
        <f>Проект!#REF!</f>
        <v>#REF!</v>
      </c>
      <c r="M1003" s="84" t="e">
        <f>Проект!#REF!</f>
        <v>#REF!</v>
      </c>
      <c r="N1003" s="84" t="e">
        <f>Проект!#REF!</f>
        <v>#REF!</v>
      </c>
      <c r="O1003" s="84" t="e">
        <f>Проект!#REF!</f>
        <v>#REF!</v>
      </c>
      <c r="P1003" s="84" t="e">
        <f>Проект!#REF!</f>
        <v>#REF!</v>
      </c>
      <c r="Q1003" s="84">
        <f>Проект!$K$1598</f>
        <v>0</v>
      </c>
      <c r="R1003" s="48"/>
      <c r="S1003" s="94">
        <f>Проект!$M$1598</f>
        <v>0</v>
      </c>
    </row>
    <row r="1004" spans="1:19" hidden="1" x14ac:dyDescent="0.2">
      <c r="A1004" s="48" t="str">
        <f ca="1">Проект!$A$1599</f>
        <v>Денежные потоки от инвестиционной деятельности</v>
      </c>
      <c r="B1004" s="197" t="str">
        <f ca="1">Проект!$B$1599</f>
        <v>Да</v>
      </c>
      <c r="C1004" s="73" t="str">
        <f ca="1">Проект!$C$1599</f>
        <v>руб.</v>
      </c>
      <c r="D1004" s="73"/>
      <c r="E1004" s="48"/>
      <c r="F1004" s="84">
        <f ca="1">Проект!$F$1599</f>
        <v>1994583.333333333</v>
      </c>
      <c r="G1004" s="84">
        <f ca="1">Проект!$G$1599</f>
        <v>8761560</v>
      </c>
      <c r="H1004" s="84">
        <f ca="1">Проект!$H$1599</f>
        <v>6591560</v>
      </c>
      <c r="I1004" s="84">
        <f ca="1">Проект!$I$1599</f>
        <v>-669220</v>
      </c>
      <c r="J1004" s="84">
        <f ca="1">Проект!$J$1599</f>
        <v>-50000</v>
      </c>
      <c r="K1004" s="84" t="e">
        <f>Проект!#REF!</f>
        <v>#REF!</v>
      </c>
      <c r="L1004" s="84" t="e">
        <f>Проект!#REF!</f>
        <v>#REF!</v>
      </c>
      <c r="M1004" s="84" t="e">
        <f>Проект!#REF!</f>
        <v>#REF!</v>
      </c>
      <c r="N1004" s="84" t="e">
        <f>Проект!#REF!</f>
        <v>#REF!</v>
      </c>
      <c r="O1004" s="84" t="e">
        <f>Проект!#REF!</f>
        <v>#REF!</v>
      </c>
      <c r="P1004" s="84" t="e">
        <f>Проект!#REF!</f>
        <v>#REF!</v>
      </c>
      <c r="Q1004" s="84">
        <f ca="1">Проект!$K$1599</f>
        <v>-50000</v>
      </c>
      <c r="R1004" s="48"/>
      <c r="S1004" s="94">
        <f ca="1">Проект!$M$1599</f>
        <v>16578483.333333332</v>
      </c>
    </row>
    <row r="1005" spans="1:19" hidden="1" x14ac:dyDescent="0.2">
      <c r="A1005" s="48" t="str">
        <f ca="1">Проект!$A$1600</f>
        <v>Поступления собственного капитала</v>
      </c>
      <c r="B1005" s="197" t="str">
        <f ca="1">Проект!$B$1600</f>
        <v>Нет</v>
      </c>
      <c r="C1005" s="73" t="str">
        <f ca="1">Проект!$C$1600</f>
        <v>руб.</v>
      </c>
      <c r="D1005" s="73"/>
      <c r="E1005" s="48"/>
      <c r="F1005" s="48"/>
      <c r="G1005" s="48"/>
      <c r="H1005" s="48"/>
      <c r="I1005" s="48"/>
      <c r="J1005" s="48"/>
      <c r="K1005" s="48"/>
      <c r="L1005" s="48"/>
      <c r="M1005" s="48"/>
      <c r="N1005" s="48"/>
      <c r="O1005" s="48"/>
      <c r="P1005" s="48"/>
      <c r="Q1005" s="48"/>
      <c r="R1005" s="48"/>
      <c r="S1005" s="41"/>
    </row>
    <row r="1006" spans="1:19" hidden="1" x14ac:dyDescent="0.2">
      <c r="A1006" s="48" t="str">
        <f ca="1">Проект!$A$1601</f>
        <v>Поступления целевого финансирования</v>
      </c>
      <c r="B1006" s="197" t="str">
        <f ca="1">Проект!$B$1601</f>
        <v>Нет</v>
      </c>
      <c r="C1006" s="73" t="str">
        <f ca="1">Проект!$C$1601</f>
        <v>руб.</v>
      </c>
      <c r="D1006" s="73"/>
      <c r="E1006" s="48"/>
      <c r="F1006" s="48"/>
      <c r="G1006" s="48"/>
      <c r="H1006" s="48"/>
      <c r="I1006" s="48"/>
      <c r="J1006" s="48"/>
      <c r="K1006" s="48"/>
      <c r="L1006" s="48"/>
      <c r="M1006" s="48"/>
      <c r="N1006" s="48"/>
      <c r="O1006" s="48"/>
      <c r="P1006" s="48"/>
      <c r="Q1006" s="48"/>
      <c r="R1006" s="48"/>
      <c r="S1006" s="41"/>
    </row>
    <row r="1007" spans="1:19" hidden="1" x14ac:dyDescent="0.2">
      <c r="A1007" s="48" t="str">
        <f ca="1">Проект!$A$1602</f>
        <v>Поступления кредитов</v>
      </c>
      <c r="B1007" s="197" t="str">
        <f ca="1">Проект!$B$1602</f>
        <v>Нет</v>
      </c>
      <c r="C1007" s="73" t="str">
        <f ca="1">Проект!$C$1602</f>
        <v>руб.</v>
      </c>
      <c r="D1007" s="73"/>
      <c r="E1007" s="48"/>
      <c r="F1007" s="48"/>
      <c r="G1007" s="48"/>
      <c r="H1007" s="48"/>
      <c r="I1007" s="48"/>
      <c r="J1007" s="48"/>
      <c r="K1007" s="48"/>
      <c r="L1007" s="48"/>
      <c r="M1007" s="48"/>
      <c r="N1007" s="48"/>
      <c r="O1007" s="48"/>
      <c r="P1007" s="48"/>
      <c r="Q1007" s="48"/>
      <c r="R1007" s="48"/>
      <c r="S1007" s="41"/>
    </row>
    <row r="1008" spans="1:19" hidden="1" x14ac:dyDescent="0.2">
      <c r="A1008" s="48" t="str">
        <f ca="1">Проект!$A$1603</f>
        <v>Возврат кредитов</v>
      </c>
      <c r="B1008" s="197" t="str">
        <f ca="1">Проект!$B$1603</f>
        <v>Нет</v>
      </c>
      <c r="C1008" s="73" t="str">
        <f ca="1">Проект!$C$1603</f>
        <v>руб.</v>
      </c>
      <c r="D1008" s="73"/>
      <c r="E1008" s="48"/>
      <c r="F1008" s="48"/>
      <c r="G1008" s="48"/>
      <c r="H1008" s="48"/>
      <c r="I1008" s="48"/>
      <c r="J1008" s="48"/>
      <c r="K1008" s="48"/>
      <c r="L1008" s="48"/>
      <c r="M1008" s="48"/>
      <c r="N1008" s="48"/>
      <c r="O1008" s="48"/>
      <c r="P1008" s="48"/>
      <c r="Q1008" s="48"/>
      <c r="R1008" s="48"/>
      <c r="S1008" s="41"/>
    </row>
    <row r="1009" spans="1:19" hidden="1" x14ac:dyDescent="0.2">
      <c r="A1009" s="48" t="str">
        <f ca="1">Проект!$A$1604</f>
        <v>Лизинговые платежи</v>
      </c>
      <c r="B1009" s="197" t="str">
        <f ca="1">Проект!$B$1604</f>
        <v>Да</v>
      </c>
      <c r="C1009" s="73" t="str">
        <f ca="1">Проект!$C$1604</f>
        <v>руб.</v>
      </c>
      <c r="D1009" s="73"/>
      <c r="E1009" s="48"/>
      <c r="F1009" s="84">
        <f ca="1">Проект!$F$1604</f>
        <v>0</v>
      </c>
      <c r="G1009" s="84">
        <f ca="1">Проект!$G$1604</f>
        <v>0</v>
      </c>
      <c r="H1009" s="84">
        <f ca="1">Проект!$H$1604</f>
        <v>0</v>
      </c>
      <c r="I1009" s="84">
        <f ca="1">Проект!$I$1604</f>
        <v>0</v>
      </c>
      <c r="J1009" s="84">
        <f ca="1">Проект!$J$1604</f>
        <v>0</v>
      </c>
      <c r="K1009" s="84" t="e">
        <f>Проект!#REF!</f>
        <v>#REF!</v>
      </c>
      <c r="L1009" s="84" t="e">
        <f>Проект!#REF!</f>
        <v>#REF!</v>
      </c>
      <c r="M1009" s="84" t="e">
        <f>Проект!#REF!</f>
        <v>#REF!</v>
      </c>
      <c r="N1009" s="84" t="e">
        <f>Проект!#REF!</f>
        <v>#REF!</v>
      </c>
      <c r="O1009" s="84" t="e">
        <f>Проект!#REF!</f>
        <v>#REF!</v>
      </c>
      <c r="P1009" s="84" t="e">
        <f>Проект!#REF!</f>
        <v>#REF!</v>
      </c>
      <c r="Q1009" s="84">
        <f ca="1">Проект!$K$1604</f>
        <v>0</v>
      </c>
      <c r="R1009" s="48"/>
      <c r="S1009" s="94">
        <f ca="1">Проект!$M$1604</f>
        <v>0</v>
      </c>
    </row>
    <row r="1010" spans="1:19" hidden="1" x14ac:dyDescent="0.2">
      <c r="A1010" s="48" t="str">
        <f ca="1">Проект!$A$1605</f>
        <v>Выплата дивидендов</v>
      </c>
      <c r="B1010" s="197" t="str">
        <f ca="1">Проект!$B$1605</f>
        <v>Нет</v>
      </c>
      <c r="C1010" s="73" t="str">
        <f ca="1">Проект!$C$1605</f>
        <v>руб.</v>
      </c>
      <c r="D1010" s="73"/>
      <c r="E1010" s="48"/>
      <c r="F1010" s="48"/>
      <c r="G1010" s="48"/>
      <c r="H1010" s="48"/>
      <c r="I1010" s="48"/>
      <c r="J1010" s="48"/>
      <c r="K1010" s="48"/>
      <c r="L1010" s="48"/>
      <c r="M1010" s="48"/>
      <c r="N1010" s="48"/>
      <c r="O1010" s="48"/>
      <c r="P1010" s="48"/>
      <c r="Q1010" s="48"/>
      <c r="R1010" s="48"/>
      <c r="S1010" s="41"/>
    </row>
    <row r="1011" spans="1:19" hidden="1" x14ac:dyDescent="0.2">
      <c r="A1011" s="48" t="str">
        <f ca="1">Проект!$A$1606</f>
        <v>Ранее осуществленные инвестиции</v>
      </c>
      <c r="B1011" s="197" t="str">
        <f ca="1">Проект!$B$1606</f>
        <v>Нет</v>
      </c>
      <c r="C1011" s="73" t="str">
        <f ca="1">Проект!$C$1606</f>
        <v>руб.</v>
      </c>
      <c r="D1011" s="73"/>
      <c r="E1011" s="48"/>
      <c r="F1011" s="84">
        <f>Проект!$F$1606</f>
        <v>0</v>
      </c>
      <c r="G1011" s="48">
        <f>Проект!$G$1606</f>
        <v>0</v>
      </c>
      <c r="H1011" s="48">
        <f>Проект!$H$1606</f>
        <v>0</v>
      </c>
      <c r="I1011" s="48">
        <f>Проект!$I$1606</f>
        <v>0</v>
      </c>
      <c r="J1011" s="48">
        <f>Проект!$J$1606</f>
        <v>0</v>
      </c>
      <c r="K1011" s="48" t="e">
        <f>Проект!#REF!</f>
        <v>#REF!</v>
      </c>
      <c r="L1011" s="48" t="e">
        <f>Проект!#REF!</f>
        <v>#REF!</v>
      </c>
      <c r="M1011" s="48" t="e">
        <f>Проект!#REF!</f>
        <v>#REF!</v>
      </c>
      <c r="N1011" s="48" t="e">
        <f>Проект!#REF!</f>
        <v>#REF!</v>
      </c>
      <c r="O1011" s="48" t="e">
        <f>Проект!#REF!</f>
        <v>#REF!</v>
      </c>
      <c r="P1011" s="48" t="e">
        <f>Проект!#REF!</f>
        <v>#REF!</v>
      </c>
      <c r="Q1011" s="48">
        <f>Проект!$K$1606</f>
        <v>0</v>
      </c>
      <c r="R1011" s="48"/>
      <c r="S1011" s="94">
        <f>Проект!$M$1606</f>
        <v>0</v>
      </c>
    </row>
    <row r="1012" spans="1:19" hidden="1" x14ac:dyDescent="0.2">
      <c r="A1012" s="48" t="str">
        <f ca="1">Проект!$A$1607</f>
        <v>Остаточная стоимость проекта</v>
      </c>
      <c r="B1012" s="197" t="str">
        <f ca="1">Проект!$B$1607</f>
        <v>Да</v>
      </c>
      <c r="C1012" s="73" t="str">
        <f ca="1">Проект!$C$1607</f>
        <v>руб.</v>
      </c>
      <c r="D1012" s="73"/>
      <c r="E1012" s="48"/>
      <c r="F1012" s="83">
        <f>Проект!$F$1607</f>
        <v>0</v>
      </c>
      <c r="G1012" s="83">
        <f>Проект!$G$1607</f>
        <v>0</v>
      </c>
      <c r="H1012" s="83">
        <f>Проект!$H$1607</f>
        <v>0</v>
      </c>
      <c r="I1012" s="83">
        <f>Проект!$I$1607</f>
        <v>0</v>
      </c>
      <c r="J1012" s="83">
        <f>Проект!$J$1607</f>
        <v>0</v>
      </c>
      <c r="K1012" s="83" t="e">
        <f>Проект!#REF!</f>
        <v>#REF!</v>
      </c>
      <c r="L1012" s="83" t="e">
        <f>Проект!#REF!</f>
        <v>#REF!</v>
      </c>
      <c r="M1012" s="83" t="e">
        <f>Проект!#REF!</f>
        <v>#REF!</v>
      </c>
      <c r="N1012" s="83" t="e">
        <f>Проект!#REF!</f>
        <v>#REF!</v>
      </c>
      <c r="O1012" s="83" t="e">
        <f>Проект!#REF!</f>
        <v>#REF!</v>
      </c>
      <c r="P1012" s="83" t="e">
        <f>Проект!#REF!</f>
        <v>#REF!</v>
      </c>
      <c r="Q1012" s="83">
        <f ca="1">Проект!$K$1607</f>
        <v>-21565666.666666687</v>
      </c>
      <c r="R1012" s="48"/>
      <c r="S1012" s="94">
        <f ca="1">Проект!$M$1607</f>
        <v>-21565666.666666687</v>
      </c>
    </row>
    <row r="1013" spans="1:19" hidden="1" x14ac:dyDescent="0.2">
      <c r="A1013" s="76"/>
      <c r="B1013" s="76"/>
      <c r="C1013" s="391"/>
      <c r="D1013" s="391"/>
      <c r="E1013" s="76"/>
      <c r="F1013" s="392"/>
      <c r="G1013" s="392"/>
      <c r="H1013" s="392"/>
      <c r="I1013" s="392"/>
      <c r="J1013" s="392"/>
      <c r="K1013" s="392"/>
      <c r="L1013" s="392"/>
      <c r="M1013" s="392"/>
      <c r="N1013" s="392"/>
      <c r="O1013" s="392"/>
      <c r="P1013" s="392"/>
      <c r="Q1013" s="392"/>
      <c r="R1013" s="392"/>
      <c r="S1013" s="393"/>
    </row>
    <row r="1014" spans="1:19" ht="11.25" customHeight="1" x14ac:dyDescent="0.2">
      <c r="A1014" s="128" t="str">
        <f ca="1">Проект!$A$1609</f>
        <v>Чистый денежный поток</v>
      </c>
      <c r="B1014" s="128"/>
      <c r="C1014" s="342" t="str">
        <f ca="1">Проект!$C$1609</f>
        <v>руб.</v>
      </c>
      <c r="D1014" s="342"/>
      <c r="E1014" s="128"/>
      <c r="F1014" s="394">
        <f ca="1">Проект!$F$1609</f>
        <v>15122083.333333332</v>
      </c>
      <c r="G1014" s="394">
        <f ca="1">Проект!$G$1609</f>
        <v>66849460</v>
      </c>
      <c r="H1014" s="394">
        <f ca="1">Проект!$H$1609</f>
        <v>98359860</v>
      </c>
      <c r="I1014" s="394">
        <f ca="1">Проект!$I$1609</f>
        <v>91019280</v>
      </c>
      <c r="J1014" s="394">
        <f ca="1">Проект!$J$1609</f>
        <v>91638500</v>
      </c>
      <c r="K1014" s="394" t="e">
        <f>Проект!#REF!</f>
        <v>#REF!</v>
      </c>
      <c r="L1014" s="394" t="e">
        <f>Проект!#REF!</f>
        <v>#REF!</v>
      </c>
      <c r="M1014" s="394" t="e">
        <f>Проект!#REF!</f>
        <v>#REF!</v>
      </c>
      <c r="N1014" s="394" t="e">
        <f>Проект!#REF!</f>
        <v>#REF!</v>
      </c>
      <c r="O1014" s="394" t="e">
        <f>Проект!#REF!</f>
        <v>#REF!</v>
      </c>
      <c r="P1014" s="394" t="e">
        <f>Проект!#REF!</f>
        <v>#REF!</v>
      </c>
      <c r="Q1014" s="394">
        <f ca="1">Проект!$K$1609</f>
        <v>70072833.333333313</v>
      </c>
      <c r="R1014" s="128"/>
      <c r="S1014" s="94">
        <f ca="1">Проект!$M$1609</f>
        <v>433062016.66666663</v>
      </c>
    </row>
    <row r="1015" spans="1:19" ht="11.25" customHeight="1" x14ac:dyDescent="0.2">
      <c r="A1015" s="48" t="str">
        <f ca="1">Проект!$A$1610</f>
        <v>Дисконтированный чистый денежный поток</v>
      </c>
      <c r="B1015" s="48"/>
      <c r="C1015" s="73" t="str">
        <f ca="1">Проект!$C$1610</f>
        <v>руб.</v>
      </c>
      <c r="D1015" s="73"/>
      <c r="E1015" s="48"/>
      <c r="F1015" s="84">
        <f ca="1">Проект!$F$1610</f>
        <v>15122083.333333332</v>
      </c>
      <c r="G1015" s="84">
        <f ca="1">Проект!$G$1610</f>
        <v>65984071.008184254</v>
      </c>
      <c r="H1015" s="84">
        <f ca="1">Проект!$H$1610</f>
        <v>95829739.655424446</v>
      </c>
      <c r="I1015" s="84">
        <f ca="1">Проект!$I$1610</f>
        <v>87530015.482737377</v>
      </c>
      <c r="J1015" s="84">
        <f ca="1">Проект!$J$1610</f>
        <v>86984682.878084674</v>
      </c>
      <c r="K1015" s="84" t="e">
        <f>Проект!#REF!</f>
        <v>#REF!</v>
      </c>
      <c r="L1015" s="84" t="e">
        <f>Проект!#REF!</f>
        <v>#REF!</v>
      </c>
      <c r="M1015" s="84" t="e">
        <f>Проект!#REF!</f>
        <v>#REF!</v>
      </c>
      <c r="N1015" s="84" t="e">
        <f>Проект!#REF!</f>
        <v>#REF!</v>
      </c>
      <c r="O1015" s="84" t="e">
        <f>Проект!#REF!</f>
        <v>#REF!</v>
      </c>
      <c r="P1015" s="84" t="e">
        <f>Проект!#REF!</f>
        <v>#REF!</v>
      </c>
      <c r="Q1015" s="84">
        <f ca="1">Проект!$K$1610</f>
        <v>65653169.041805483</v>
      </c>
      <c r="R1015" s="48"/>
      <c r="S1015" s="94">
        <f ca="1">Проект!$M$1610</f>
        <v>417103761.39956957</v>
      </c>
    </row>
    <row r="1016" spans="1:19" ht="11.25" customHeight="1" x14ac:dyDescent="0.2">
      <c r="A1016" s="48" t="str">
        <f ca="1">Проект!$A$1611</f>
        <v>Дисконтированный поток нарастающим итогом</v>
      </c>
      <c r="B1016" s="48"/>
      <c r="C1016" s="73" t="str">
        <f ca="1">Проект!$C$1611</f>
        <v>руб.</v>
      </c>
      <c r="D1016" s="101" t="str">
        <f>Проект!$D$1611</f>
        <v>int_end</v>
      </c>
      <c r="E1016" s="48"/>
      <c r="F1016" s="106">
        <f ca="1">Проект!$F$1611</f>
        <v>15122083.333333332</v>
      </c>
      <c r="G1016" s="106">
        <f ca="1">Проект!$G$1611</f>
        <v>81106154.341517583</v>
      </c>
      <c r="H1016" s="106">
        <f ca="1">Проект!$H$1611</f>
        <v>176935893.99694204</v>
      </c>
      <c r="I1016" s="106">
        <f ca="1">Проект!$I$1611</f>
        <v>264465909.47967941</v>
      </c>
      <c r="J1016" s="106">
        <f ca="1">Проект!$J$1611</f>
        <v>351450592.35776407</v>
      </c>
      <c r="K1016" s="106" t="e">
        <f>Проект!#REF!</f>
        <v>#REF!</v>
      </c>
      <c r="L1016" s="106" t="e">
        <f>Проект!#REF!</f>
        <v>#REF!</v>
      </c>
      <c r="M1016" s="106" t="e">
        <f>Проект!#REF!</f>
        <v>#REF!</v>
      </c>
      <c r="N1016" s="106" t="e">
        <f>Проект!#REF!</f>
        <v>#REF!</v>
      </c>
      <c r="O1016" s="106" t="e">
        <f>Проект!#REF!</f>
        <v>#REF!</v>
      </c>
      <c r="P1016" s="106" t="e">
        <f>Проект!#REF!</f>
        <v>#REF!</v>
      </c>
      <c r="Q1016" s="106">
        <f ca="1">Проект!$K$1611</f>
        <v>417103761.39956957</v>
      </c>
      <c r="R1016" s="48"/>
      <c r="S1016" s="41"/>
    </row>
    <row r="1017" spans="1:19" ht="11.25" customHeight="1" x14ac:dyDescent="0.2">
      <c r="A1017" s="48"/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  <c r="N1017" s="48"/>
      <c r="O1017" s="48"/>
      <c r="P1017" s="48"/>
      <c r="Q1017" s="48"/>
      <c r="R1017" s="48"/>
      <c r="S1017" s="41"/>
    </row>
    <row r="1018" spans="1:19" ht="11.25" customHeight="1" x14ac:dyDescent="0.2">
      <c r="A1018" s="52" t="str">
        <f ca="1">Проект!$A$1613</f>
        <v>Простой срок окупаемости</v>
      </c>
      <c r="B1018" s="388" t="str">
        <f ca="1">Проект!$B$1613</f>
        <v>Нет</v>
      </c>
      <c r="C1018" s="50" t="str">
        <f ca="1">Проект!$C$1613</f>
        <v>лет</v>
      </c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  <c r="N1018" s="48"/>
      <c r="O1018" s="48"/>
      <c r="P1018" s="48"/>
      <c r="Q1018" s="48"/>
      <c r="R1018" s="48"/>
      <c r="S1018" s="41"/>
    </row>
    <row r="1019" spans="1:19" hidden="1" x14ac:dyDescent="0.2">
      <c r="A1019" s="48" t="str">
        <f ca="1">Проект!$A$1614</f>
        <v xml:space="preserve">    недисконтированный поток нарастающим итогом</v>
      </c>
      <c r="B1019" s="48"/>
      <c r="C1019" s="48"/>
      <c r="D1019" s="101" t="str">
        <f>Проект!$D$1614</f>
        <v>int_end</v>
      </c>
      <c r="E1019" s="48"/>
      <c r="F1019" s="84">
        <f ca="1">Проект!$F$1614</f>
        <v>15122083.333333332</v>
      </c>
      <c r="G1019" s="84">
        <f ca="1">Проект!$G$1614</f>
        <v>81971543.333333328</v>
      </c>
      <c r="H1019" s="84">
        <f ca="1">Проект!$H$1614</f>
        <v>180331403.33333331</v>
      </c>
      <c r="I1019" s="84">
        <f ca="1">Проект!$I$1614</f>
        <v>271350683.33333331</v>
      </c>
      <c r="J1019" s="84">
        <f ca="1">Проект!$J$1614</f>
        <v>362989183.33333331</v>
      </c>
      <c r="K1019" s="84" t="e">
        <f>Проект!#REF!</f>
        <v>#REF!</v>
      </c>
      <c r="L1019" s="84" t="e">
        <f>Проект!#REF!</f>
        <v>#REF!</v>
      </c>
      <c r="M1019" s="84" t="e">
        <f>Проект!#REF!</f>
        <v>#REF!</v>
      </c>
      <c r="N1019" s="84" t="e">
        <f>Проект!#REF!</f>
        <v>#REF!</v>
      </c>
      <c r="O1019" s="84" t="e">
        <f>Проект!#REF!</f>
        <v>#REF!</v>
      </c>
      <c r="P1019" s="84" t="e">
        <f>Проект!#REF!</f>
        <v>#REF!</v>
      </c>
      <c r="Q1019" s="84">
        <f ca="1">Проект!$K$1614</f>
        <v>433062016.66666663</v>
      </c>
      <c r="R1019" s="48"/>
      <c r="S1019" s="41"/>
    </row>
    <row r="1020" spans="1:19" hidden="1" x14ac:dyDescent="0.2">
      <c r="A1020" s="48" t="str">
        <f ca="1">Проект!$A$1615</f>
        <v xml:space="preserve">    знак остатка денежных средств</v>
      </c>
      <c r="B1020" s="48"/>
      <c r="C1020" s="48"/>
      <c r="D1020" s="101" t="str">
        <f>Проект!$D$1615</f>
        <v>int_end</v>
      </c>
      <c r="E1020" s="101" t="e">
        <f ca="1">Проект!$E$1615</f>
        <v>#N/A</v>
      </c>
      <c r="F1020" s="101">
        <f ca="1">Проект!$F$1615</f>
        <v>1</v>
      </c>
      <c r="G1020" s="101">
        <f ca="1">Проект!$G$1615</f>
        <v>1</v>
      </c>
      <c r="H1020" s="101">
        <f ca="1">Проект!$H$1615</f>
        <v>1</v>
      </c>
      <c r="I1020" s="101">
        <f ca="1">Проект!$I$1615</f>
        <v>1</v>
      </c>
      <c r="J1020" s="101">
        <f ca="1">Проект!$J$1615</f>
        <v>1</v>
      </c>
      <c r="K1020" s="101" t="e">
        <f>Проект!#REF!</f>
        <v>#REF!</v>
      </c>
      <c r="L1020" s="101" t="e">
        <f>Проект!#REF!</f>
        <v>#REF!</v>
      </c>
      <c r="M1020" s="101" t="e">
        <f>Проект!#REF!</f>
        <v>#REF!</v>
      </c>
      <c r="N1020" s="101" t="e">
        <f>Проект!#REF!</f>
        <v>#REF!</v>
      </c>
      <c r="O1020" s="101" t="e">
        <f>Проект!#REF!</f>
        <v>#REF!</v>
      </c>
      <c r="P1020" s="101" t="e">
        <f>Проект!#REF!</f>
        <v>#REF!</v>
      </c>
      <c r="Q1020" s="101">
        <f ca="1">Проект!$K$1615</f>
        <v>1</v>
      </c>
      <c r="R1020" s="48"/>
      <c r="S1020" s="41"/>
    </row>
    <row r="1021" spans="1:19" hidden="1" x14ac:dyDescent="0.2">
      <c r="A1021" s="48" t="str">
        <f ca="1">Проект!$A$1616</f>
        <v xml:space="preserve">    знак остатка денежных средств (с конца)</v>
      </c>
      <c r="B1021" s="48"/>
      <c r="C1021" s="48"/>
      <c r="D1021" s="101" t="str">
        <f>Проект!$D$1616</f>
        <v>int_end</v>
      </c>
      <c r="E1021" s="48"/>
      <c r="F1021" s="101">
        <f ca="1">Проект!$F$1616</f>
        <v>1</v>
      </c>
      <c r="G1021" s="101">
        <f ca="1">Проект!$G$1616</f>
        <v>1</v>
      </c>
      <c r="H1021" s="101">
        <f ca="1">Проект!$H$1616</f>
        <v>1</v>
      </c>
      <c r="I1021" s="101">
        <f ca="1">Проект!$I$1616</f>
        <v>1</v>
      </c>
      <c r="J1021" s="101">
        <f ca="1">Проект!$J$1616</f>
        <v>1</v>
      </c>
      <c r="K1021" s="101" t="e">
        <f>Проект!#REF!</f>
        <v>#REF!</v>
      </c>
      <c r="L1021" s="101" t="e">
        <f>Проект!#REF!</f>
        <v>#REF!</v>
      </c>
      <c r="M1021" s="101" t="e">
        <f>Проект!#REF!</f>
        <v>#REF!</v>
      </c>
      <c r="N1021" s="101" t="e">
        <f>Проект!#REF!</f>
        <v>#REF!</v>
      </c>
      <c r="O1021" s="101" t="e">
        <f>Проект!#REF!</f>
        <v>#REF!</v>
      </c>
      <c r="P1021" s="101" t="e">
        <f>Проект!#REF!</f>
        <v>#REF!</v>
      </c>
      <c r="Q1021" s="101">
        <f ca="1">Проект!$K$1616</f>
        <v>1</v>
      </c>
      <c r="R1021" s="48"/>
      <c r="S1021" s="41"/>
    </row>
    <row r="1022" spans="1:19" ht="11.25" customHeight="1" x14ac:dyDescent="0.2">
      <c r="A1022" s="48"/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  <c r="N1022" s="48"/>
      <c r="O1022" s="48"/>
      <c r="P1022" s="48"/>
      <c r="Q1022" s="48"/>
      <c r="R1022" s="48"/>
      <c r="S1022" s="41"/>
    </row>
    <row r="1023" spans="1:19" ht="11.25" customHeight="1" x14ac:dyDescent="0.2">
      <c r="A1023" s="130" t="str">
        <f ca="1">Проект!$A$1618</f>
        <v>Чистая приведенная стоимость (NPV)</v>
      </c>
      <c r="B1023" s="120">
        <f ca="1">Проект!$B$1618</f>
        <v>417103761.39956957</v>
      </c>
      <c r="C1023" s="73" t="str">
        <f ca="1">Проект!$C$1618</f>
        <v>руб.</v>
      </c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  <c r="N1023" s="48"/>
      <c r="O1023" s="48"/>
      <c r="P1023" s="48"/>
      <c r="Q1023" s="48"/>
      <c r="R1023" s="48"/>
      <c r="S1023" s="41"/>
    </row>
    <row r="1024" spans="1:19" ht="11.25" customHeight="1" x14ac:dyDescent="0.2">
      <c r="A1024" s="130" t="str">
        <f ca="1">Проект!$A$1619</f>
        <v>Дисконтированный срок окупаемости (PBP)</v>
      </c>
      <c r="B1024" s="395" t="str">
        <f ca="1">Проект!$B$1619</f>
        <v>Нет</v>
      </c>
      <c r="C1024" s="50" t="str">
        <f ca="1">Проект!$C$1619</f>
        <v>лет</v>
      </c>
      <c r="D1024" s="48"/>
      <c r="E1024" s="48"/>
      <c r="F1024" s="48"/>
      <c r="G1024" s="48"/>
      <c r="H1024" s="48"/>
      <c r="I1024" s="48"/>
      <c r="J1024" s="48"/>
      <c r="K1024" s="48"/>
      <c r="L1024" s="48"/>
      <c r="M1024" s="48"/>
      <c r="N1024" s="48"/>
      <c r="O1024" s="48"/>
      <c r="P1024" s="48"/>
      <c r="Q1024" s="48"/>
      <c r="R1024" s="48"/>
      <c r="S1024" s="41"/>
    </row>
    <row r="1025" spans="1:19" hidden="1" x14ac:dyDescent="0.2">
      <c r="A1025" s="380" t="str">
        <f ca="1">Проект!$A$1620</f>
        <v xml:space="preserve">    знак остатка дисконтированных денежных средств</v>
      </c>
      <c r="B1025" s="380"/>
      <c r="C1025" s="48"/>
      <c r="D1025" s="101" t="str">
        <f>Проект!$D$1620</f>
        <v>int_end</v>
      </c>
      <c r="E1025" s="101" t="e">
        <f ca="1">Проект!$E$1620</f>
        <v>#N/A</v>
      </c>
      <c r="F1025" s="101">
        <f ca="1">Проект!$F$1620</f>
        <v>1</v>
      </c>
      <c r="G1025" s="101">
        <f ca="1">Проект!$G$1620</f>
        <v>1</v>
      </c>
      <c r="H1025" s="101">
        <f ca="1">Проект!$H$1620</f>
        <v>1</v>
      </c>
      <c r="I1025" s="101">
        <f ca="1">Проект!$I$1620</f>
        <v>1</v>
      </c>
      <c r="J1025" s="101">
        <f ca="1">Проект!$J$1620</f>
        <v>1</v>
      </c>
      <c r="K1025" s="101" t="e">
        <f>Проект!#REF!</f>
        <v>#REF!</v>
      </c>
      <c r="L1025" s="101" t="e">
        <f>Проект!#REF!</f>
        <v>#REF!</v>
      </c>
      <c r="M1025" s="101" t="e">
        <f>Проект!#REF!</f>
        <v>#REF!</v>
      </c>
      <c r="N1025" s="101" t="e">
        <f>Проект!#REF!</f>
        <v>#REF!</v>
      </c>
      <c r="O1025" s="101" t="e">
        <f>Проект!#REF!</f>
        <v>#REF!</v>
      </c>
      <c r="P1025" s="101" t="e">
        <f>Проект!#REF!</f>
        <v>#REF!</v>
      </c>
      <c r="Q1025" s="101">
        <f ca="1">Проект!$K$1620</f>
        <v>1</v>
      </c>
      <c r="R1025" s="48"/>
      <c r="S1025" s="41"/>
    </row>
    <row r="1026" spans="1:19" hidden="1" x14ac:dyDescent="0.2">
      <c r="A1026" s="380" t="str">
        <f ca="1">Проект!$A$1621</f>
        <v xml:space="preserve">    знак остатка дисконтированных денежных средств (с конца)</v>
      </c>
      <c r="B1026" s="380"/>
      <c r="C1026" s="48"/>
      <c r="D1026" s="101" t="str">
        <f>Проект!$D$1621</f>
        <v>int_end</v>
      </c>
      <c r="E1026" s="48"/>
      <c r="F1026" s="101">
        <f ca="1">Проект!$F$1621</f>
        <v>1</v>
      </c>
      <c r="G1026" s="101">
        <f ca="1">Проект!$G$1621</f>
        <v>1</v>
      </c>
      <c r="H1026" s="101">
        <f ca="1">Проект!$H$1621</f>
        <v>1</v>
      </c>
      <c r="I1026" s="101">
        <f ca="1">Проект!$I$1621</f>
        <v>1</v>
      </c>
      <c r="J1026" s="101">
        <f ca="1">Проект!$J$1621</f>
        <v>1</v>
      </c>
      <c r="K1026" s="101" t="e">
        <f>Проект!#REF!</f>
        <v>#REF!</v>
      </c>
      <c r="L1026" s="101" t="e">
        <f>Проект!#REF!</f>
        <v>#REF!</v>
      </c>
      <c r="M1026" s="101" t="e">
        <f>Проект!#REF!</f>
        <v>#REF!</v>
      </c>
      <c r="N1026" s="101" t="e">
        <f>Проект!#REF!</f>
        <v>#REF!</v>
      </c>
      <c r="O1026" s="101" t="e">
        <f>Проект!#REF!</f>
        <v>#REF!</v>
      </c>
      <c r="P1026" s="101" t="e">
        <f>Проект!#REF!</f>
        <v>#REF!</v>
      </c>
      <c r="Q1026" s="101">
        <f ca="1">Проект!$K$1621</f>
        <v>1</v>
      </c>
      <c r="R1026" s="48"/>
      <c r="S1026" s="41"/>
    </row>
    <row r="1027" spans="1:19" ht="11.25" customHeight="1" x14ac:dyDescent="0.2">
      <c r="A1027" s="130" t="str">
        <f ca="1">Проект!$A$1622</f>
        <v>Внутренняя норма рентабельности (IRR)</v>
      </c>
      <c r="B1027" s="223" t="str">
        <f ca="1">Проект!$B$1622</f>
        <v>Нет</v>
      </c>
      <c r="C1027" s="216" t="str">
        <f ca="1">Проект!$C$1622</f>
        <v>(реальная - без учета инфляции)</v>
      </c>
      <c r="D1027" s="48"/>
      <c r="E1027" s="101" t="e">
        <f ca="1">Проект!$E$1622</f>
        <v>#NUM!</v>
      </c>
      <c r="F1027" s="48"/>
      <c r="G1027" s="48"/>
      <c r="H1027" s="48"/>
      <c r="I1027" s="48"/>
      <c r="J1027" s="48"/>
      <c r="K1027" s="48"/>
      <c r="L1027" s="48"/>
      <c r="M1027" s="48"/>
      <c r="N1027" s="48"/>
      <c r="O1027" s="48"/>
      <c r="P1027" s="48"/>
      <c r="Q1027" s="48"/>
      <c r="R1027" s="48"/>
      <c r="S1027" s="41"/>
    </row>
    <row r="1028" spans="1:19" hidden="1" x14ac:dyDescent="0.2">
      <c r="A1028" s="128" t="str">
        <f ca="1">Проект!$A$1623</f>
        <v>Чистый денежный поток</v>
      </c>
      <c r="B1028" s="223"/>
      <c r="C1028" s="216"/>
      <c r="D1028" s="48"/>
      <c r="E1028" s="101"/>
      <c r="F1028" s="102">
        <f ca="1">Проект!$F$1623</f>
        <v>15122083.333333332</v>
      </c>
      <c r="G1028" s="102">
        <f ca="1">Проект!$G$1623</f>
        <v>66849460</v>
      </c>
      <c r="H1028" s="102">
        <f ca="1">Проект!$H$1623</f>
        <v>98359860</v>
      </c>
      <c r="I1028" s="102">
        <f ca="1">Проект!$I$1623</f>
        <v>91019280</v>
      </c>
      <c r="J1028" s="102">
        <f ca="1">Проект!$J$1623</f>
        <v>91638500</v>
      </c>
      <c r="K1028" s="102" t="e">
        <f>Проект!#REF!</f>
        <v>#REF!</v>
      </c>
      <c r="L1028" s="102" t="e">
        <f>Проект!#REF!</f>
        <v>#REF!</v>
      </c>
      <c r="M1028" s="102" t="e">
        <f>Проект!#REF!</f>
        <v>#REF!</v>
      </c>
      <c r="N1028" s="102" t="e">
        <f>Проект!#REF!</f>
        <v>#REF!</v>
      </c>
      <c r="O1028" s="102" t="e">
        <f>Проект!#REF!</f>
        <v>#REF!</v>
      </c>
      <c r="P1028" s="102" t="e">
        <f>Проект!#REF!</f>
        <v>#REF!</v>
      </c>
      <c r="Q1028" s="102">
        <f ca="1">Проект!$K$1623</f>
        <v>70072833.333333313</v>
      </c>
      <c r="R1028" s="48"/>
      <c r="S1028" s="41"/>
    </row>
    <row r="1029" spans="1:19" ht="11.25" customHeight="1" x14ac:dyDescent="0.2">
      <c r="A1029" s="52" t="str">
        <f ca="1">Проект!$A$1624</f>
        <v>Норма доходности дисконтированных затрат (PI)</v>
      </c>
      <c r="B1029" s="396" t="str">
        <f ca="1">Проект!$B$1624</f>
        <v>Нет</v>
      </c>
      <c r="C1029" s="73" t="str">
        <f ca="1">Проект!$C$1624</f>
        <v>разы</v>
      </c>
      <c r="D1029" s="48"/>
      <c r="E1029" s="48"/>
      <c r="F1029" s="48"/>
      <c r="G1029" s="48"/>
      <c r="H1029" s="48"/>
      <c r="I1029" s="48"/>
      <c r="J1029" s="48"/>
      <c r="K1029" s="48"/>
      <c r="L1029" s="48"/>
      <c r="M1029" s="48"/>
      <c r="N1029" s="48"/>
      <c r="O1029" s="48"/>
      <c r="P1029" s="48"/>
      <c r="Q1029" s="48"/>
      <c r="R1029" s="48"/>
      <c r="S1029" s="41"/>
    </row>
    <row r="1030" spans="1:19" hidden="1" x14ac:dyDescent="0.2">
      <c r="A1030" s="48" t="str">
        <f ca="1">Проект!$A$1625</f>
        <v xml:space="preserve">    притоки</v>
      </c>
      <c r="B1030" s="48"/>
      <c r="C1030" s="73" t="str">
        <f ca="1">Проект!$C$1625</f>
        <v>руб.</v>
      </c>
      <c r="D1030" s="48"/>
      <c r="E1030" s="48"/>
      <c r="F1030" s="106">
        <f ca="1">Проект!$F$1625</f>
        <v>15122083.333333332</v>
      </c>
      <c r="G1030" s="106">
        <f ca="1">Проект!$G$1625</f>
        <v>66849460</v>
      </c>
      <c r="H1030" s="106">
        <f ca="1">Проект!$H$1625</f>
        <v>98359860</v>
      </c>
      <c r="I1030" s="106">
        <f ca="1">Проект!$I$1625</f>
        <v>91019280</v>
      </c>
      <c r="J1030" s="106">
        <f ca="1">Проект!$J$1625</f>
        <v>91638500</v>
      </c>
      <c r="K1030" s="106" t="e">
        <f>Проект!#REF!</f>
        <v>#REF!</v>
      </c>
      <c r="L1030" s="106" t="e">
        <f>Проект!#REF!</f>
        <v>#REF!</v>
      </c>
      <c r="M1030" s="106" t="e">
        <f>Проект!#REF!</f>
        <v>#REF!</v>
      </c>
      <c r="N1030" s="106" t="e">
        <f>Проект!#REF!</f>
        <v>#REF!</v>
      </c>
      <c r="O1030" s="106" t="e">
        <f>Проект!#REF!</f>
        <v>#REF!</v>
      </c>
      <c r="P1030" s="106" t="e">
        <f>Проект!#REF!</f>
        <v>#REF!</v>
      </c>
      <c r="Q1030" s="106">
        <f ca="1">Проект!$K$1625</f>
        <v>70072833.333333313</v>
      </c>
      <c r="R1030" s="48"/>
      <c r="S1030" s="94">
        <f ca="1">Проект!$M$1625</f>
        <v>433062016.66666663</v>
      </c>
    </row>
    <row r="1031" spans="1:19" hidden="1" x14ac:dyDescent="0.2">
      <c r="A1031" s="48" t="str">
        <f ca="1">Проект!$A$1626</f>
        <v xml:space="preserve">    дисконтированные притоки</v>
      </c>
      <c r="B1031" s="48"/>
      <c r="C1031" s="73" t="str">
        <f ca="1">Проект!$C$1626</f>
        <v>руб.</v>
      </c>
      <c r="D1031" s="48"/>
      <c r="E1031" s="48"/>
      <c r="F1031" s="106">
        <f ca="1">Проект!$F$1626</f>
        <v>15122083.333333332</v>
      </c>
      <c r="G1031" s="106">
        <f ca="1">Проект!$G$1626</f>
        <v>65984071.008184254</v>
      </c>
      <c r="H1031" s="106">
        <f ca="1">Проект!$H$1626</f>
        <v>95829739.655424446</v>
      </c>
      <c r="I1031" s="106">
        <f ca="1">Проект!$I$1626</f>
        <v>87530015.482737377</v>
      </c>
      <c r="J1031" s="106">
        <f ca="1">Проект!$J$1626</f>
        <v>86984682.878084674</v>
      </c>
      <c r="K1031" s="106" t="e">
        <f>Проект!#REF!</f>
        <v>#REF!</v>
      </c>
      <c r="L1031" s="106" t="e">
        <f>Проект!#REF!</f>
        <v>#REF!</v>
      </c>
      <c r="M1031" s="106" t="e">
        <f>Проект!#REF!</f>
        <v>#REF!</v>
      </c>
      <c r="N1031" s="106" t="e">
        <f>Проект!#REF!</f>
        <v>#REF!</v>
      </c>
      <c r="O1031" s="106" t="e">
        <f>Проект!#REF!</f>
        <v>#REF!</v>
      </c>
      <c r="P1031" s="106" t="e">
        <f>Проект!#REF!</f>
        <v>#REF!</v>
      </c>
      <c r="Q1031" s="106">
        <f ca="1">Проект!$K$1626</f>
        <v>65653169.041805483</v>
      </c>
      <c r="R1031" s="48"/>
      <c r="S1031" s="94">
        <f ca="1">Проект!$M$1626</f>
        <v>417103761.39956957</v>
      </c>
    </row>
    <row r="1032" spans="1:19" hidden="1" x14ac:dyDescent="0.2">
      <c r="A1032" s="48" t="str">
        <f ca="1">Проект!$A$1627</f>
        <v xml:space="preserve">    оттоки</v>
      </c>
      <c r="B1032" s="48"/>
      <c r="C1032" s="73" t="str">
        <f ca="1">Проект!$C$1627</f>
        <v>руб.</v>
      </c>
      <c r="D1032" s="48"/>
      <c r="E1032" s="48"/>
      <c r="F1032" s="106">
        <f ca="1">Проект!$F$1627</f>
        <v>0</v>
      </c>
      <c r="G1032" s="106">
        <f ca="1">Проект!$G$1627</f>
        <v>0</v>
      </c>
      <c r="H1032" s="106">
        <f ca="1">Проект!$H$1627</f>
        <v>0</v>
      </c>
      <c r="I1032" s="106">
        <f ca="1">Проект!$I$1627</f>
        <v>0</v>
      </c>
      <c r="J1032" s="106">
        <f ca="1">Проект!$J$1627</f>
        <v>0</v>
      </c>
      <c r="K1032" s="106" t="e">
        <f>Проект!#REF!</f>
        <v>#REF!</v>
      </c>
      <c r="L1032" s="106" t="e">
        <f>Проект!#REF!</f>
        <v>#REF!</v>
      </c>
      <c r="M1032" s="106" t="e">
        <f>Проект!#REF!</f>
        <v>#REF!</v>
      </c>
      <c r="N1032" s="106" t="e">
        <f>Проект!#REF!</f>
        <v>#REF!</v>
      </c>
      <c r="O1032" s="106" t="e">
        <f>Проект!#REF!</f>
        <v>#REF!</v>
      </c>
      <c r="P1032" s="106" t="e">
        <f>Проект!#REF!</f>
        <v>#REF!</v>
      </c>
      <c r="Q1032" s="106">
        <f ca="1">Проект!$K$1627</f>
        <v>0</v>
      </c>
      <c r="R1032" s="48"/>
      <c r="S1032" s="94">
        <f ca="1">Проект!$M$1627</f>
        <v>0</v>
      </c>
    </row>
    <row r="1033" spans="1:19" hidden="1" x14ac:dyDescent="0.2">
      <c r="A1033" s="48" t="str">
        <f ca="1">Проект!$A$1628</f>
        <v xml:space="preserve">    дисконтированные оттоки</v>
      </c>
      <c r="B1033" s="48"/>
      <c r="C1033" s="73" t="str">
        <f ca="1">Проект!$C$1628</f>
        <v>руб.</v>
      </c>
      <c r="D1033" s="48"/>
      <c r="E1033" s="48"/>
      <c r="F1033" s="106">
        <f ca="1">Проект!$F$1628</f>
        <v>0</v>
      </c>
      <c r="G1033" s="106">
        <f ca="1">Проект!$G$1628</f>
        <v>0</v>
      </c>
      <c r="H1033" s="106">
        <f ca="1">Проект!$H$1628</f>
        <v>0</v>
      </c>
      <c r="I1033" s="106">
        <f ca="1">Проект!$I$1628</f>
        <v>0</v>
      </c>
      <c r="J1033" s="106">
        <f ca="1">Проект!$J$1628</f>
        <v>0</v>
      </c>
      <c r="K1033" s="106" t="e">
        <f>Проект!#REF!</f>
        <v>#REF!</v>
      </c>
      <c r="L1033" s="106" t="e">
        <f>Проект!#REF!</f>
        <v>#REF!</v>
      </c>
      <c r="M1033" s="106" t="e">
        <f>Проект!#REF!</f>
        <v>#REF!</v>
      </c>
      <c r="N1033" s="106" t="e">
        <f>Проект!#REF!</f>
        <v>#REF!</v>
      </c>
      <c r="O1033" s="106" t="e">
        <f>Проект!#REF!</f>
        <v>#REF!</v>
      </c>
      <c r="P1033" s="106" t="e">
        <f>Проект!#REF!</f>
        <v>#REF!</v>
      </c>
      <c r="Q1033" s="106">
        <f ca="1">Проект!$K$1628</f>
        <v>0</v>
      </c>
      <c r="R1033" s="48"/>
      <c r="S1033" s="94">
        <f ca="1">Проект!$M$1628</f>
        <v>0</v>
      </c>
    </row>
    <row r="1034" spans="1:19" ht="11.25" customHeight="1" x14ac:dyDescent="0.2">
      <c r="A1034" s="48"/>
      <c r="B1034" s="48"/>
      <c r="C1034" s="48"/>
      <c r="D1034" s="48"/>
      <c r="E1034" s="48"/>
      <c r="F1034" s="106"/>
      <c r="G1034" s="106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48"/>
      <c r="S1034" s="41"/>
    </row>
    <row r="1035" spans="1:19" ht="11.25" customHeight="1" x14ac:dyDescent="0.2">
      <c r="A1035" s="52" t="str">
        <f ca="1">Проект!$A$1630</f>
        <v>Модифицированная IRR (MIRR)</v>
      </c>
      <c r="B1035" s="397" t="str">
        <f ca="1">Проект!$B$1630</f>
        <v>Нет</v>
      </c>
      <c r="C1035" s="48"/>
      <c r="D1035" s="48"/>
      <c r="E1035" s="398" t="e">
        <f ca="1">Проект!$E$1630</f>
        <v>#DIV/0!</v>
      </c>
      <c r="F1035" s="106"/>
      <c r="G1035" s="106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48"/>
      <c r="S1035" s="41"/>
    </row>
    <row r="1036" spans="1:19" ht="11.25" customHeight="1" x14ac:dyDescent="0.2">
      <c r="A1036" s="48" t="str">
        <f ca="1">Проект!$A$1631</f>
        <v>Ставка реинвестирования доходов</v>
      </c>
      <c r="B1036" s="344">
        <f>Проект!$B$1631</f>
        <v>0.25</v>
      </c>
      <c r="C1036" s="48"/>
      <c r="D1036" s="48"/>
      <c r="E1036" s="48"/>
      <c r="F1036" s="48"/>
      <c r="G1036" s="48"/>
      <c r="H1036" s="48"/>
      <c r="I1036" s="48"/>
      <c r="J1036" s="48"/>
      <c r="K1036" s="48"/>
      <c r="L1036" s="48"/>
      <c r="M1036" s="48"/>
      <c r="N1036" s="48"/>
      <c r="O1036" s="48"/>
      <c r="P1036" s="48"/>
      <c r="Q1036" s="48"/>
      <c r="R1036" s="48"/>
      <c r="S1036" s="41"/>
    </row>
    <row r="1037" spans="1:19" ht="11.25" customHeight="1" x14ac:dyDescent="0.2">
      <c r="A1037" s="48" t="str">
        <f ca="1">Проект!$A$1632</f>
        <v>Ставка дисконтирования инвестиционных затрат</v>
      </c>
      <c r="B1037" s="344">
        <f>Проект!$B$1632</f>
        <v>0.25</v>
      </c>
      <c r="C1037" s="48"/>
      <c r="D1037" s="48"/>
      <c r="E1037" s="48"/>
      <c r="F1037" s="48"/>
      <c r="G1037" s="48"/>
      <c r="H1037" s="48"/>
      <c r="I1037" s="48"/>
      <c r="J1037" s="48"/>
      <c r="K1037" s="48"/>
      <c r="L1037" s="48"/>
      <c r="M1037" s="48"/>
      <c r="N1037" s="48"/>
      <c r="O1037" s="48"/>
      <c r="P1037" s="48"/>
      <c r="Q1037" s="48"/>
      <c r="R1037" s="48"/>
      <c r="S1037" s="41"/>
    </row>
    <row r="1040" spans="1:19" x14ac:dyDescent="0.2">
      <c r="A1040" s="22" t="str">
        <f ca="1">Language!A$872 &amp; ", " &amp; Проект!CUR_Report</f>
        <v>График: Окупаемость проекта (для полных инвестиционных затрат), руб.</v>
      </c>
      <c r="B1040" s="19"/>
      <c r="C1040" s="19"/>
      <c r="D1040" s="19"/>
      <c r="E1040" s="19"/>
      <c r="F1040" s="19"/>
      <c r="G1040" s="19"/>
    </row>
    <row r="1041" spans="1:7" x14ac:dyDescent="0.2">
      <c r="A1041" s="19"/>
      <c r="B1041" s="19"/>
      <c r="C1041" s="19"/>
      <c r="D1041" s="19"/>
      <c r="E1041" s="19"/>
      <c r="F1041" s="19"/>
      <c r="G1041" s="19"/>
    </row>
    <row r="1042" spans="1:7" x14ac:dyDescent="0.2">
      <c r="A1042" s="19"/>
      <c r="B1042" s="19"/>
      <c r="C1042" s="19"/>
      <c r="D1042" s="19"/>
      <c r="E1042" s="19"/>
      <c r="F1042" s="19"/>
      <c r="G1042" s="19"/>
    </row>
    <row r="1043" spans="1:7" x14ac:dyDescent="0.2">
      <c r="A1043" s="19"/>
      <c r="B1043" s="19"/>
      <c r="C1043" s="19"/>
      <c r="D1043" s="19"/>
      <c r="E1043" s="19"/>
      <c r="F1043" s="19"/>
      <c r="G1043" s="19"/>
    </row>
    <row r="1044" spans="1:7" x14ac:dyDescent="0.2">
      <c r="A1044" s="19"/>
      <c r="B1044" s="19"/>
      <c r="C1044" s="19"/>
      <c r="D1044" s="19"/>
      <c r="E1044" s="19"/>
      <c r="F1044" s="19"/>
      <c r="G1044" s="19"/>
    </row>
    <row r="1045" spans="1:7" x14ac:dyDescent="0.2">
      <c r="A1045" s="19"/>
      <c r="B1045" s="19"/>
      <c r="C1045" s="19"/>
      <c r="D1045" s="19"/>
      <c r="E1045" s="19"/>
      <c r="F1045" s="19"/>
      <c r="G1045" s="19"/>
    </row>
    <row r="1046" spans="1:7" x14ac:dyDescent="0.2">
      <c r="A1046" s="19"/>
      <c r="B1046" s="19"/>
      <c r="C1046" s="19"/>
      <c r="D1046" s="19"/>
      <c r="E1046" s="19"/>
      <c r="F1046" s="19"/>
      <c r="G1046" s="19"/>
    </row>
    <row r="1047" spans="1:7" x14ac:dyDescent="0.2">
      <c r="A1047" s="19"/>
      <c r="B1047" s="19"/>
      <c r="C1047" s="19"/>
      <c r="D1047" s="19"/>
      <c r="E1047" s="19"/>
      <c r="F1047" s="19"/>
      <c r="G1047" s="19"/>
    </row>
    <row r="1048" spans="1:7" x14ac:dyDescent="0.2">
      <c r="A1048" s="19"/>
      <c r="B1048" s="19"/>
      <c r="C1048" s="19"/>
      <c r="D1048" s="19"/>
      <c r="E1048" s="19"/>
      <c r="F1048" s="19"/>
      <c r="G1048" s="19"/>
    </row>
    <row r="1049" spans="1:7" x14ac:dyDescent="0.2">
      <c r="A1049" s="19"/>
      <c r="B1049" s="19"/>
      <c r="C1049" s="19"/>
      <c r="D1049" s="19"/>
      <c r="E1049" s="19"/>
      <c r="F1049" s="19"/>
      <c r="G1049" s="19"/>
    </row>
    <row r="1050" spans="1:7" x14ac:dyDescent="0.2">
      <c r="A1050" s="19"/>
      <c r="B1050" s="19"/>
      <c r="C1050" s="19"/>
      <c r="D1050" s="19"/>
      <c r="E1050" s="19"/>
      <c r="F1050" s="19"/>
      <c r="G1050" s="19"/>
    </row>
    <row r="1051" spans="1:7" x14ac:dyDescent="0.2">
      <c r="A1051" s="19"/>
      <c r="B1051" s="19"/>
      <c r="C1051" s="19"/>
      <c r="D1051" s="19"/>
      <c r="E1051" s="19"/>
      <c r="F1051" s="19"/>
      <c r="G1051" s="19"/>
    </row>
    <row r="1052" spans="1:7" x14ac:dyDescent="0.2">
      <c r="A1052" s="19"/>
      <c r="B1052" s="19"/>
      <c r="C1052" s="19"/>
      <c r="D1052" s="19"/>
      <c r="E1052" s="19"/>
      <c r="F1052" s="19"/>
      <c r="G1052" s="19"/>
    </row>
    <row r="1053" spans="1:7" x14ac:dyDescent="0.2">
      <c r="A1053" s="19"/>
      <c r="B1053" s="19"/>
      <c r="C1053" s="19"/>
      <c r="D1053" s="19"/>
      <c r="E1053" s="19"/>
      <c r="F1053" s="19"/>
      <c r="G1053" s="19"/>
    </row>
    <row r="1054" spans="1:7" x14ac:dyDescent="0.2">
      <c r="A1054" s="19"/>
      <c r="B1054" s="19"/>
      <c r="C1054" s="19"/>
      <c r="D1054" s="19"/>
      <c r="E1054" s="19"/>
      <c r="F1054" s="19"/>
      <c r="G1054" s="19"/>
    </row>
    <row r="1055" spans="1:7" x14ac:dyDescent="0.2">
      <c r="A1055" s="19"/>
      <c r="B1055" s="19"/>
      <c r="C1055" s="19"/>
      <c r="D1055" s="19"/>
      <c r="E1055" s="19"/>
      <c r="F1055" s="19"/>
      <c r="G1055" s="19"/>
    </row>
    <row r="1056" spans="1:7" x14ac:dyDescent="0.2">
      <c r="A1056" s="19"/>
      <c r="B1056" s="19"/>
      <c r="C1056" s="19"/>
      <c r="D1056" s="19"/>
      <c r="E1056" s="19"/>
      <c r="F1056" s="19"/>
      <c r="G1056" s="19"/>
    </row>
    <row r="1057" spans="1:19" x14ac:dyDescent="0.2">
      <c r="A1057" s="19"/>
      <c r="B1057" s="19"/>
      <c r="C1057" s="19"/>
      <c r="D1057" s="19"/>
      <c r="E1057" s="19"/>
      <c r="F1057" s="19"/>
      <c r="G1057" s="19"/>
    </row>
    <row r="1058" spans="1:19" x14ac:dyDescent="0.2">
      <c r="A1058" s="19"/>
      <c r="B1058" s="19"/>
      <c r="C1058" s="19"/>
      <c r="D1058" s="19"/>
      <c r="E1058" s="19"/>
      <c r="F1058" s="19"/>
      <c r="G1058" s="19"/>
    </row>
    <row r="1059" spans="1:19" x14ac:dyDescent="0.2">
      <c r="A1059" s="19"/>
      <c r="B1059" s="19"/>
      <c r="C1059" s="19"/>
      <c r="D1059" s="19"/>
      <c r="E1059" s="19"/>
      <c r="F1059" s="19"/>
      <c r="G1059" s="19"/>
    </row>
    <row r="1060" spans="1:19" x14ac:dyDescent="0.2">
      <c r="A1060" s="19"/>
      <c r="B1060" s="19"/>
      <c r="C1060" s="19"/>
      <c r="D1060" s="19"/>
      <c r="E1060" s="19"/>
      <c r="F1060" s="19"/>
      <c r="G1060" s="19"/>
    </row>
    <row r="1061" spans="1:19" x14ac:dyDescent="0.2">
      <c r="A1061" s="19"/>
      <c r="B1061" s="19"/>
      <c r="C1061" s="19"/>
      <c r="D1061" s="19"/>
      <c r="E1061" s="19"/>
      <c r="F1061" s="19"/>
      <c r="G1061" s="19"/>
    </row>
    <row r="1062" spans="1:19" x14ac:dyDescent="0.2">
      <c r="A1062" s="19"/>
      <c r="B1062" s="19"/>
      <c r="C1062" s="19"/>
      <c r="D1062" s="19"/>
      <c r="E1062" s="19"/>
      <c r="F1062" s="19"/>
      <c r="G1062" s="19"/>
    </row>
    <row r="1063" spans="1:19" x14ac:dyDescent="0.2">
      <c r="A1063" s="19"/>
      <c r="B1063" s="19"/>
      <c r="C1063" s="19"/>
      <c r="D1063" s="19"/>
      <c r="E1063" s="19"/>
      <c r="F1063" s="19"/>
      <c r="G1063" s="19"/>
    </row>
    <row r="1066" spans="1:19" ht="15.9" customHeight="1" thickBot="1" x14ac:dyDescent="0.25">
      <c r="A1066" s="166" t="str">
        <f ca="1">Проект!$A$1804</f>
        <v xml:space="preserve">         ОЦЕНКА БИЗНЕСА</v>
      </c>
      <c r="B1066" s="166"/>
      <c r="C1066" s="166"/>
      <c r="D1066" s="166"/>
      <c r="E1066" s="166"/>
      <c r="F1066" s="178" t="str">
        <f>Проект!$F$1804</f>
        <v>4/ 2020</v>
      </c>
      <c r="G1066" s="178" t="str">
        <f>Проект!$G$1804</f>
        <v>5/ 2020</v>
      </c>
      <c r="H1066" s="178" t="str">
        <f>Проект!$H$1804</f>
        <v>6/ 2020</v>
      </c>
      <c r="I1066" s="178" t="str">
        <f>Проект!$I$1804</f>
        <v>7/ 2020</v>
      </c>
      <c r="J1066" s="178" t="str">
        <f>Проект!$J$1804</f>
        <v>8/ 2020</v>
      </c>
      <c r="K1066" s="178" t="e">
        <f>Проект!#REF!</f>
        <v>#REF!</v>
      </c>
      <c r="L1066" s="178" t="e">
        <f>Проект!#REF!</f>
        <v>#REF!</v>
      </c>
      <c r="M1066" s="178" t="e">
        <f>Проект!#REF!</f>
        <v>#REF!</v>
      </c>
      <c r="N1066" s="178" t="e">
        <f>Проект!#REF!</f>
        <v>#REF!</v>
      </c>
      <c r="O1066" s="178" t="e">
        <f>Проект!#REF!</f>
        <v>#REF!</v>
      </c>
      <c r="P1066" s="178" t="e">
        <f>Проект!#REF!</f>
        <v>#REF!</v>
      </c>
      <c r="Q1066" s="178" t="str">
        <f>Проект!$K$1804</f>
        <v>9/ 2020</v>
      </c>
      <c r="R1066" s="166"/>
      <c r="S1066" s="167" t="str">
        <f ca="1">Проект!$M$1804</f>
        <v>ИТОГО</v>
      </c>
    </row>
    <row r="1067" spans="1:19" ht="12" customHeight="1" thickTop="1" x14ac:dyDescent="0.2">
      <c r="A1067" s="48"/>
      <c r="B1067" s="48"/>
      <c r="C1067" s="48"/>
      <c r="D1067" s="48"/>
      <c r="E1067" s="48"/>
      <c r="F1067" s="48"/>
      <c r="G1067" s="48"/>
      <c r="H1067" s="48"/>
      <c r="I1067" s="48"/>
      <c r="J1067" s="48"/>
      <c r="K1067" s="48"/>
      <c r="L1067" s="48"/>
      <c r="M1067" s="48"/>
      <c r="N1067" s="48"/>
      <c r="O1067" s="48"/>
      <c r="P1067" s="48"/>
      <c r="Q1067" s="48"/>
      <c r="R1067" s="48"/>
      <c r="S1067" s="41"/>
    </row>
    <row r="1068" spans="1:19" ht="11.25" customHeight="1" x14ac:dyDescent="0.2">
      <c r="A1068" s="48" t="str">
        <f ca="1">Проект!$A$1806</f>
        <v>Валюта расчетов:</v>
      </c>
      <c r="B1068" s="334">
        <f>Проект!$B$1806</f>
        <v>1</v>
      </c>
      <c r="C1068" s="50" t="str">
        <f ca="1">Проект!$C$1806</f>
        <v>руб.</v>
      </c>
      <c r="D1068" s="48"/>
      <c r="E1068" s="48"/>
      <c r="F1068" s="48"/>
      <c r="G1068" s="48"/>
      <c r="H1068" s="48"/>
      <c r="I1068" s="48"/>
      <c r="J1068" s="48"/>
      <c r="K1068" s="48"/>
      <c r="L1068" s="48"/>
      <c r="M1068" s="48"/>
      <c r="N1068" s="48"/>
      <c r="O1068" s="48"/>
      <c r="P1068" s="48"/>
      <c r="Q1068" s="48"/>
      <c r="R1068" s="48"/>
      <c r="S1068" s="41"/>
    </row>
    <row r="1069" spans="1:19" ht="11.25" customHeight="1" x14ac:dyDescent="0.2">
      <c r="A1069" s="48" t="str">
        <f ca="1">Проект!$A$1807</f>
        <v>Годовая ставка дисконтирования:</v>
      </c>
      <c r="B1069" s="344">
        <f>Проект!$B$1807</f>
        <v>0.25</v>
      </c>
      <c r="C1069" s="73" t="str">
        <f>Проект!$C$1807</f>
        <v>%</v>
      </c>
      <c r="D1069" s="101" t="str">
        <f>Проект!$D$1807</f>
        <v>int_avg</v>
      </c>
      <c r="E1069" s="48"/>
      <c r="F1069" s="251">
        <f>Проект!$F$1807</f>
        <v>0.25</v>
      </c>
      <c r="G1069" s="251">
        <f>Проект!$G$1807</f>
        <v>0.25</v>
      </c>
      <c r="H1069" s="251">
        <f>Проект!$H$1807</f>
        <v>0.25</v>
      </c>
      <c r="I1069" s="251">
        <f>Проект!$I$1807</f>
        <v>0.25</v>
      </c>
      <c r="J1069" s="251">
        <f>Проект!$J$1807</f>
        <v>0.25</v>
      </c>
      <c r="K1069" s="251" t="e">
        <f>Проект!#REF!</f>
        <v>#REF!</v>
      </c>
      <c r="L1069" s="251" t="e">
        <f>Проект!#REF!</f>
        <v>#REF!</v>
      </c>
      <c r="M1069" s="251" t="e">
        <f>Проект!#REF!</f>
        <v>#REF!</v>
      </c>
      <c r="N1069" s="251" t="e">
        <f>Проект!#REF!</f>
        <v>#REF!</v>
      </c>
      <c r="O1069" s="251" t="e">
        <f>Проект!#REF!</f>
        <v>#REF!</v>
      </c>
      <c r="P1069" s="251" t="e">
        <f>Проект!#REF!</f>
        <v>#REF!</v>
      </c>
      <c r="Q1069" s="251">
        <f>Проект!$K$1807</f>
        <v>0.25</v>
      </c>
      <c r="R1069" s="48"/>
      <c r="S1069" s="41"/>
    </row>
    <row r="1070" spans="1:19" hidden="1" x14ac:dyDescent="0.2">
      <c r="A1070" s="48" t="str">
        <f ca="1">Проект!$A$1808</f>
        <v xml:space="preserve">    ставка дисконтирования на расчетный период</v>
      </c>
      <c r="B1070" s="48"/>
      <c r="C1070" s="48"/>
      <c r="D1070" s="101" t="str">
        <f>Проект!$D$1808</f>
        <v>int_avg</v>
      </c>
      <c r="E1070" s="48"/>
      <c r="F1070" s="251">
        <f>Проект!$F$1808</f>
        <v>1.3115119734100844E-2</v>
      </c>
      <c r="G1070" s="251">
        <f>Проект!$G$1808</f>
        <v>1.3115119734100844E-2</v>
      </c>
      <c r="H1070" s="251">
        <f>Проект!$H$1808</f>
        <v>1.3115119734100844E-2</v>
      </c>
      <c r="I1070" s="251">
        <f>Проект!$I$1808</f>
        <v>1.3115119734100844E-2</v>
      </c>
      <c r="J1070" s="251">
        <f>Проект!$J$1808</f>
        <v>1.3115119734100844E-2</v>
      </c>
      <c r="K1070" s="251" t="e">
        <f>Проект!#REF!</f>
        <v>#REF!</v>
      </c>
      <c r="L1070" s="251" t="e">
        <f>Проект!#REF!</f>
        <v>#REF!</v>
      </c>
      <c r="M1070" s="251" t="e">
        <f>Проект!#REF!</f>
        <v>#REF!</v>
      </c>
      <c r="N1070" s="251" t="e">
        <f>Проект!#REF!</f>
        <v>#REF!</v>
      </c>
      <c r="O1070" s="251" t="e">
        <f>Проект!#REF!</f>
        <v>#REF!</v>
      </c>
      <c r="P1070" s="251" t="e">
        <f>Проект!#REF!</f>
        <v>#REF!</v>
      </c>
      <c r="Q1070" s="251">
        <f>Проект!$K$1808</f>
        <v>1.3115119734100844E-2</v>
      </c>
      <c r="R1070" s="48"/>
      <c r="S1070" s="41"/>
    </row>
    <row r="1071" spans="1:19" hidden="1" x14ac:dyDescent="0.2">
      <c r="A1071" s="48" t="str">
        <f ca="1">Проект!$A$1809</f>
        <v xml:space="preserve">    коэффициент дисконта на середину периода</v>
      </c>
      <c r="B1071" s="48"/>
      <c r="C1071" s="48"/>
      <c r="D1071" s="101" t="str">
        <f>Проект!$D$1809</f>
        <v>int_avg</v>
      </c>
      <c r="E1071" s="48"/>
      <c r="F1071" s="399">
        <f>Проект!$F$1809</f>
        <v>1.0065361989188968</v>
      </c>
      <c r="G1071" s="399">
        <f>Проект!$G$1809</f>
        <v>1.0197370416844249</v>
      </c>
      <c r="H1071" s="399">
        <f>Проект!$H$1809</f>
        <v>1.033111015083414</v>
      </c>
      <c r="I1071" s="399">
        <f>Проект!$I$1809</f>
        <v>1.0466603897448514</v>
      </c>
      <c r="J1071" s="399">
        <f>Проект!$J$1809</f>
        <v>1.0603874660772958</v>
      </c>
      <c r="K1071" s="399" t="e">
        <f>Проект!#REF!</f>
        <v>#REF!</v>
      </c>
      <c r="L1071" s="399" t="e">
        <f>Проект!#REF!</f>
        <v>#REF!</v>
      </c>
      <c r="M1071" s="399" t="e">
        <f>Проект!#REF!</f>
        <v>#REF!</v>
      </c>
      <c r="N1071" s="399" t="e">
        <f>Проект!#REF!</f>
        <v>#REF!</v>
      </c>
      <c r="O1071" s="399" t="e">
        <f>Проект!#REF!</f>
        <v>#REF!</v>
      </c>
      <c r="P1071" s="399" t="e">
        <f>Проект!#REF!</f>
        <v>#REF!</v>
      </c>
      <c r="Q1071" s="399">
        <f>Проект!$K$1809</f>
        <v>1.0742945746594394</v>
      </c>
      <c r="R1071" s="48"/>
      <c r="S1071" s="41"/>
    </row>
    <row r="1072" spans="1:19" hidden="1" x14ac:dyDescent="0.2">
      <c r="A1072" s="48" t="str">
        <f ca="1">Проект!$A$1810</f>
        <v xml:space="preserve">    коэффициент дисконта для потока на конец периода</v>
      </c>
      <c r="B1072" s="48"/>
      <c r="C1072" s="48"/>
      <c r="D1072" s="101" t="str">
        <f>Проект!$D$1810</f>
        <v>int_avg</v>
      </c>
      <c r="E1072" s="48"/>
      <c r="F1072" s="399">
        <f>Проект!$F$1810</f>
        <v>1.0131151197341008</v>
      </c>
      <c r="G1072" s="399">
        <f>Проект!$G$1810</f>
        <v>1.0264022458338415</v>
      </c>
      <c r="H1072" s="399">
        <f>Проект!$H$1810</f>
        <v>1.0398636341833023</v>
      </c>
      <c r="I1072" s="399">
        <f>Проект!$I$1810</f>
        <v>1.0535015702527535</v>
      </c>
      <c r="J1072" s="399">
        <f>Проект!$J$1810</f>
        <v>1.0673183694866817</v>
      </c>
      <c r="K1072" s="399" t="e">
        <f>Проект!#REF!</f>
        <v>#REF!</v>
      </c>
      <c r="L1072" s="399" t="e">
        <f>Проект!#REF!</f>
        <v>#REF!</v>
      </c>
      <c r="M1072" s="399" t="e">
        <f>Проект!#REF!</f>
        <v>#REF!</v>
      </c>
      <c r="N1072" s="399" t="e">
        <f>Проект!#REF!</f>
        <v>#REF!</v>
      </c>
      <c r="O1072" s="399" t="e">
        <f>Проект!#REF!</f>
        <v>#REF!</v>
      </c>
      <c r="P1072" s="399" t="e">
        <f>Проект!#REF!</f>
        <v>#REF!</v>
      </c>
      <c r="Q1072" s="399">
        <f>Проект!$K$1810</f>
        <v>1.0813163776969048</v>
      </c>
      <c r="R1072" s="48"/>
      <c r="S1072" s="41"/>
    </row>
    <row r="1073" spans="1:19" ht="11.25" customHeight="1" x14ac:dyDescent="0.2">
      <c r="A1073" s="48" t="str">
        <f ca="1">Проект!$A$1811</f>
        <v>Долгосрочные темпы роста в постпрогнозный период</v>
      </c>
      <c r="B1073" s="344">
        <f ca="1">Проект!$B$1811</f>
        <v>7.0000000000000007E-2</v>
      </c>
      <c r="C1073" s="73" t="str">
        <f>Проект!$C$1811</f>
        <v>%</v>
      </c>
      <c r="D1073" s="48"/>
      <c r="E1073" s="48"/>
      <c r="F1073" s="48"/>
      <c r="G1073" s="48"/>
      <c r="H1073" s="48"/>
      <c r="I1073" s="48"/>
      <c r="J1073" s="48"/>
      <c r="K1073" s="48"/>
      <c r="L1073" s="48"/>
      <c r="M1073" s="48"/>
      <c r="N1073" s="48"/>
      <c r="O1073" s="48"/>
      <c r="P1073" s="48"/>
      <c r="Q1073" s="48"/>
      <c r="R1073" s="48"/>
      <c r="S1073" s="41"/>
    </row>
    <row r="1074" spans="1:19" hidden="1" x14ac:dyDescent="0.2">
      <c r="A1074" s="48" t="str">
        <f ca="1">Проект!$A$1812</f>
        <v xml:space="preserve">    в пересчете на период, равный шагу проекта</v>
      </c>
      <c r="B1074" s="137">
        <f ca="1">Проект!$B$1812</f>
        <v>0</v>
      </c>
      <c r="C1074" s="48"/>
      <c r="D1074" s="48"/>
      <c r="E1074" s="48"/>
      <c r="F1074" s="48"/>
      <c r="G1074" s="48"/>
      <c r="H1074" s="48"/>
      <c r="I1074" s="48"/>
      <c r="J1074" s="48"/>
      <c r="K1074" s="48"/>
      <c r="L1074" s="48"/>
      <c r="M1074" s="48"/>
      <c r="N1074" s="48"/>
      <c r="O1074" s="48"/>
      <c r="P1074" s="48"/>
      <c r="Q1074" s="48"/>
      <c r="R1074" s="48"/>
      <c r="S1074" s="41"/>
    </row>
    <row r="1075" spans="1:19" ht="11.25" customHeight="1" x14ac:dyDescent="0.2">
      <c r="A1075" s="48"/>
      <c r="B1075" s="48"/>
      <c r="C1075" s="48"/>
      <c r="D1075" s="48"/>
      <c r="E1075" s="48"/>
      <c r="F1075" s="48"/>
      <c r="G1075" s="48"/>
      <c r="H1075" s="48"/>
      <c r="I1075" s="48"/>
      <c r="J1075" s="48"/>
      <c r="K1075" s="48"/>
      <c r="L1075" s="48"/>
      <c r="M1075" s="48"/>
      <c r="N1075" s="48"/>
      <c r="O1075" s="48"/>
      <c r="P1075" s="48"/>
      <c r="Q1075" s="48"/>
      <c r="R1075" s="48"/>
      <c r="S1075" s="41"/>
    </row>
    <row r="1076" spans="1:19" ht="11.25" customHeight="1" x14ac:dyDescent="0.2">
      <c r="A1076" s="130" t="str">
        <f ca="1">Проект!$A$1814</f>
        <v>Денежный поток для собственного капитала</v>
      </c>
      <c r="B1076" s="48"/>
      <c r="C1076" s="73" t="str">
        <f ca="1">Проект!$C$1814</f>
        <v>руб.</v>
      </c>
      <c r="D1076" s="48"/>
      <c r="E1076" s="48"/>
      <c r="F1076" s="160">
        <f ca="1">Проект!$F$1814</f>
        <v>15122083.333333332</v>
      </c>
      <c r="G1076" s="160">
        <f ca="1">Проект!$G$1814</f>
        <v>66849460</v>
      </c>
      <c r="H1076" s="160">
        <f ca="1">Проект!$H$1814</f>
        <v>98359860</v>
      </c>
      <c r="I1076" s="160">
        <f ca="1">Проект!$I$1814</f>
        <v>91019280</v>
      </c>
      <c r="J1076" s="160">
        <f ca="1">Проект!$J$1814</f>
        <v>91638500</v>
      </c>
      <c r="K1076" s="160" t="e">
        <f>Проект!#REF!</f>
        <v>#REF!</v>
      </c>
      <c r="L1076" s="160" t="e">
        <f>Проект!#REF!</f>
        <v>#REF!</v>
      </c>
      <c r="M1076" s="160" t="e">
        <f>Проект!#REF!</f>
        <v>#REF!</v>
      </c>
      <c r="N1076" s="160" t="e">
        <f>Проект!#REF!</f>
        <v>#REF!</v>
      </c>
      <c r="O1076" s="160" t="e">
        <f>Проект!#REF!</f>
        <v>#REF!</v>
      </c>
      <c r="P1076" s="160" t="e">
        <f>Проект!#REF!</f>
        <v>#REF!</v>
      </c>
      <c r="Q1076" s="160">
        <f ca="1">Проект!$K$1814</f>
        <v>91638500</v>
      </c>
      <c r="R1076" s="130"/>
      <c r="S1076" s="95">
        <f ca="1">Проект!$M$1814</f>
        <v>454627683.33333331</v>
      </c>
    </row>
    <row r="1077" spans="1:19" ht="11.25" customHeight="1" x14ac:dyDescent="0.2">
      <c r="A1077" s="48" t="str">
        <f ca="1">Проект!$A$1815</f>
        <v>Чистая прибыль</v>
      </c>
      <c r="B1077" s="48"/>
      <c r="C1077" s="73" t="str">
        <f ca="1">Проект!$C$1815</f>
        <v>руб.</v>
      </c>
      <c r="D1077" s="48"/>
      <c r="E1077" s="48"/>
      <c r="F1077" s="106">
        <f ca="1">Проект!$F$1815</f>
        <v>13127500</v>
      </c>
      <c r="G1077" s="106">
        <f ca="1">Проект!$G$1815</f>
        <v>58087900</v>
      </c>
      <c r="H1077" s="106">
        <f ca="1">Проект!$H$1815</f>
        <v>91768300</v>
      </c>
      <c r="I1077" s="106">
        <f ca="1">Проект!$I$1815</f>
        <v>91668500</v>
      </c>
      <c r="J1077" s="106">
        <f ca="1">Проект!$J$1815</f>
        <v>91668500</v>
      </c>
      <c r="K1077" s="106" t="e">
        <f>Проект!#REF!</f>
        <v>#REF!</v>
      </c>
      <c r="L1077" s="106" t="e">
        <f>Проект!#REF!</f>
        <v>#REF!</v>
      </c>
      <c r="M1077" s="106" t="e">
        <f>Проект!#REF!</f>
        <v>#REF!</v>
      </c>
      <c r="N1077" s="106" t="e">
        <f>Проект!#REF!</f>
        <v>#REF!</v>
      </c>
      <c r="O1077" s="106" t="e">
        <f>Проект!#REF!</f>
        <v>#REF!</v>
      </c>
      <c r="P1077" s="106" t="e">
        <f>Проект!#REF!</f>
        <v>#REF!</v>
      </c>
      <c r="Q1077" s="106">
        <f ca="1">Проект!$K$1815</f>
        <v>91667333.333333328</v>
      </c>
      <c r="R1077" s="48"/>
      <c r="S1077" s="94">
        <f ca="1">Проект!$M$1815</f>
        <v>437988033.33333331</v>
      </c>
    </row>
    <row r="1078" spans="1:19" ht="11.25" customHeight="1" x14ac:dyDescent="0.2">
      <c r="A1078" s="48" t="str">
        <f ca="1">Проект!$A$1816</f>
        <v>Амортизация</v>
      </c>
      <c r="B1078" s="48"/>
      <c r="C1078" s="73" t="str">
        <f ca="1">Проект!$C$1816</f>
        <v>руб.</v>
      </c>
      <c r="D1078" s="48"/>
      <c r="E1078" s="48"/>
      <c r="F1078" s="106">
        <f ca="1">Проект!$F$1816</f>
        <v>0</v>
      </c>
      <c r="G1078" s="106">
        <f ca="1">Проект!$G$1816</f>
        <v>0</v>
      </c>
      <c r="H1078" s="106">
        <f ca="1">Проект!$H$1816</f>
        <v>0</v>
      </c>
      <c r="I1078" s="106">
        <f ca="1">Проект!$I$1816</f>
        <v>20000</v>
      </c>
      <c r="J1078" s="106">
        <f ca="1">Проект!$J$1816</f>
        <v>20000</v>
      </c>
      <c r="K1078" s="106" t="e">
        <f>Проект!#REF!</f>
        <v>#REF!</v>
      </c>
      <c r="L1078" s="106" t="e">
        <f>Проект!#REF!</f>
        <v>#REF!</v>
      </c>
      <c r="M1078" s="106" t="e">
        <f>Проект!#REF!</f>
        <v>#REF!</v>
      </c>
      <c r="N1078" s="106" t="e">
        <f>Проект!#REF!</f>
        <v>#REF!</v>
      </c>
      <c r="O1078" s="106" t="e">
        <f>Проект!#REF!</f>
        <v>#REF!</v>
      </c>
      <c r="P1078" s="106" t="e">
        <f>Проект!#REF!</f>
        <v>#REF!</v>
      </c>
      <c r="Q1078" s="106">
        <f ca="1">Проект!$K$1816</f>
        <v>21166.666666666668</v>
      </c>
      <c r="R1078" s="48"/>
      <c r="S1078" s="94">
        <f ca="1">Проект!$M$1816</f>
        <v>61166.666666666672</v>
      </c>
    </row>
    <row r="1079" spans="1:19" ht="11.25" customHeight="1" x14ac:dyDescent="0.2">
      <c r="A1079" s="48" t="str">
        <f ca="1">Проект!$A$1817</f>
        <v>Изменение чистого оборотного капитала</v>
      </c>
      <c r="B1079" s="48"/>
      <c r="C1079" s="73" t="str">
        <f ca="1">Проект!$C$1817</f>
        <v>руб.</v>
      </c>
      <c r="D1079" s="48"/>
      <c r="E1079" s="48"/>
      <c r="F1079" s="106">
        <f ca="1">Проект!$F$1817</f>
        <v>-2534583.333333333</v>
      </c>
      <c r="G1079" s="106">
        <f ca="1">Проект!$G$1817</f>
        <v>-8801560</v>
      </c>
      <c r="H1079" s="106">
        <f ca="1">Проект!$H$1817</f>
        <v>-6641560</v>
      </c>
      <c r="I1079" s="106">
        <f ca="1">Проект!$I$1817</f>
        <v>-80780</v>
      </c>
      <c r="J1079" s="106">
        <f ca="1">Проект!$J$1817</f>
        <v>0</v>
      </c>
      <c r="K1079" s="106" t="e">
        <f>Проект!#REF!</f>
        <v>#REF!</v>
      </c>
      <c r="L1079" s="106" t="e">
        <f>Проект!#REF!</f>
        <v>#REF!</v>
      </c>
      <c r="M1079" s="106" t="e">
        <f>Проект!#REF!</f>
        <v>#REF!</v>
      </c>
      <c r="N1079" s="106" t="e">
        <f>Проект!#REF!</f>
        <v>#REF!</v>
      </c>
      <c r="O1079" s="106" t="e">
        <f>Проект!#REF!</f>
        <v>#REF!</v>
      </c>
      <c r="P1079" s="106" t="e">
        <f>Проект!#REF!</f>
        <v>#REF!</v>
      </c>
      <c r="Q1079" s="106">
        <f ca="1">Проект!$K$1817</f>
        <v>0</v>
      </c>
      <c r="R1079" s="48"/>
      <c r="S1079" s="94">
        <f ca="1">Проект!$M$1817</f>
        <v>-18058483.333333332</v>
      </c>
    </row>
    <row r="1080" spans="1:19" ht="11.25" customHeight="1" x14ac:dyDescent="0.2">
      <c r="A1080" s="48" t="str">
        <f ca="1">Проект!$A$1818</f>
        <v>Инвестиции</v>
      </c>
      <c r="B1080" s="48"/>
      <c r="C1080" s="73" t="str">
        <f ca="1">Проект!$C$1818</f>
        <v>руб.</v>
      </c>
      <c r="D1080" s="48"/>
      <c r="E1080" s="48"/>
      <c r="F1080" s="106">
        <f>Проект!$F$1818</f>
        <v>-540000</v>
      </c>
      <c r="G1080" s="106">
        <f>Проект!$G$1818</f>
        <v>-40000</v>
      </c>
      <c r="H1080" s="106">
        <f>Проект!$H$1818</f>
        <v>-50000</v>
      </c>
      <c r="I1080" s="106">
        <f>Проект!$I$1818</f>
        <v>-750000</v>
      </c>
      <c r="J1080" s="106">
        <f>Проект!$J$1818</f>
        <v>-50000</v>
      </c>
      <c r="K1080" s="106" t="e">
        <f>Проект!#REF!</f>
        <v>#REF!</v>
      </c>
      <c r="L1080" s="106" t="e">
        <f>Проект!#REF!</f>
        <v>#REF!</v>
      </c>
      <c r="M1080" s="106" t="e">
        <f>Проект!#REF!</f>
        <v>#REF!</v>
      </c>
      <c r="N1080" s="106" t="e">
        <f>Проект!#REF!</f>
        <v>#REF!</v>
      </c>
      <c r="O1080" s="106" t="e">
        <f>Проект!#REF!</f>
        <v>#REF!</v>
      </c>
      <c r="P1080" s="106" t="e">
        <f>Проект!#REF!</f>
        <v>#REF!</v>
      </c>
      <c r="Q1080" s="106">
        <f>Проект!$K$1818</f>
        <v>-50000</v>
      </c>
      <c r="R1080" s="48"/>
      <c r="S1080" s="94">
        <f>Проект!$M$1818</f>
        <v>-1480000</v>
      </c>
    </row>
    <row r="1081" spans="1:19" ht="11.25" customHeight="1" x14ac:dyDescent="0.2">
      <c r="A1081" s="48" t="str">
        <f ca="1">Проект!$A$1819</f>
        <v>Изменение долгосрочной задолженности</v>
      </c>
      <c r="B1081" s="48"/>
      <c r="C1081" s="73" t="str">
        <f ca="1">Проект!$C$1819</f>
        <v>руб.</v>
      </c>
      <c r="D1081" s="48"/>
      <c r="E1081" s="48"/>
      <c r="F1081" s="106">
        <f>Проект!$F$1819</f>
        <v>0</v>
      </c>
      <c r="G1081" s="106">
        <f>Проект!$G$1819</f>
        <v>0</v>
      </c>
      <c r="H1081" s="106">
        <f>Проект!$H$1819</f>
        <v>0</v>
      </c>
      <c r="I1081" s="106">
        <f>Проект!$I$1819</f>
        <v>0</v>
      </c>
      <c r="J1081" s="106">
        <f>Проект!$J$1819</f>
        <v>0</v>
      </c>
      <c r="K1081" s="106" t="e">
        <f>Проект!#REF!</f>
        <v>#REF!</v>
      </c>
      <c r="L1081" s="106" t="e">
        <f>Проект!#REF!</f>
        <v>#REF!</v>
      </c>
      <c r="M1081" s="106" t="e">
        <f>Проект!#REF!</f>
        <v>#REF!</v>
      </c>
      <c r="N1081" s="106" t="e">
        <f>Проект!#REF!</f>
        <v>#REF!</v>
      </c>
      <c r="O1081" s="106" t="e">
        <f>Проект!#REF!</f>
        <v>#REF!</v>
      </c>
      <c r="P1081" s="106" t="e">
        <f>Проект!#REF!</f>
        <v>#REF!</v>
      </c>
      <c r="Q1081" s="106">
        <f>Проект!$K$1819</f>
        <v>0</v>
      </c>
      <c r="R1081" s="48"/>
      <c r="S1081" s="94">
        <f>Проект!$M$1819</f>
        <v>0</v>
      </c>
    </row>
    <row r="1082" spans="1:19" ht="11.25" customHeight="1" x14ac:dyDescent="0.2">
      <c r="A1082" s="48"/>
      <c r="B1082" s="48"/>
      <c r="C1082" s="48"/>
      <c r="D1082" s="48"/>
      <c r="E1082" s="48"/>
      <c r="F1082" s="48"/>
      <c r="G1082" s="48"/>
      <c r="H1082" s="48"/>
      <c r="I1082" s="48"/>
      <c r="J1082" s="48"/>
      <c r="K1082" s="48"/>
      <c r="L1082" s="48"/>
      <c r="M1082" s="48"/>
      <c r="N1082" s="48"/>
      <c r="O1082" s="48"/>
      <c r="P1082" s="48"/>
      <c r="Q1082" s="48"/>
      <c r="R1082" s="48"/>
      <c r="S1082" s="41"/>
    </row>
    <row r="1083" spans="1:19" ht="11.25" customHeight="1" x14ac:dyDescent="0.2">
      <c r="A1083" s="48" t="str">
        <f ca="1">Проект!$A$1821</f>
        <v>Дисконтированный денежный поток</v>
      </c>
      <c r="B1083" s="48"/>
      <c r="C1083" s="73" t="str">
        <f ca="1">Проект!$C$1821</f>
        <v>руб.</v>
      </c>
      <c r="D1083" s="48"/>
      <c r="E1083" s="48"/>
      <c r="F1083" s="106">
        <f ca="1">Проект!$F$1821</f>
        <v>15023884.237423057</v>
      </c>
      <c r="G1083" s="106">
        <f ca="1">Проект!$G$1821</f>
        <v>65555586.653571531</v>
      </c>
      <c r="H1083" s="106">
        <f ca="1">Проект!$H$1821</f>
        <v>95207444.857277378</v>
      </c>
      <c r="I1083" s="106">
        <f ca="1">Проект!$I$1821</f>
        <v>86961617.05535464</v>
      </c>
      <c r="J1083" s="106">
        <f ca="1">Проект!$J$1821</f>
        <v>86419825.706729084</v>
      </c>
      <c r="K1083" s="106" t="e">
        <f>Проект!#REF!</f>
        <v>#REF!</v>
      </c>
      <c r="L1083" s="106" t="e">
        <f>Проект!#REF!</f>
        <v>#REF!</v>
      </c>
      <c r="M1083" s="106" t="e">
        <f>Проект!#REF!</f>
        <v>#REF!</v>
      </c>
      <c r="N1083" s="106" t="e">
        <f>Проект!#REF!</f>
        <v>#REF!</v>
      </c>
      <c r="O1083" s="106" t="e">
        <f>Проект!#REF!</f>
        <v>#REF!</v>
      </c>
      <c r="P1083" s="106" t="e">
        <f>Проект!#REF!</f>
        <v>#REF!</v>
      </c>
      <c r="Q1083" s="106">
        <f ca="1">Проект!$K$1821</f>
        <v>85301091.675949484</v>
      </c>
      <c r="R1083" s="106"/>
      <c r="S1083" s="94">
        <f ca="1">Проект!$M$1821</f>
        <v>434469450.18630517</v>
      </c>
    </row>
    <row r="1084" spans="1:19" ht="11.25" customHeight="1" x14ac:dyDescent="0.2">
      <c r="A1084" s="48"/>
      <c r="B1084" s="48"/>
      <c r="C1084" s="48"/>
      <c r="D1084" s="48"/>
      <c r="E1084" s="48"/>
      <c r="F1084" s="48"/>
      <c r="G1084" s="48"/>
      <c r="H1084" s="48"/>
      <c r="I1084" s="48"/>
      <c r="J1084" s="48"/>
      <c r="K1084" s="48"/>
      <c r="L1084" s="48"/>
      <c r="M1084" s="48"/>
      <c r="N1084" s="48"/>
      <c r="O1084" s="48"/>
      <c r="P1084" s="48"/>
      <c r="Q1084" s="48"/>
      <c r="R1084" s="48"/>
      <c r="S1084" s="41"/>
    </row>
    <row r="1085" spans="1:19" ht="11.25" customHeight="1" x14ac:dyDescent="0.2">
      <c r="A1085" s="130" t="str">
        <f ca="1">Проект!$A$1823</f>
        <v>Продленная стоимость проекта</v>
      </c>
      <c r="B1085" s="312">
        <f ca="1">Проект!$B$1823</f>
        <v>6989439303.0196705</v>
      </c>
      <c r="C1085" s="73" t="str">
        <f ca="1">Проект!$C$1823</f>
        <v>руб.</v>
      </c>
      <c r="D1085" s="48"/>
      <c r="E1085" s="48"/>
      <c r="F1085" s="130"/>
      <c r="G1085" s="130"/>
      <c r="H1085" s="130"/>
      <c r="I1085" s="130"/>
      <c r="J1085" s="130"/>
      <c r="K1085" s="130"/>
      <c r="L1085" s="130"/>
      <c r="M1085" s="130"/>
      <c r="N1085" s="130"/>
      <c r="O1085" s="130"/>
      <c r="P1085" s="130"/>
      <c r="Q1085" s="130"/>
      <c r="R1085" s="130"/>
      <c r="S1085" s="382"/>
    </row>
    <row r="1086" spans="1:19" hidden="1" x14ac:dyDescent="0.2">
      <c r="A1086" s="52" t="str">
        <f ca="1">Проект!$A$1824</f>
        <v>Посленалоговая операционная прибыль (NOPLAT)</v>
      </c>
      <c r="B1086" s="48"/>
      <c r="C1086" s="73" t="str">
        <f ca="1">Проект!$C$1824</f>
        <v>руб.</v>
      </c>
      <c r="D1086" s="48"/>
      <c r="E1086" s="48"/>
      <c r="F1086" s="84">
        <f ca="1">Проект!$F$1824</f>
        <v>13127500</v>
      </c>
      <c r="G1086" s="84">
        <f ca="1">Проект!$G$1824</f>
        <v>58087900</v>
      </c>
      <c r="H1086" s="84">
        <f ca="1">Проект!$H$1824</f>
        <v>91768300</v>
      </c>
      <c r="I1086" s="84">
        <f ca="1">Проект!$I$1824</f>
        <v>91668500</v>
      </c>
      <c r="J1086" s="84">
        <f ca="1">Проект!$J$1824</f>
        <v>91668500</v>
      </c>
      <c r="K1086" s="84" t="e">
        <f>Проект!#REF!</f>
        <v>#REF!</v>
      </c>
      <c r="L1086" s="84" t="e">
        <f>Проект!#REF!</f>
        <v>#REF!</v>
      </c>
      <c r="M1086" s="84" t="e">
        <f>Проект!#REF!</f>
        <v>#REF!</v>
      </c>
      <c r="N1086" s="84" t="e">
        <f>Проект!#REF!</f>
        <v>#REF!</v>
      </c>
      <c r="O1086" s="84" t="e">
        <f>Проект!#REF!</f>
        <v>#REF!</v>
      </c>
      <c r="P1086" s="84" t="e">
        <f>Проект!#REF!</f>
        <v>#REF!</v>
      </c>
      <c r="Q1086" s="84">
        <f ca="1">Проект!$K$1824</f>
        <v>91667333.333333328</v>
      </c>
      <c r="R1086" s="130"/>
      <c r="S1086" s="382"/>
    </row>
    <row r="1087" spans="1:19" hidden="1" x14ac:dyDescent="0.2">
      <c r="A1087" s="52" t="str">
        <f ca="1">Проект!$A$1825</f>
        <v>Дисконтированная продленная стоимость</v>
      </c>
      <c r="B1087" s="87">
        <f ca="1">Проект!$B$1825</f>
        <v>6463824507.9635935</v>
      </c>
      <c r="C1087" s="73" t="str">
        <f ca="1">Проект!$C$1825</f>
        <v>руб.</v>
      </c>
      <c r="D1087" s="48"/>
      <c r="E1087" s="48"/>
      <c r="F1087" s="48"/>
      <c r="G1087" s="48"/>
      <c r="H1087" s="48"/>
      <c r="I1087" s="48"/>
      <c r="J1087" s="48"/>
      <c r="K1087" s="48"/>
      <c r="L1087" s="48"/>
      <c r="M1087" s="48"/>
      <c r="N1087" s="48"/>
      <c r="O1087" s="48"/>
      <c r="P1087" s="48"/>
      <c r="Q1087" s="48"/>
      <c r="R1087" s="48"/>
      <c r="S1087" s="41"/>
    </row>
    <row r="1088" spans="1:19" ht="11.25" customHeight="1" x14ac:dyDescent="0.2">
      <c r="A1088" s="48"/>
      <c r="B1088" s="48"/>
      <c r="C1088" s="48"/>
      <c r="D1088" s="48"/>
      <c r="E1088" s="48"/>
      <c r="F1088" s="48"/>
      <c r="G1088" s="48"/>
      <c r="H1088" s="48"/>
      <c r="I1088" s="48"/>
      <c r="J1088" s="48"/>
      <c r="K1088" s="48"/>
      <c r="L1088" s="48"/>
      <c r="M1088" s="48"/>
      <c r="N1088" s="48"/>
      <c r="O1088" s="48"/>
      <c r="P1088" s="48"/>
      <c r="Q1088" s="48"/>
      <c r="R1088" s="48"/>
      <c r="S1088" s="41"/>
    </row>
    <row r="1089" spans="1:19" ht="11.25" customHeight="1" x14ac:dyDescent="0.2">
      <c r="A1089" s="130" t="str">
        <f ca="1">Проект!$A$1827</f>
        <v>Итого стоимость бизнеса</v>
      </c>
      <c r="B1089" s="120">
        <f ca="1">Проект!$B$1827</f>
        <v>6898293958.1498985</v>
      </c>
      <c r="C1089" s="48" t="str">
        <f ca="1">Проект!$C$1827</f>
        <v>руб.</v>
      </c>
      <c r="D1089" s="48"/>
      <c r="E1089" s="48"/>
      <c r="F1089" s="48"/>
      <c r="G1089" s="48"/>
      <c r="H1089" s="48"/>
      <c r="I1089" s="48"/>
      <c r="J1089" s="48"/>
      <c r="K1089" s="48"/>
      <c r="L1089" s="48"/>
      <c r="M1089" s="48"/>
      <c r="N1089" s="48"/>
      <c r="O1089" s="48"/>
      <c r="P1089" s="48"/>
      <c r="Q1089" s="48"/>
      <c r="R1089" s="48"/>
      <c r="S1089" s="41"/>
    </row>
    <row r="1092" spans="1:19" ht="15.9" customHeight="1" thickBot="1" x14ac:dyDescent="0.25">
      <c r="A1092" s="166" t="str">
        <f ca="1">Проект!$A$1881</f>
        <v xml:space="preserve">         ОСНОВНЫЕ ПОКАЗАТЕЛИ ПРОЕКТА</v>
      </c>
      <c r="B1092" s="166"/>
      <c r="C1092" s="166"/>
      <c r="D1092" s="166"/>
      <c r="E1092" s="166"/>
      <c r="F1092" s="178" t="str">
        <f>Проект!$F$1881</f>
        <v>4/ 2020</v>
      </c>
      <c r="G1092" s="178" t="str">
        <f>Проект!$G$1881</f>
        <v>5/ 2020</v>
      </c>
      <c r="H1092" s="178" t="str">
        <f>Проект!$H$1881</f>
        <v>6/ 2020</v>
      </c>
      <c r="I1092" s="178" t="str">
        <f>Проект!$I$1881</f>
        <v>7/ 2020</v>
      </c>
      <c r="J1092" s="178" t="str">
        <f>Проект!$J$1881</f>
        <v>8/ 2020</v>
      </c>
      <c r="K1092" s="178" t="e">
        <f>Проект!#REF!</f>
        <v>#REF!</v>
      </c>
      <c r="L1092" s="178" t="e">
        <f>Проект!#REF!</f>
        <v>#REF!</v>
      </c>
      <c r="M1092" s="178" t="e">
        <f>Проект!#REF!</f>
        <v>#REF!</v>
      </c>
      <c r="N1092" s="178" t="e">
        <f>Проект!#REF!</f>
        <v>#REF!</v>
      </c>
      <c r="O1092" s="178" t="e">
        <f>Проект!#REF!</f>
        <v>#REF!</v>
      </c>
      <c r="P1092" s="178" t="e">
        <f>Проект!#REF!</f>
        <v>#REF!</v>
      </c>
      <c r="Q1092" s="178" t="str">
        <f>Проект!$K$1881</f>
        <v>9/ 2020</v>
      </c>
      <c r="R1092" s="166"/>
      <c r="S1092" s="167" t="str">
        <f ca="1">Проект!$M$1881</f>
        <v>ИТОГО</v>
      </c>
    </row>
    <row r="1093" spans="1:19" ht="12" customHeight="1" thickTop="1" x14ac:dyDescent="0.2">
      <c r="A1093" s="48"/>
      <c r="B1093" s="48"/>
      <c r="C1093" s="48"/>
      <c r="D1093" s="48"/>
      <c r="E1093" s="48"/>
      <c r="F1093" s="48"/>
      <c r="G1093" s="48"/>
      <c r="H1093" s="48"/>
      <c r="I1093" s="48"/>
      <c r="J1093" s="48"/>
      <c r="K1093" s="48"/>
      <c r="L1093" s="48"/>
      <c r="M1093" s="48"/>
      <c r="N1093" s="48"/>
      <c r="O1093" s="48"/>
      <c r="P1093" s="48"/>
      <c r="Q1093" s="48"/>
      <c r="R1093" s="48"/>
      <c r="S1093" s="41"/>
    </row>
    <row r="1094" spans="1:19" ht="11.25" customHeight="1" x14ac:dyDescent="0.2">
      <c r="A1094" s="48" t="str">
        <f ca="1">Проект!$A$1883</f>
        <v>Выручка от реализации (без НДС)</v>
      </c>
      <c r="B1094" s="48"/>
      <c r="C1094" s="73" t="str">
        <f ca="1">Проект!$C$1883</f>
        <v>руб.</v>
      </c>
      <c r="D1094" s="48"/>
      <c r="E1094" s="48"/>
      <c r="F1094" s="106">
        <f>Проект!$F$1883</f>
        <v>36000000</v>
      </c>
      <c r="G1094" s="106">
        <f>Проект!$G$1883</f>
        <v>84000000</v>
      </c>
      <c r="H1094" s="106">
        <f>Проект!$H$1883</f>
        <v>120000000</v>
      </c>
      <c r="I1094" s="106">
        <f>Проект!$I$1883</f>
        <v>120000000</v>
      </c>
      <c r="J1094" s="106">
        <f>Проект!$J$1883</f>
        <v>120000000</v>
      </c>
      <c r="K1094" s="106" t="e">
        <f>Проект!#REF!</f>
        <v>#REF!</v>
      </c>
      <c r="L1094" s="106" t="e">
        <f>Проект!#REF!</f>
        <v>#REF!</v>
      </c>
      <c r="M1094" s="106" t="e">
        <f>Проект!#REF!</f>
        <v>#REF!</v>
      </c>
      <c r="N1094" s="106" t="e">
        <f>Проект!#REF!</f>
        <v>#REF!</v>
      </c>
      <c r="O1094" s="106" t="e">
        <f>Проект!#REF!</f>
        <v>#REF!</v>
      </c>
      <c r="P1094" s="106" t="e">
        <f>Проект!#REF!</f>
        <v>#REF!</v>
      </c>
      <c r="Q1094" s="106">
        <f>Проект!$K$1883</f>
        <v>120000000</v>
      </c>
      <c r="R1094" s="48"/>
      <c r="S1094" s="94">
        <f>Проект!$M$1883</f>
        <v>600000000</v>
      </c>
    </row>
    <row r="1095" spans="1:19" ht="11.25" customHeight="1" x14ac:dyDescent="0.2">
      <c r="A1095" s="48" t="str">
        <f ca="1">Проект!$A$1884</f>
        <v>Затраты на производство (без НДС)</v>
      </c>
      <c r="B1095" s="48"/>
      <c r="C1095" s="73" t="str">
        <f ca="1">Проект!$C$1884</f>
        <v>руб.</v>
      </c>
      <c r="D1095" s="48"/>
      <c r="E1095" s="48"/>
      <c r="F1095" s="106">
        <f ca="1">Проект!$F$1884</f>
        <v>20712500</v>
      </c>
      <c r="G1095" s="106">
        <f ca="1">Проект!$G$1884</f>
        <v>20872100</v>
      </c>
      <c r="H1095" s="106">
        <f ca="1">Проект!$H$1884</f>
        <v>21031700</v>
      </c>
      <c r="I1095" s="106">
        <f ca="1">Проект!$I$1884</f>
        <v>21151500</v>
      </c>
      <c r="J1095" s="106">
        <f ca="1">Проект!$J$1884</f>
        <v>21151500</v>
      </c>
      <c r="K1095" s="106" t="e">
        <f>Проект!#REF!</f>
        <v>#REF!</v>
      </c>
      <c r="L1095" s="106" t="e">
        <f>Проект!#REF!</f>
        <v>#REF!</v>
      </c>
      <c r="M1095" s="106" t="e">
        <f>Проект!#REF!</f>
        <v>#REF!</v>
      </c>
      <c r="N1095" s="106" t="e">
        <f>Проект!#REF!</f>
        <v>#REF!</v>
      </c>
      <c r="O1095" s="106" t="e">
        <f>Проект!#REF!</f>
        <v>#REF!</v>
      </c>
      <c r="P1095" s="106" t="e">
        <f>Проект!#REF!</f>
        <v>#REF!</v>
      </c>
      <c r="Q1095" s="106">
        <f ca="1">Проект!$K$1884</f>
        <v>21153833.333333336</v>
      </c>
      <c r="R1095" s="48"/>
      <c r="S1095" s="94">
        <f ca="1">Проект!$M$1884</f>
        <v>126073133.33333334</v>
      </c>
    </row>
    <row r="1096" spans="1:19" ht="11.25" customHeight="1" x14ac:dyDescent="0.2">
      <c r="A1096" s="48" t="str">
        <f ca="1">Проект!$A$1885</f>
        <v>Прибыль до налога, процентов и амортизации (EBITDA)</v>
      </c>
      <c r="B1096" s="48"/>
      <c r="C1096" s="73" t="str">
        <f ca="1">Проект!$C$1885</f>
        <v>руб.</v>
      </c>
      <c r="D1096" s="48"/>
      <c r="E1096" s="48"/>
      <c r="F1096" s="106">
        <f ca="1">Проект!$F$1885</f>
        <v>15287500</v>
      </c>
      <c r="G1096" s="106">
        <f ca="1">Проект!$G$1885</f>
        <v>63127900</v>
      </c>
      <c r="H1096" s="106">
        <f ca="1">Проект!$H$1885</f>
        <v>98968300</v>
      </c>
      <c r="I1096" s="106">
        <f ca="1">Проект!$I$1885</f>
        <v>98888500</v>
      </c>
      <c r="J1096" s="106">
        <f ca="1">Проект!$J$1885</f>
        <v>98888500</v>
      </c>
      <c r="K1096" s="106" t="e">
        <f>Проект!#REF!</f>
        <v>#REF!</v>
      </c>
      <c r="L1096" s="106" t="e">
        <f>Проект!#REF!</f>
        <v>#REF!</v>
      </c>
      <c r="M1096" s="106" t="e">
        <f>Проект!#REF!</f>
        <v>#REF!</v>
      </c>
      <c r="N1096" s="106" t="e">
        <f>Проект!#REF!</f>
        <v>#REF!</v>
      </c>
      <c r="O1096" s="106" t="e">
        <f>Проект!#REF!</f>
        <v>#REF!</v>
      </c>
      <c r="P1096" s="106" t="e">
        <f>Проект!#REF!</f>
        <v>#REF!</v>
      </c>
      <c r="Q1096" s="106">
        <f ca="1">Проект!$K$1885</f>
        <v>98888500</v>
      </c>
      <c r="R1096" s="48"/>
      <c r="S1096" s="94">
        <f ca="1">Проект!$M$1885</f>
        <v>474049200</v>
      </c>
    </row>
    <row r="1097" spans="1:19" ht="11.25" customHeight="1" x14ac:dyDescent="0.2">
      <c r="A1097" s="48" t="str">
        <f ca="1">Проект!$A$1886</f>
        <v>Прибыль до процентов и налога (EBIT)</v>
      </c>
      <c r="B1097" s="48"/>
      <c r="C1097" s="73" t="str">
        <f ca="1">Проект!$C$1886</f>
        <v>руб.</v>
      </c>
      <c r="D1097" s="48"/>
      <c r="E1097" s="48"/>
      <c r="F1097" s="106">
        <f ca="1">Проект!$F$1886</f>
        <v>15287500</v>
      </c>
      <c r="G1097" s="106">
        <f ca="1">Проект!$G$1886</f>
        <v>63127900</v>
      </c>
      <c r="H1097" s="106">
        <f ca="1">Проект!$H$1886</f>
        <v>98968300</v>
      </c>
      <c r="I1097" s="106">
        <f ca="1">Проект!$I$1886</f>
        <v>98868500</v>
      </c>
      <c r="J1097" s="106">
        <f ca="1">Проект!$J$1886</f>
        <v>98868500</v>
      </c>
      <c r="K1097" s="106" t="e">
        <f>Проект!#REF!</f>
        <v>#REF!</v>
      </c>
      <c r="L1097" s="106" t="e">
        <f>Проект!#REF!</f>
        <v>#REF!</v>
      </c>
      <c r="M1097" s="106" t="e">
        <f>Проект!#REF!</f>
        <v>#REF!</v>
      </c>
      <c r="N1097" s="106" t="e">
        <f>Проект!#REF!</f>
        <v>#REF!</v>
      </c>
      <c r="O1097" s="106" t="e">
        <f>Проект!#REF!</f>
        <v>#REF!</v>
      </c>
      <c r="P1097" s="106" t="e">
        <f>Проект!#REF!</f>
        <v>#REF!</v>
      </c>
      <c r="Q1097" s="106">
        <f ca="1">Проект!$K$1886</f>
        <v>98867333.333333328</v>
      </c>
      <c r="R1097" s="48"/>
      <c r="S1097" s="94">
        <f ca="1">Проект!$M$1886</f>
        <v>473988033.33333331</v>
      </c>
    </row>
    <row r="1098" spans="1:19" ht="11.25" customHeight="1" x14ac:dyDescent="0.2">
      <c r="A1098" s="48" t="str">
        <f ca="1">Проект!$A$1887</f>
        <v>Прибыль до налогообложения</v>
      </c>
      <c r="B1098" s="48"/>
      <c r="C1098" s="73" t="str">
        <f ca="1">Проект!$C$1887</f>
        <v>руб.</v>
      </c>
      <c r="D1098" s="48"/>
      <c r="E1098" s="48"/>
      <c r="F1098" s="106">
        <f ca="1">Проект!$F$1887</f>
        <v>15287500</v>
      </c>
      <c r="G1098" s="106">
        <f ca="1">Проект!$G$1887</f>
        <v>63127900</v>
      </c>
      <c r="H1098" s="106">
        <f ca="1">Проект!$H$1887</f>
        <v>98968300</v>
      </c>
      <c r="I1098" s="106">
        <f ca="1">Проект!$I$1887</f>
        <v>98868500</v>
      </c>
      <c r="J1098" s="106">
        <f ca="1">Проект!$J$1887</f>
        <v>98868500</v>
      </c>
      <c r="K1098" s="106" t="e">
        <f>Проект!#REF!</f>
        <v>#REF!</v>
      </c>
      <c r="L1098" s="106" t="e">
        <f>Проект!#REF!</f>
        <v>#REF!</v>
      </c>
      <c r="M1098" s="106" t="e">
        <f>Проект!#REF!</f>
        <v>#REF!</v>
      </c>
      <c r="N1098" s="106" t="e">
        <f>Проект!#REF!</f>
        <v>#REF!</v>
      </c>
      <c r="O1098" s="106" t="e">
        <f>Проект!#REF!</f>
        <v>#REF!</v>
      </c>
      <c r="P1098" s="106" t="e">
        <f>Проект!#REF!</f>
        <v>#REF!</v>
      </c>
      <c r="Q1098" s="106">
        <f ca="1">Проект!$K$1887</f>
        <v>98867333.333333328</v>
      </c>
      <c r="R1098" s="48"/>
      <c r="S1098" s="94">
        <f ca="1">Проект!$M$1887</f>
        <v>473988033.33333331</v>
      </c>
    </row>
    <row r="1099" spans="1:19" ht="11.25" customHeight="1" x14ac:dyDescent="0.2">
      <c r="A1099" s="48" t="str">
        <f ca="1">Проект!$A$1888</f>
        <v>Чистая прибыль (убыток)</v>
      </c>
      <c r="B1099" s="48"/>
      <c r="C1099" s="73" t="str">
        <f ca="1">Проект!$C$1888</f>
        <v>руб.</v>
      </c>
      <c r="D1099" s="48"/>
      <c r="E1099" s="48"/>
      <c r="F1099" s="106">
        <f ca="1">Проект!$F$1888</f>
        <v>13127500</v>
      </c>
      <c r="G1099" s="106">
        <f ca="1">Проект!$G$1888</f>
        <v>58087900</v>
      </c>
      <c r="H1099" s="106">
        <f ca="1">Проект!$H$1888</f>
        <v>91768300</v>
      </c>
      <c r="I1099" s="106">
        <f ca="1">Проект!$I$1888</f>
        <v>91668500</v>
      </c>
      <c r="J1099" s="106">
        <f ca="1">Проект!$J$1888</f>
        <v>91668500</v>
      </c>
      <c r="K1099" s="106" t="e">
        <f>Проект!#REF!</f>
        <v>#REF!</v>
      </c>
      <c r="L1099" s="106" t="e">
        <f>Проект!#REF!</f>
        <v>#REF!</v>
      </c>
      <c r="M1099" s="106" t="e">
        <f>Проект!#REF!</f>
        <v>#REF!</v>
      </c>
      <c r="N1099" s="106" t="e">
        <f>Проект!#REF!</f>
        <v>#REF!</v>
      </c>
      <c r="O1099" s="106" t="e">
        <f>Проект!#REF!</f>
        <v>#REF!</v>
      </c>
      <c r="P1099" s="106" t="e">
        <f>Проект!#REF!</f>
        <v>#REF!</v>
      </c>
      <c r="Q1099" s="106">
        <f ca="1">Проект!$K$1888</f>
        <v>91667333.333333328</v>
      </c>
      <c r="R1099" s="48"/>
      <c r="S1099" s="94">
        <f ca="1">Проект!$M$1888</f>
        <v>437988033.33333331</v>
      </c>
    </row>
    <row r="1100" spans="1:19" ht="11.25" customHeight="1" x14ac:dyDescent="0.2">
      <c r="A1100" s="48" t="str">
        <f ca="1">Проект!$A$1889</f>
        <v>Нераспределенная прибыль (за период)</v>
      </c>
      <c r="B1100" s="48"/>
      <c r="C1100" s="73" t="str">
        <f ca="1">Проект!$C$1889</f>
        <v>руб.</v>
      </c>
      <c r="D1100" s="48"/>
      <c r="E1100" s="48"/>
      <c r="F1100" s="106">
        <f ca="1">Проект!$F$1889</f>
        <v>13127500</v>
      </c>
      <c r="G1100" s="106">
        <f ca="1">Проект!$G$1889</f>
        <v>58087900</v>
      </c>
      <c r="H1100" s="106">
        <f ca="1">Проект!$H$1889</f>
        <v>91768300</v>
      </c>
      <c r="I1100" s="106">
        <f ca="1">Проект!$I$1889</f>
        <v>91668500</v>
      </c>
      <c r="J1100" s="106">
        <f ca="1">Проект!$J$1889</f>
        <v>91668500</v>
      </c>
      <c r="K1100" s="106" t="e">
        <f>Проект!#REF!</f>
        <v>#REF!</v>
      </c>
      <c r="L1100" s="106" t="e">
        <f>Проект!#REF!</f>
        <v>#REF!</v>
      </c>
      <c r="M1100" s="106" t="e">
        <f>Проект!#REF!</f>
        <v>#REF!</v>
      </c>
      <c r="N1100" s="106" t="e">
        <f>Проект!#REF!</f>
        <v>#REF!</v>
      </c>
      <c r="O1100" s="106" t="e">
        <f>Проект!#REF!</f>
        <v>#REF!</v>
      </c>
      <c r="P1100" s="106" t="e">
        <f>Проект!#REF!</f>
        <v>#REF!</v>
      </c>
      <c r="Q1100" s="106">
        <f ca="1">Проект!$K$1889</f>
        <v>91667333.333333328</v>
      </c>
      <c r="R1100" s="48"/>
      <c r="S1100" s="94">
        <f ca="1">Проект!$M$1889</f>
        <v>437988033.33333331</v>
      </c>
    </row>
    <row r="1101" spans="1:19" ht="11.25" customHeight="1" x14ac:dyDescent="0.2">
      <c r="A1101" s="76"/>
      <c r="B1101" s="76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  <c r="S1101" s="359"/>
    </row>
    <row r="1102" spans="1:19" ht="11.25" customHeight="1" x14ac:dyDescent="0.2">
      <c r="A1102" s="45" t="str">
        <f ca="1">Проект!$A$1891</f>
        <v>Инвестции во внеоборотные активы</v>
      </c>
      <c r="B1102" s="45"/>
      <c r="C1102" s="100" t="str">
        <f ca="1">Проект!$C$1891</f>
        <v>руб.</v>
      </c>
      <c r="D1102" s="45"/>
      <c r="E1102" s="45"/>
      <c r="F1102" s="102">
        <f>Проект!$F$1891</f>
        <v>-540000</v>
      </c>
      <c r="G1102" s="102">
        <f>Проект!$G$1891</f>
        <v>-40000</v>
      </c>
      <c r="H1102" s="102">
        <f>Проект!$H$1891</f>
        <v>-50000</v>
      </c>
      <c r="I1102" s="102">
        <f>Проект!$I$1891</f>
        <v>-750000</v>
      </c>
      <c r="J1102" s="102">
        <f>Проект!$J$1891</f>
        <v>-50000</v>
      </c>
      <c r="K1102" s="102" t="e">
        <f>Проект!#REF!</f>
        <v>#REF!</v>
      </c>
      <c r="L1102" s="102" t="e">
        <f>Проект!#REF!</f>
        <v>#REF!</v>
      </c>
      <c r="M1102" s="102" t="e">
        <f>Проект!#REF!</f>
        <v>#REF!</v>
      </c>
      <c r="N1102" s="102" t="e">
        <f>Проект!#REF!</f>
        <v>#REF!</v>
      </c>
      <c r="O1102" s="102" t="e">
        <f>Проект!#REF!</f>
        <v>#REF!</v>
      </c>
      <c r="P1102" s="102" t="e">
        <f>Проект!#REF!</f>
        <v>#REF!</v>
      </c>
      <c r="Q1102" s="102">
        <f>Проект!$K$1891</f>
        <v>-50000</v>
      </c>
      <c r="R1102" s="45"/>
      <c r="S1102" s="104">
        <f>Проект!$M$1891</f>
        <v>-1480000</v>
      </c>
    </row>
    <row r="1103" spans="1:19" ht="11.25" customHeight="1" x14ac:dyDescent="0.2">
      <c r="A1103" s="45" t="str">
        <f ca="1">Проект!$A$1892</f>
        <v>Инвестиции в оборотный капитал</v>
      </c>
      <c r="B1103" s="45"/>
      <c r="C1103" s="100" t="str">
        <f ca="1">Проект!$C$1892</f>
        <v>руб.</v>
      </c>
      <c r="D1103" s="45"/>
      <c r="E1103" s="45"/>
      <c r="F1103" s="102">
        <f ca="1">Проект!$F$1892</f>
        <v>2534583.333333333</v>
      </c>
      <c r="G1103" s="102">
        <f ca="1">Проект!$G$1892</f>
        <v>8801560</v>
      </c>
      <c r="H1103" s="102">
        <f ca="1">Проект!$H$1892</f>
        <v>6641560</v>
      </c>
      <c r="I1103" s="102">
        <f ca="1">Проект!$I$1892</f>
        <v>80780</v>
      </c>
      <c r="J1103" s="102">
        <f ca="1">Проект!$J$1892</f>
        <v>0</v>
      </c>
      <c r="K1103" s="102" t="e">
        <f>Проект!#REF!</f>
        <v>#REF!</v>
      </c>
      <c r="L1103" s="102" t="e">
        <f>Проект!#REF!</f>
        <v>#REF!</v>
      </c>
      <c r="M1103" s="102" t="e">
        <f>Проект!#REF!</f>
        <v>#REF!</v>
      </c>
      <c r="N1103" s="102" t="e">
        <f>Проект!#REF!</f>
        <v>#REF!</v>
      </c>
      <c r="O1103" s="102" t="e">
        <f>Проект!#REF!</f>
        <v>#REF!</v>
      </c>
      <c r="P1103" s="102" t="e">
        <f>Проект!#REF!</f>
        <v>#REF!</v>
      </c>
      <c r="Q1103" s="102">
        <f ca="1">Проект!$K$1892</f>
        <v>0</v>
      </c>
      <c r="R1103" s="45"/>
      <c r="S1103" s="104">
        <f ca="1">Проект!$M$1892</f>
        <v>18058483.333333332</v>
      </c>
    </row>
    <row r="1104" spans="1:19" ht="11.25" customHeight="1" x14ac:dyDescent="0.2">
      <c r="A1104" s="76"/>
      <c r="B1104" s="76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  <c r="R1104" s="76"/>
      <c r="S1104" s="359"/>
    </row>
    <row r="1105" spans="1:19" ht="11.25" customHeight="1" x14ac:dyDescent="0.2">
      <c r="A1105" s="45" t="str">
        <f ca="1">Проект!$A$1894</f>
        <v>Собственные средства и целевое финансирование</v>
      </c>
      <c r="B1105" s="45"/>
      <c r="C1105" s="100" t="str">
        <f ca="1">Проект!$C$1894</f>
        <v>руб.</v>
      </c>
      <c r="D1105" s="45"/>
      <c r="E1105" s="45"/>
      <c r="F1105" s="102">
        <f>Проект!$F$1894</f>
        <v>0</v>
      </c>
      <c r="G1105" s="102">
        <f>Проект!$G$1894</f>
        <v>0</v>
      </c>
      <c r="H1105" s="102">
        <f>Проект!$H$1894</f>
        <v>0</v>
      </c>
      <c r="I1105" s="102">
        <f>Проект!$I$1894</f>
        <v>0</v>
      </c>
      <c r="J1105" s="102">
        <f>Проект!$J$1894</f>
        <v>0</v>
      </c>
      <c r="K1105" s="102" t="e">
        <f>Проект!#REF!</f>
        <v>#REF!</v>
      </c>
      <c r="L1105" s="102" t="e">
        <f>Проект!#REF!</f>
        <v>#REF!</v>
      </c>
      <c r="M1105" s="102" t="e">
        <f>Проект!#REF!</f>
        <v>#REF!</v>
      </c>
      <c r="N1105" s="102" t="e">
        <f>Проект!#REF!</f>
        <v>#REF!</v>
      </c>
      <c r="O1105" s="102" t="e">
        <f>Проект!#REF!</f>
        <v>#REF!</v>
      </c>
      <c r="P1105" s="102" t="e">
        <f>Проект!#REF!</f>
        <v>#REF!</v>
      </c>
      <c r="Q1105" s="102">
        <f>Проект!$K$1894</f>
        <v>0</v>
      </c>
      <c r="R1105" s="45"/>
      <c r="S1105" s="104">
        <f>Проект!$M$1894</f>
        <v>0</v>
      </c>
    </row>
    <row r="1106" spans="1:19" ht="11.25" customHeight="1" x14ac:dyDescent="0.2">
      <c r="A1106" s="48"/>
      <c r="B1106" s="48"/>
      <c r="C1106" s="48"/>
      <c r="D1106" s="48"/>
      <c r="E1106" s="48"/>
      <c r="F1106" s="48"/>
      <c r="G1106" s="48"/>
      <c r="H1106" s="48"/>
      <c r="I1106" s="48"/>
      <c r="J1106" s="48"/>
      <c r="K1106" s="48"/>
      <c r="L1106" s="48"/>
      <c r="M1106" s="48"/>
      <c r="N1106" s="48"/>
      <c r="O1106" s="48"/>
      <c r="P1106" s="48"/>
      <c r="Q1106" s="48"/>
      <c r="R1106" s="48"/>
      <c r="S1106" s="41"/>
    </row>
    <row r="1107" spans="1:19" ht="11.25" customHeight="1" x14ac:dyDescent="0.2">
      <c r="A1107" s="48" t="str">
        <f ca="1">Проект!$A$1896</f>
        <v>Привлечение кредитов</v>
      </c>
      <c r="B1107" s="48"/>
      <c r="C1107" s="73" t="str">
        <f ca="1">Проект!$C$1896</f>
        <v>руб.</v>
      </c>
      <c r="D1107" s="48"/>
      <c r="E1107" s="48"/>
      <c r="F1107" s="106">
        <f>Проект!$F$1896</f>
        <v>0</v>
      </c>
      <c r="G1107" s="106">
        <f>Проект!$G$1896</f>
        <v>0</v>
      </c>
      <c r="H1107" s="106">
        <f>Проект!$H$1896</f>
        <v>0</v>
      </c>
      <c r="I1107" s="106">
        <f>Проект!$I$1896</f>
        <v>0</v>
      </c>
      <c r="J1107" s="106">
        <f>Проект!$J$1896</f>
        <v>0</v>
      </c>
      <c r="K1107" s="106" t="e">
        <f>Проект!#REF!</f>
        <v>#REF!</v>
      </c>
      <c r="L1107" s="106" t="e">
        <f>Проект!#REF!</f>
        <v>#REF!</v>
      </c>
      <c r="M1107" s="106" t="e">
        <f>Проект!#REF!</f>
        <v>#REF!</v>
      </c>
      <c r="N1107" s="106" t="e">
        <f>Проект!#REF!</f>
        <v>#REF!</v>
      </c>
      <c r="O1107" s="106" t="e">
        <f>Проект!#REF!</f>
        <v>#REF!</v>
      </c>
      <c r="P1107" s="106" t="e">
        <f>Проект!#REF!</f>
        <v>#REF!</v>
      </c>
      <c r="Q1107" s="106">
        <f>Проект!$K$1896</f>
        <v>0</v>
      </c>
      <c r="R1107" s="48"/>
      <c r="S1107" s="94">
        <f>Проект!$M$1896</f>
        <v>0</v>
      </c>
    </row>
    <row r="1108" spans="1:19" ht="11.25" customHeight="1" x14ac:dyDescent="0.2">
      <c r="A1108" s="48" t="str">
        <f ca="1">Проект!$A$1897</f>
        <v>Погашение кредитов</v>
      </c>
      <c r="B1108" s="48"/>
      <c r="C1108" s="73" t="str">
        <f ca="1">Проект!$C$1897</f>
        <v>руб.</v>
      </c>
      <c r="D1108" s="48"/>
      <c r="E1108" s="48"/>
      <c r="F1108" s="106">
        <f>Проект!$F$1897</f>
        <v>0</v>
      </c>
      <c r="G1108" s="106">
        <f>Проект!$G$1897</f>
        <v>0</v>
      </c>
      <c r="H1108" s="106">
        <f>Проект!$H$1897</f>
        <v>0</v>
      </c>
      <c r="I1108" s="106">
        <f>Проект!$I$1897</f>
        <v>0</v>
      </c>
      <c r="J1108" s="106">
        <f>Проект!$J$1897</f>
        <v>0</v>
      </c>
      <c r="K1108" s="106" t="e">
        <f>Проект!#REF!</f>
        <v>#REF!</v>
      </c>
      <c r="L1108" s="106" t="e">
        <f>Проект!#REF!</f>
        <v>#REF!</v>
      </c>
      <c r="M1108" s="106" t="e">
        <f>Проект!#REF!</f>
        <v>#REF!</v>
      </c>
      <c r="N1108" s="106" t="e">
        <f>Проект!#REF!</f>
        <v>#REF!</v>
      </c>
      <c r="O1108" s="106" t="e">
        <f>Проект!#REF!</f>
        <v>#REF!</v>
      </c>
      <c r="P1108" s="106" t="e">
        <f>Проект!#REF!</f>
        <v>#REF!</v>
      </c>
      <c r="Q1108" s="106">
        <f>Проект!$K$1897</f>
        <v>0</v>
      </c>
      <c r="R1108" s="48"/>
      <c r="S1108" s="94">
        <f>Проект!$M$1897</f>
        <v>0</v>
      </c>
    </row>
    <row r="1109" spans="1:19" ht="11.25" customHeight="1" x14ac:dyDescent="0.2">
      <c r="A1109" s="48" t="str">
        <f ca="1">Проект!$A$1898</f>
        <v>Выплата процентов по кредитам</v>
      </c>
      <c r="B1109" s="48"/>
      <c r="C1109" s="73" t="str">
        <f ca="1">Проект!$C$1898</f>
        <v>руб.</v>
      </c>
      <c r="D1109" s="48"/>
      <c r="E1109" s="48"/>
      <c r="F1109" s="106">
        <f>Проект!$F$1898</f>
        <v>0</v>
      </c>
      <c r="G1109" s="106">
        <f>Проект!$G$1898</f>
        <v>0</v>
      </c>
      <c r="H1109" s="106">
        <f>Проект!$H$1898</f>
        <v>0</v>
      </c>
      <c r="I1109" s="106">
        <f>Проект!$I$1898</f>
        <v>0</v>
      </c>
      <c r="J1109" s="106">
        <f>Проект!$J$1898</f>
        <v>0</v>
      </c>
      <c r="K1109" s="106" t="e">
        <f>Проект!#REF!</f>
        <v>#REF!</v>
      </c>
      <c r="L1109" s="106" t="e">
        <f>Проект!#REF!</f>
        <v>#REF!</v>
      </c>
      <c r="M1109" s="106" t="e">
        <f>Проект!#REF!</f>
        <v>#REF!</v>
      </c>
      <c r="N1109" s="106" t="e">
        <f>Проект!#REF!</f>
        <v>#REF!</v>
      </c>
      <c r="O1109" s="106" t="e">
        <f>Проект!#REF!</f>
        <v>#REF!</v>
      </c>
      <c r="P1109" s="106" t="e">
        <f>Проект!#REF!</f>
        <v>#REF!</v>
      </c>
      <c r="Q1109" s="106">
        <f>Проект!$K$1898</f>
        <v>0</v>
      </c>
      <c r="R1109" s="48"/>
      <c r="S1109" s="94">
        <f>Проект!$M$1898</f>
        <v>0</v>
      </c>
    </row>
    <row r="1110" spans="1:19" ht="11.25" customHeight="1" x14ac:dyDescent="0.2">
      <c r="A1110" s="76"/>
      <c r="B1110" s="76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76"/>
      <c r="P1110" s="76"/>
      <c r="Q1110" s="76"/>
      <c r="R1110" s="76"/>
      <c r="S1110" s="359"/>
    </row>
    <row r="1111" spans="1:19" ht="11.25" customHeight="1" x14ac:dyDescent="0.2">
      <c r="A1111" s="52" t="str">
        <f ca="1">Проект!$A$1900</f>
        <v>Суммарный денежный поток за период</v>
      </c>
      <c r="B1111" s="45"/>
      <c r="C1111" s="73" t="str">
        <f ca="1">Проект!$C$1900</f>
        <v>руб.</v>
      </c>
      <c r="D1111" s="45"/>
      <c r="E1111" s="45"/>
      <c r="F1111" s="102">
        <f ca="1">Проект!$F$1900</f>
        <v>15122083.333333332</v>
      </c>
      <c r="G1111" s="102">
        <f ca="1">Проект!$G$1900</f>
        <v>66849460</v>
      </c>
      <c r="H1111" s="102">
        <f ca="1">Проект!$H$1900</f>
        <v>98359860</v>
      </c>
      <c r="I1111" s="102">
        <f ca="1">Проект!$I$1900</f>
        <v>91019280</v>
      </c>
      <c r="J1111" s="102">
        <f ca="1">Проект!$J$1900</f>
        <v>91638500</v>
      </c>
      <c r="K1111" s="102" t="e">
        <f>Проект!#REF!</f>
        <v>#REF!</v>
      </c>
      <c r="L1111" s="102" t="e">
        <f>Проект!#REF!</f>
        <v>#REF!</v>
      </c>
      <c r="M1111" s="102" t="e">
        <f>Проект!#REF!</f>
        <v>#REF!</v>
      </c>
      <c r="N1111" s="102" t="e">
        <f>Проект!#REF!</f>
        <v>#REF!</v>
      </c>
      <c r="O1111" s="102" t="e">
        <f>Проект!#REF!</f>
        <v>#REF!</v>
      </c>
      <c r="P1111" s="102" t="e">
        <f>Проект!#REF!</f>
        <v>#REF!</v>
      </c>
      <c r="Q1111" s="102">
        <f ca="1">Проект!$K$1900</f>
        <v>91638500</v>
      </c>
      <c r="R1111" s="45"/>
      <c r="S1111" s="104">
        <f ca="1">Проект!$M$1900</f>
        <v>454627683.33333331</v>
      </c>
    </row>
    <row r="1112" spans="1:19" ht="11.25" customHeight="1" x14ac:dyDescent="0.2">
      <c r="A1112" s="52" t="str">
        <f ca="1">Проект!$A$1901</f>
        <v>Денежные средства на начало периода</v>
      </c>
      <c r="B1112" s="45"/>
      <c r="C1112" s="73" t="str">
        <f ca="1">Проект!$C$1901</f>
        <v>руб.</v>
      </c>
      <c r="D1112" s="45"/>
      <c r="E1112" s="45"/>
      <c r="F1112" s="102">
        <f>Проект!$F$1901</f>
        <v>0</v>
      </c>
      <c r="G1112" s="102">
        <f ca="1">Проект!$G$1901</f>
        <v>15122083.333333332</v>
      </c>
      <c r="H1112" s="102">
        <f ca="1">Проект!$H$1901</f>
        <v>81971543.333333328</v>
      </c>
      <c r="I1112" s="102">
        <f ca="1">Проект!$I$1901</f>
        <v>180331403.33333331</v>
      </c>
      <c r="J1112" s="102">
        <f ca="1">Проект!$J$1901</f>
        <v>271350683.33333331</v>
      </c>
      <c r="K1112" s="102" t="e">
        <f>Проект!#REF!</f>
        <v>#REF!</v>
      </c>
      <c r="L1112" s="102" t="e">
        <f>Проект!#REF!</f>
        <v>#REF!</v>
      </c>
      <c r="M1112" s="102" t="e">
        <f>Проект!#REF!</f>
        <v>#REF!</v>
      </c>
      <c r="N1112" s="102" t="e">
        <f>Проект!#REF!</f>
        <v>#REF!</v>
      </c>
      <c r="O1112" s="102" t="e">
        <f>Проект!#REF!</f>
        <v>#REF!</v>
      </c>
      <c r="P1112" s="102" t="e">
        <f>Проект!#REF!</f>
        <v>#REF!</v>
      </c>
      <c r="Q1112" s="102">
        <f ca="1">Проект!$K$1901</f>
        <v>362989183.33333331</v>
      </c>
      <c r="R1112" s="45"/>
      <c r="S1112" s="77"/>
    </row>
    <row r="1113" spans="1:19" ht="11.25" customHeight="1" x14ac:dyDescent="0.2">
      <c r="A1113" s="52" t="str">
        <f ca="1">Проект!$A$1902</f>
        <v>Денежные средства на конец периода</v>
      </c>
      <c r="B1113" s="45"/>
      <c r="C1113" s="73" t="str">
        <f ca="1">Проект!$C$1902</f>
        <v>руб.</v>
      </c>
      <c r="D1113" s="45"/>
      <c r="E1113" s="45"/>
      <c r="F1113" s="102">
        <f ca="1">Проект!$F$1902</f>
        <v>15122083.333333332</v>
      </c>
      <c r="G1113" s="102">
        <f ca="1">Проект!$G$1902</f>
        <v>81971543.333333328</v>
      </c>
      <c r="H1113" s="102">
        <f ca="1">Проект!$H$1902</f>
        <v>180331403.33333331</v>
      </c>
      <c r="I1113" s="102">
        <f ca="1">Проект!$I$1902</f>
        <v>271350683.33333331</v>
      </c>
      <c r="J1113" s="102">
        <f ca="1">Проект!$J$1902</f>
        <v>362989183.33333331</v>
      </c>
      <c r="K1113" s="102" t="e">
        <f>Проект!#REF!</f>
        <v>#REF!</v>
      </c>
      <c r="L1113" s="102" t="e">
        <f>Проект!#REF!</f>
        <v>#REF!</v>
      </c>
      <c r="M1113" s="102" t="e">
        <f>Проект!#REF!</f>
        <v>#REF!</v>
      </c>
      <c r="N1113" s="102" t="e">
        <f>Проект!#REF!</f>
        <v>#REF!</v>
      </c>
      <c r="O1113" s="102" t="e">
        <f>Проект!#REF!</f>
        <v>#REF!</v>
      </c>
      <c r="P1113" s="102" t="e">
        <f>Проект!#REF!</f>
        <v>#REF!</v>
      </c>
      <c r="Q1113" s="102">
        <f ca="1">Проект!$K$1902</f>
        <v>454627683.33333331</v>
      </c>
      <c r="R1113" s="45"/>
      <c r="S1113" s="77"/>
    </row>
    <row r="1114" spans="1:19" ht="11.25" customHeight="1" x14ac:dyDescent="0.2">
      <c r="A1114" s="76"/>
      <c r="B1114" s="76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76"/>
      <c r="P1114" s="76"/>
      <c r="Q1114" s="76"/>
      <c r="R1114" s="76"/>
      <c r="S1114" s="359"/>
    </row>
    <row r="1115" spans="1:19" ht="11.25" customHeight="1" x14ac:dyDescent="0.2">
      <c r="A1115" s="125" t="str">
        <f ca="1">Проект!$A$1904</f>
        <v>Эффективность полных инвестиционных затрат</v>
      </c>
      <c r="B1115" s="45"/>
      <c r="C1115" s="45"/>
      <c r="D1115" s="45"/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77"/>
    </row>
    <row r="1116" spans="1:19" ht="11.25" customHeight="1" x14ac:dyDescent="0.2">
      <c r="A1116" s="128" t="str">
        <f ca="1">Проект!$A$1905</f>
        <v>Чистая приведенная стоимость (NPV)</v>
      </c>
      <c r="B1116" s="400">
        <f ca="1">Проект!$B$1905</f>
        <v>417103761.39956957</v>
      </c>
      <c r="C1116" s="100" t="str">
        <f ca="1">Проект!$C$1905</f>
        <v>руб.</v>
      </c>
      <c r="D1116" s="45"/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77"/>
    </row>
    <row r="1117" spans="1:19" ht="11.25" customHeight="1" x14ac:dyDescent="0.2">
      <c r="A1117" s="128" t="str">
        <f ca="1">Проект!$A$1906</f>
        <v>Дисконтированный срок окупаемости (PBP)</v>
      </c>
      <c r="B1117" s="401" t="str">
        <f ca="1">Проект!$B$1906</f>
        <v>Нет</v>
      </c>
      <c r="C1117" s="100" t="str">
        <f ca="1">Проект!$C$1906</f>
        <v>лет</v>
      </c>
      <c r="D1117" s="45"/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77"/>
    </row>
    <row r="1118" spans="1:19" ht="11.25" customHeight="1" x14ac:dyDescent="0.2">
      <c r="A1118" s="52" t="str">
        <f ca="1">Проект!$A$1907</f>
        <v>Внутренняя норма рентабельности (IRR)</v>
      </c>
      <c r="B1118" s="44" t="str">
        <f ca="1">Проект!$B$1907</f>
        <v>Нет</v>
      </c>
      <c r="C1118" s="330" t="str">
        <f ca="1">Проект!$C$1907</f>
        <v>(реальная - без учета инфляции)</v>
      </c>
      <c r="D1118" s="48"/>
      <c r="E1118" s="48"/>
      <c r="F1118" s="48"/>
      <c r="G1118" s="48"/>
      <c r="H1118" s="48"/>
      <c r="I1118" s="48"/>
      <c r="J1118" s="48"/>
      <c r="K1118" s="48"/>
      <c r="L1118" s="48"/>
      <c r="M1118" s="48"/>
      <c r="N1118" s="48"/>
      <c r="O1118" s="48"/>
      <c r="P1118" s="48"/>
      <c r="Q1118" s="48"/>
      <c r="R1118" s="48"/>
      <c r="S1118" s="41"/>
    </row>
    <row r="1119" spans="1:19" ht="11.25" customHeight="1" x14ac:dyDescent="0.2">
      <c r="A1119" s="52" t="str">
        <f ca="1">Проект!$A$1908</f>
        <v>Норма доходности дисконтированных затрат (PI)</v>
      </c>
      <c r="B1119" s="135" t="str">
        <f ca="1">Проект!$B$1908</f>
        <v>Нет</v>
      </c>
      <c r="C1119" s="73" t="str">
        <f>Проект!$C$1908</f>
        <v>%</v>
      </c>
      <c r="D1119" s="48"/>
      <c r="E1119" s="48"/>
      <c r="F1119" s="48"/>
      <c r="G1119" s="48"/>
      <c r="H1119" s="48"/>
      <c r="I1119" s="48"/>
      <c r="J1119" s="48"/>
      <c r="K1119" s="48"/>
      <c r="L1119" s="48"/>
      <c r="M1119" s="48"/>
      <c r="N1119" s="48"/>
      <c r="O1119" s="48"/>
      <c r="P1119" s="48"/>
      <c r="Q1119" s="48"/>
      <c r="R1119" s="48"/>
      <c r="S1119" s="41"/>
    </row>
    <row r="1120" spans="1:19" ht="11.25" customHeight="1" x14ac:dyDescent="0.2">
      <c r="A1120" s="48"/>
      <c r="B1120" s="48"/>
      <c r="C1120" s="48"/>
      <c r="D1120" s="48"/>
      <c r="E1120" s="48"/>
      <c r="F1120" s="48"/>
      <c r="G1120" s="48"/>
      <c r="H1120" s="48"/>
      <c r="I1120" s="48"/>
      <c r="J1120" s="48"/>
      <c r="K1120" s="48"/>
      <c r="L1120" s="48"/>
      <c r="M1120" s="48"/>
      <c r="N1120" s="48"/>
      <c r="O1120" s="48"/>
      <c r="P1120" s="48"/>
      <c r="Q1120" s="48"/>
      <c r="R1120" s="48"/>
      <c r="S1120" s="41"/>
    </row>
    <row r="1121" spans="1:19" ht="11.25" customHeight="1" x14ac:dyDescent="0.2">
      <c r="A1121" s="130" t="str">
        <f ca="1">Проект!$A$1910</f>
        <v>Эффективность для собственного капитала</v>
      </c>
      <c r="B1121" s="48"/>
      <c r="C1121" s="48"/>
      <c r="D1121" s="48"/>
      <c r="E1121" s="48"/>
      <c r="F1121" s="48"/>
      <c r="G1121" s="48"/>
      <c r="H1121" s="48"/>
      <c r="I1121" s="48"/>
      <c r="J1121" s="48"/>
      <c r="K1121" s="48"/>
      <c r="L1121" s="48"/>
      <c r="M1121" s="48"/>
      <c r="N1121" s="48"/>
      <c r="O1121" s="48"/>
      <c r="P1121" s="48"/>
      <c r="Q1121" s="48"/>
      <c r="R1121" s="48"/>
      <c r="S1121" s="41"/>
    </row>
    <row r="1122" spans="1:19" ht="11.25" customHeight="1" x14ac:dyDescent="0.2">
      <c r="A1122" s="128" t="str">
        <f ca="1">Проект!$A$1911</f>
        <v>Чистая приведенная стоимость (NPV)</v>
      </c>
      <c r="B1122" s="25">
        <f ca="1">Проект!$B$1911</f>
        <v>417103761.39956957</v>
      </c>
      <c r="C1122" s="73" t="str">
        <f ca="1">Проект!$C$1911</f>
        <v>руб.</v>
      </c>
      <c r="D1122" s="48"/>
      <c r="E1122" s="48"/>
      <c r="F1122" s="48"/>
      <c r="G1122" s="48"/>
      <c r="H1122" s="48"/>
      <c r="I1122" s="48"/>
      <c r="J1122" s="48"/>
      <c r="K1122" s="48"/>
      <c r="L1122" s="48"/>
      <c r="M1122" s="48"/>
      <c r="N1122" s="48"/>
      <c r="O1122" s="48"/>
      <c r="P1122" s="48"/>
      <c r="Q1122" s="48"/>
      <c r="R1122" s="48"/>
      <c r="S1122" s="41"/>
    </row>
    <row r="1123" spans="1:19" ht="11.25" customHeight="1" x14ac:dyDescent="0.2">
      <c r="A1123" s="128" t="str">
        <f ca="1">Проект!$A$1912</f>
        <v>Дисконтированный срок окупаемости (PBP)</v>
      </c>
      <c r="B1123" s="390" t="str">
        <f ca="1">Проект!$B$1912</f>
        <v>Нет</v>
      </c>
      <c r="C1123" s="73" t="str">
        <f ca="1">Проект!$C$1912</f>
        <v>лет</v>
      </c>
      <c r="D1123" s="48"/>
      <c r="E1123" s="48"/>
      <c r="F1123" s="48"/>
      <c r="G1123" s="48"/>
      <c r="H1123" s="48"/>
      <c r="I1123" s="48"/>
      <c r="J1123" s="48"/>
      <c r="K1123" s="48"/>
      <c r="L1123" s="48"/>
      <c r="M1123" s="48"/>
      <c r="N1123" s="48"/>
      <c r="O1123" s="48"/>
      <c r="P1123" s="48"/>
      <c r="Q1123" s="48"/>
      <c r="R1123" s="48"/>
      <c r="S1123" s="41"/>
    </row>
    <row r="1124" spans="1:19" ht="11.25" customHeight="1" x14ac:dyDescent="0.2">
      <c r="A1124" s="52" t="str">
        <f ca="1">Проект!$A$1913</f>
        <v>Внутренняя норма рентабельности (IRR)</v>
      </c>
      <c r="B1124" s="44" t="str">
        <f ca="1">Проект!$B$1913</f>
        <v>Нет</v>
      </c>
      <c r="C1124" s="330" t="str">
        <f ca="1">Проект!$C$1913</f>
        <v>(реальная - без учета инфляции)</v>
      </c>
      <c r="D1124" s="48"/>
      <c r="E1124" s="48"/>
      <c r="F1124" s="48"/>
      <c r="G1124" s="48"/>
      <c r="H1124" s="48"/>
      <c r="I1124" s="48"/>
      <c r="J1124" s="48"/>
      <c r="K1124" s="48"/>
      <c r="L1124" s="48"/>
      <c r="M1124" s="48"/>
      <c r="N1124" s="48"/>
      <c r="O1124" s="48"/>
      <c r="P1124" s="48"/>
      <c r="Q1124" s="48"/>
      <c r="R1124" s="48"/>
      <c r="S1124" s="41"/>
    </row>
    <row r="1125" spans="1:19" ht="11.25" customHeight="1" x14ac:dyDescent="0.2">
      <c r="A1125" s="52" t="str">
        <f ca="1">Проект!$A$1914</f>
        <v>Норма доходности дисконтированных затрат (PI)</v>
      </c>
      <c r="B1125" s="135" t="str">
        <f ca="1">Проект!$B$1914</f>
        <v>Нет</v>
      </c>
      <c r="C1125" s="73" t="str">
        <f ca="1">Проект!$C$1914</f>
        <v>разы</v>
      </c>
      <c r="D1125" s="48"/>
      <c r="E1125" s="48"/>
      <c r="F1125" s="48"/>
      <c r="G1125" s="48"/>
      <c r="H1125" s="48"/>
      <c r="I1125" s="48"/>
      <c r="J1125" s="48"/>
      <c r="K1125" s="48"/>
      <c r="L1125" s="48"/>
      <c r="M1125" s="48"/>
      <c r="N1125" s="48"/>
      <c r="O1125" s="48"/>
      <c r="P1125" s="48"/>
      <c r="Q1125" s="48"/>
      <c r="R1125" s="48"/>
      <c r="S1125" s="41"/>
    </row>
    <row r="1126" spans="1:19" ht="11.25" customHeight="1" x14ac:dyDescent="0.2">
      <c r="A1126" s="48"/>
      <c r="B1126" s="48"/>
      <c r="C1126" s="48"/>
      <c r="D1126" s="48"/>
      <c r="E1126" s="48"/>
      <c r="F1126" s="48"/>
      <c r="G1126" s="48"/>
      <c r="H1126" s="48"/>
      <c r="I1126" s="48"/>
      <c r="J1126" s="48"/>
      <c r="K1126" s="48"/>
      <c r="L1126" s="48"/>
      <c r="M1126" s="48"/>
      <c r="N1126" s="48"/>
      <c r="O1126" s="48"/>
      <c r="P1126" s="48"/>
      <c r="Q1126" s="48"/>
      <c r="R1126" s="48"/>
      <c r="S1126" s="41"/>
    </row>
    <row r="1127" spans="1:19" ht="11.25" customHeight="1" x14ac:dyDescent="0.2">
      <c r="A1127" s="130" t="str">
        <f ca="1">Проект!$A$1916</f>
        <v>Эффективность для банка</v>
      </c>
      <c r="B1127" s="48"/>
      <c r="C1127" s="48"/>
      <c r="D1127" s="48"/>
      <c r="E1127" s="48"/>
      <c r="F1127" s="48"/>
      <c r="G1127" s="48"/>
      <c r="H1127" s="48"/>
      <c r="I1127" s="48"/>
      <c r="J1127" s="48"/>
      <c r="K1127" s="48"/>
      <c r="L1127" s="48"/>
      <c r="M1127" s="48"/>
      <c r="N1127" s="48"/>
      <c r="O1127" s="48"/>
      <c r="P1127" s="48"/>
      <c r="Q1127" s="48"/>
      <c r="R1127" s="48"/>
      <c r="S1127" s="41"/>
    </row>
    <row r="1128" spans="1:19" ht="11.25" customHeight="1" x14ac:dyDescent="0.2">
      <c r="A1128" s="128" t="str">
        <f ca="1">Проект!$A$1917</f>
        <v>Дисконтированный срок окупаемости (PBP)</v>
      </c>
      <c r="B1128" s="390" t="str">
        <f ca="1">Проект!$B$1917</f>
        <v>Нет</v>
      </c>
      <c r="C1128" s="73" t="str">
        <f ca="1">Проект!$C$1917</f>
        <v>лет</v>
      </c>
      <c r="D1128" s="48"/>
      <c r="E1128" s="48"/>
      <c r="F1128" s="48"/>
      <c r="G1128" s="48"/>
      <c r="H1128" s="48"/>
      <c r="I1128" s="48"/>
      <c r="J1128" s="48"/>
      <c r="K1128" s="48"/>
      <c r="L1128" s="48"/>
      <c r="M1128" s="48"/>
      <c r="N1128" s="48"/>
      <c r="O1128" s="48"/>
      <c r="P1128" s="48"/>
      <c r="Q1128" s="48"/>
      <c r="R1128" s="48"/>
      <c r="S1128" s="41"/>
    </row>
    <row r="1129" spans="1:19" ht="11.25" customHeight="1" x14ac:dyDescent="0.2">
      <c r="A1129" s="52" t="str">
        <f ca="1">Проект!$A$1918</f>
        <v>Внутренняя норма рентабельности (IRR)</v>
      </c>
      <c r="B1129" s="44" t="str">
        <f ca="1">Проект!$B$1918</f>
        <v>Нет</v>
      </c>
      <c r="C1129" s="330" t="str">
        <f ca="1">Проект!$C$1918</f>
        <v>(реальная - без учета инфляции)</v>
      </c>
      <c r="D1129" s="48"/>
      <c r="E1129" s="48"/>
      <c r="F1129" s="48"/>
      <c r="G1129" s="48"/>
      <c r="H1129" s="48"/>
      <c r="I1129" s="48"/>
      <c r="J1129" s="48"/>
      <c r="K1129" s="48"/>
      <c r="L1129" s="48"/>
      <c r="M1129" s="48"/>
      <c r="N1129" s="48"/>
      <c r="O1129" s="48"/>
      <c r="P1129" s="48"/>
      <c r="Q1129" s="48"/>
      <c r="R1129" s="48"/>
      <c r="S1129" s="41"/>
    </row>
  </sheetData>
  <phoneticPr fontId="11" type="noConversion"/>
  <conditionalFormatting sqref="B535 B547">
    <cfRule type="cellIs" dxfId="12" priority="13" stopIfTrue="1" operator="notBetween">
      <formula>0</formula>
      <formula>1</formula>
    </cfRule>
  </conditionalFormatting>
  <conditionalFormatting sqref="F643:G666">
    <cfRule type="cellIs" dxfId="11" priority="12" stopIfTrue="1" operator="notEqual">
      <formula>0</formula>
    </cfRule>
  </conditionalFormatting>
  <conditionalFormatting sqref="F961:G961">
    <cfRule type="cellIs" dxfId="10" priority="11" stopIfTrue="1" operator="notEqual">
      <formula>0</formula>
    </cfRule>
  </conditionalFormatting>
  <conditionalFormatting sqref="H961">
    <cfRule type="cellIs" dxfId="9" priority="10" stopIfTrue="1" operator="notEqual">
      <formula>0</formula>
    </cfRule>
  </conditionalFormatting>
  <conditionalFormatting sqref="I961">
    <cfRule type="cellIs" dxfId="8" priority="9" stopIfTrue="1" operator="notEqual">
      <formula>0</formula>
    </cfRule>
  </conditionalFormatting>
  <conditionalFormatting sqref="J961">
    <cfRule type="cellIs" dxfId="7" priority="8" stopIfTrue="1" operator="notEqual">
      <formula>0</formula>
    </cfRule>
  </conditionalFormatting>
  <conditionalFormatting sqref="K961">
    <cfRule type="cellIs" dxfId="6" priority="7" stopIfTrue="1" operator="notEqual">
      <formula>0</formula>
    </cfRule>
  </conditionalFormatting>
  <conditionalFormatting sqref="L961">
    <cfRule type="cellIs" dxfId="5" priority="6" stopIfTrue="1" operator="notEqual">
      <formula>0</formula>
    </cfRule>
  </conditionalFormatting>
  <conditionalFormatting sqref="M961">
    <cfRule type="cellIs" dxfId="4" priority="5" stopIfTrue="1" operator="notEqual">
      <formula>0</formula>
    </cfRule>
  </conditionalFormatting>
  <conditionalFormatting sqref="N961">
    <cfRule type="cellIs" dxfId="3" priority="4" stopIfTrue="1" operator="notEqual">
      <formula>0</formula>
    </cfRule>
  </conditionalFormatting>
  <conditionalFormatting sqref="O961">
    <cfRule type="cellIs" dxfId="2" priority="3" stopIfTrue="1" operator="notEqual">
      <formula>0</formula>
    </cfRule>
  </conditionalFormatting>
  <conditionalFormatting sqref="P961">
    <cfRule type="cellIs" dxfId="1" priority="2" stopIfTrue="1" operator="notEqual">
      <formula>0</formula>
    </cfRule>
  </conditionalFormatting>
  <conditionalFormatting sqref="Q961">
    <cfRule type="cellIs" dxfId="0" priority="1" stopIfTrue="1" operator="notEqual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E21"/>
  <sheetViews>
    <sheetView workbookViewId="0">
      <selection activeCell="B20" sqref="B20"/>
    </sheetView>
  </sheetViews>
  <sheetFormatPr defaultRowHeight="10.199999999999999" x14ac:dyDescent="0.2"/>
  <cols>
    <col min="1" max="1" width="44.85546875" customWidth="1"/>
    <col min="2" max="3" width="12.85546875" customWidth="1"/>
  </cols>
  <sheetData>
    <row r="1" spans="1:5" s="3" customFormat="1" ht="15.6" x14ac:dyDescent="0.3">
      <c r="A1" s="3" t="s">
        <v>301</v>
      </c>
    </row>
    <row r="2" spans="1:5" x14ac:dyDescent="0.2">
      <c r="A2" s="15" t="s">
        <v>302</v>
      </c>
    </row>
    <row r="4" spans="1:5" x14ac:dyDescent="0.2">
      <c r="A4" t="s">
        <v>2026</v>
      </c>
      <c r="B4" s="5" t="b">
        <v>0</v>
      </c>
    </row>
    <row r="5" spans="1:5" x14ac:dyDescent="0.2">
      <c r="A5" t="s">
        <v>2018</v>
      </c>
      <c r="B5" s="296" t="s">
        <v>555</v>
      </c>
      <c r="C5" s="5"/>
    </row>
    <row r="6" spans="1:5" x14ac:dyDescent="0.2">
      <c r="A6" t="s">
        <v>2021</v>
      </c>
      <c r="B6" s="6">
        <v>40199</v>
      </c>
      <c r="C6" s="5"/>
    </row>
    <row r="7" spans="1:5" x14ac:dyDescent="0.2">
      <c r="A7" t="s">
        <v>2022</v>
      </c>
      <c r="B7" s="5" t="b">
        <v>0</v>
      </c>
      <c r="C7" s="5"/>
    </row>
    <row r="8" spans="1:5" x14ac:dyDescent="0.2">
      <c r="A8" t="s">
        <v>2025</v>
      </c>
      <c r="B8" s="5" t="b">
        <v>0</v>
      </c>
      <c r="C8" s="6">
        <v>39736</v>
      </c>
    </row>
    <row r="9" spans="1:5" x14ac:dyDescent="0.2">
      <c r="A9" t="s">
        <v>2019</v>
      </c>
      <c r="B9" s="5" t="b">
        <v>0</v>
      </c>
      <c r="C9" s="5"/>
    </row>
    <row r="10" spans="1:5" x14ac:dyDescent="0.2">
      <c r="A10" t="s">
        <v>2023</v>
      </c>
      <c r="B10" s="5" t="b">
        <v>1</v>
      </c>
      <c r="C10" s="5"/>
    </row>
    <row r="11" spans="1:5" x14ac:dyDescent="0.2">
      <c r="A11" t="s">
        <v>2024</v>
      </c>
      <c r="B11" s="5" t="b">
        <v>0</v>
      </c>
      <c r="C11" s="5"/>
    </row>
    <row r="12" spans="1:5" x14ac:dyDescent="0.2">
      <c r="A12" t="s">
        <v>2020</v>
      </c>
      <c r="B12" s="5">
        <v>0</v>
      </c>
      <c r="C12" s="5"/>
    </row>
    <row r="13" spans="1:5" x14ac:dyDescent="0.2">
      <c r="B13" s="5"/>
      <c r="C13" s="5"/>
    </row>
    <row r="14" spans="1:5" x14ac:dyDescent="0.2">
      <c r="A14" t="s">
        <v>464</v>
      </c>
      <c r="B14" s="5">
        <v>122</v>
      </c>
      <c r="C14" s="5"/>
    </row>
    <row r="16" spans="1:5" s="4" customFormat="1" ht="15.9" customHeight="1" x14ac:dyDescent="0.2">
      <c r="A16" s="14" t="s">
        <v>296</v>
      </c>
      <c r="B16" s="14"/>
      <c r="C16" s="14"/>
      <c r="D16" s="14"/>
      <c r="E16" s="14"/>
    </row>
    <row r="17" spans="1:3" x14ac:dyDescent="0.2">
      <c r="A17" s="11" t="s">
        <v>295</v>
      </c>
      <c r="B17" s="12" t="str">
        <f>IF(B21=1,"Альт-Инвест ","ALT-invest ")&amp;IF(B18=1,IF(B21=1,"Сумм ","Summ "),"")&amp;IF(B19=1,IF(B21=1,"Строительство ","Estate "),"")&amp;IF(B20=1,IF(B21=1,"Демо ","Demo "),"")&amp;IF(B20=2,IF(B21=1,"Пробная ","Trial "),"")&amp;IF(B21=1,"(русская)","(english)")</f>
        <v>Альт-Инвест Сумм (русская)</v>
      </c>
    </row>
    <row r="18" spans="1:3" x14ac:dyDescent="0.2">
      <c r="A18" t="s">
        <v>2040</v>
      </c>
      <c r="B18" s="13">
        <v>1</v>
      </c>
      <c r="C18" s="1" t="s">
        <v>297</v>
      </c>
    </row>
    <row r="19" spans="1:3" x14ac:dyDescent="0.2">
      <c r="A19" t="s">
        <v>2039</v>
      </c>
      <c r="B19" s="13">
        <v>0</v>
      </c>
      <c r="C19" s="1" t="s">
        <v>297</v>
      </c>
    </row>
    <row r="20" spans="1:3" x14ac:dyDescent="0.2">
      <c r="A20" t="s">
        <v>300</v>
      </c>
      <c r="B20" s="13">
        <v>0</v>
      </c>
      <c r="C20" s="1" t="s">
        <v>298</v>
      </c>
    </row>
    <row r="21" spans="1:3" x14ac:dyDescent="0.2">
      <c r="A21" t="s">
        <v>294</v>
      </c>
      <c r="B21" s="13">
        <v>1</v>
      </c>
      <c r="C21" s="1" t="s">
        <v>299</v>
      </c>
    </row>
  </sheetData>
  <phoneticPr fontId="1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Distr">
                <anchor moveWithCells="1" sizeWithCells="1">
                  <from>
                    <xdr:col>0</xdr:col>
                    <xdr:colOff>22860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1017"/>
  <sheetViews>
    <sheetView workbookViewId="0">
      <selection activeCell="A968" sqref="A968"/>
    </sheetView>
  </sheetViews>
  <sheetFormatPr defaultRowHeight="10.199999999999999" x14ac:dyDescent="0.2"/>
  <cols>
    <col min="1" max="4" width="50.85546875" customWidth="1"/>
  </cols>
  <sheetData>
    <row r="1" spans="1:4" x14ac:dyDescent="0.2">
      <c r="A1" s="9" t="s">
        <v>2031</v>
      </c>
      <c r="B1" s="7" t="s">
        <v>2032</v>
      </c>
      <c r="C1" s="7" t="s">
        <v>2033</v>
      </c>
      <c r="D1" s="7" t="s">
        <v>612</v>
      </c>
    </row>
    <row r="2" spans="1:4" x14ac:dyDescent="0.2">
      <c r="A2" s="10">
        <v>1</v>
      </c>
      <c r="B2" s="8"/>
      <c r="C2" s="8"/>
      <c r="D2" s="8"/>
    </row>
    <row r="3" spans="1:4" x14ac:dyDescent="0.2">
      <c r="A3" t="str">
        <f t="shared" ref="A3:A73" ca="1" si="0">OFFSET(A3,0,LanguageID)</f>
        <v xml:space="preserve">АЛЬТ-Инвест™ </v>
      </c>
      <c r="B3" t="s">
        <v>2099</v>
      </c>
      <c r="C3" t="s">
        <v>2104</v>
      </c>
      <c r="D3" t="s">
        <v>2104</v>
      </c>
    </row>
    <row r="4" spans="1:4" x14ac:dyDescent="0.2">
      <c r="A4" t="str">
        <f t="shared" ca="1" si="0"/>
        <v xml:space="preserve">Сумм </v>
      </c>
      <c r="B4" t="s">
        <v>2100</v>
      </c>
      <c r="C4" t="s">
        <v>2105</v>
      </c>
      <c r="D4" t="s">
        <v>613</v>
      </c>
    </row>
    <row r="5" spans="1:4" x14ac:dyDescent="0.2">
      <c r="A5" t="str">
        <f t="shared" ca="1" si="0"/>
        <v xml:space="preserve">Строительство </v>
      </c>
      <c r="B5" t="s">
        <v>2101</v>
      </c>
      <c r="C5" t="s">
        <v>1716</v>
      </c>
      <c r="D5" t="s">
        <v>614</v>
      </c>
    </row>
    <row r="6" spans="1:4" x14ac:dyDescent="0.2">
      <c r="A6" t="str">
        <f t="shared" ca="1" si="0"/>
        <v xml:space="preserve">Демо </v>
      </c>
      <c r="B6" t="s">
        <v>2102</v>
      </c>
      <c r="C6" t="s">
        <v>2106</v>
      </c>
      <c r="D6" t="s">
        <v>615</v>
      </c>
    </row>
    <row r="7" spans="1:4" x14ac:dyDescent="0.2">
      <c r="A7" t="str">
        <f t="shared" ca="1" si="0"/>
        <v xml:space="preserve">Пробная версия </v>
      </c>
      <c r="B7" t="s">
        <v>2103</v>
      </c>
      <c r="C7" t="s">
        <v>2107</v>
      </c>
      <c r="D7" t="s">
        <v>616</v>
      </c>
    </row>
    <row r="8" spans="1:4" x14ac:dyDescent="0.2">
      <c r="A8" t="str">
        <f t="shared" ca="1" si="0"/>
        <v>О программе</v>
      </c>
      <c r="B8" t="s">
        <v>2027</v>
      </c>
      <c r="C8" t="s">
        <v>2034</v>
      </c>
      <c r="D8" t="s">
        <v>617</v>
      </c>
    </row>
    <row r="9" spans="1:4" x14ac:dyDescent="0.2">
      <c r="A9" t="str">
        <f t="shared" ca="1" si="0"/>
        <v>Проект</v>
      </c>
      <c r="B9" t="s">
        <v>2028</v>
      </c>
      <c r="C9" t="s">
        <v>2035</v>
      </c>
      <c r="D9" t="s">
        <v>618</v>
      </c>
    </row>
    <row r="10" spans="1:4" x14ac:dyDescent="0.2">
      <c r="A10" t="str">
        <f t="shared" ca="1" si="0"/>
        <v>Пр.</v>
      </c>
      <c r="B10" t="s">
        <v>2029</v>
      </c>
      <c r="C10" t="s">
        <v>2036</v>
      </c>
      <c r="D10" t="s">
        <v>2036</v>
      </c>
    </row>
    <row r="11" spans="1:4" x14ac:dyDescent="0.2">
      <c r="A11" t="str">
        <f t="shared" ca="1" si="0"/>
        <v>Портфель</v>
      </c>
      <c r="B11" t="s">
        <v>2030</v>
      </c>
      <c r="C11" t="s">
        <v>2037</v>
      </c>
      <c r="D11" t="s">
        <v>619</v>
      </c>
    </row>
    <row r="12" spans="1:4" x14ac:dyDescent="0.2">
      <c r="A12" t="str">
        <f t="shared" ca="1" si="0"/>
        <v>Отчет</v>
      </c>
      <c r="B12" t="s">
        <v>2017</v>
      </c>
      <c r="C12" t="s">
        <v>2038</v>
      </c>
      <c r="D12" t="s">
        <v>791</v>
      </c>
    </row>
    <row r="13" spans="1:4" x14ac:dyDescent="0.2">
      <c r="A13" t="str">
        <f t="shared" ca="1" si="0"/>
        <v>Описание проекта</v>
      </c>
      <c r="B13" t="s">
        <v>2013</v>
      </c>
      <c r="C13" t="s">
        <v>2493</v>
      </c>
      <c r="D13" t="s">
        <v>792</v>
      </c>
    </row>
    <row r="14" spans="1:4" x14ac:dyDescent="0.2">
      <c r="A14" t="str">
        <f t="shared" ca="1" si="0"/>
        <v xml:space="preserve">         ПАРАМЕТРЫ ПРОЕКТА</v>
      </c>
      <c r="B14" t="s">
        <v>646</v>
      </c>
      <c r="C14" t="s">
        <v>2494</v>
      </c>
      <c r="D14" t="s">
        <v>709</v>
      </c>
    </row>
    <row r="15" spans="1:4" x14ac:dyDescent="0.2">
      <c r="A15" t="str">
        <f t="shared" ca="1" si="0"/>
        <v>Название проекта:</v>
      </c>
      <c r="B15" t="s">
        <v>2108</v>
      </c>
      <c r="C15" t="s">
        <v>2495</v>
      </c>
      <c r="D15" t="s">
        <v>793</v>
      </c>
    </row>
    <row r="16" spans="1:4" x14ac:dyDescent="0.2">
      <c r="A16" t="str">
        <f t="shared" ca="1" si="0"/>
        <v>Проект 1</v>
      </c>
      <c r="B16" t="s">
        <v>2109</v>
      </c>
      <c r="C16" t="s">
        <v>2496</v>
      </c>
      <c r="D16" t="s">
        <v>794</v>
      </c>
    </row>
    <row r="17" spans="1:4" x14ac:dyDescent="0.2">
      <c r="A17" t="str">
        <f t="shared" ca="1" si="0"/>
        <v>Дата начала проекта</v>
      </c>
      <c r="B17" t="s">
        <v>2110</v>
      </c>
      <c r="C17" t="s">
        <v>2497</v>
      </c>
      <c r="D17" t="s">
        <v>795</v>
      </c>
    </row>
    <row r="18" spans="1:4" x14ac:dyDescent="0.2">
      <c r="A18" t="str">
        <f t="shared" ca="1" si="0"/>
        <v>Срок жизни проекта</v>
      </c>
      <c r="B18" t="s">
        <v>2111</v>
      </c>
      <c r="C18" t="s">
        <v>2498</v>
      </c>
      <c r="D18" t="s">
        <v>796</v>
      </c>
    </row>
    <row r="19" spans="1:4" x14ac:dyDescent="0.2">
      <c r="A19" t="str">
        <f t="shared" ca="1" si="0"/>
        <v>Шаг планирования</v>
      </c>
      <c r="B19" t="s">
        <v>2112</v>
      </c>
      <c r="C19" t="s">
        <v>2499</v>
      </c>
      <c r="D19" t="s">
        <v>797</v>
      </c>
    </row>
    <row r="20" spans="1:4" x14ac:dyDescent="0.2">
      <c r="A20" t="str">
        <f t="shared" ca="1" si="0"/>
        <v>Длительность шага планирования</v>
      </c>
      <c r="B20" t="s">
        <v>2113</v>
      </c>
      <c r="C20" t="s">
        <v>2500</v>
      </c>
      <c r="D20" t="s">
        <v>798</v>
      </c>
    </row>
    <row r="21" spans="1:4" x14ac:dyDescent="0.2">
      <c r="A21" t="str">
        <f t="shared" ca="1" si="0"/>
        <v>Основная валюта расчета</v>
      </c>
      <c r="B21" t="s">
        <v>2114</v>
      </c>
      <c r="C21" t="s">
        <v>2501</v>
      </c>
      <c r="D21" t="s">
        <v>799</v>
      </c>
    </row>
    <row r="22" spans="1:4" x14ac:dyDescent="0.2">
      <c r="A22" t="str">
        <f t="shared" ca="1" si="0"/>
        <v>Иностранная валюта</v>
      </c>
      <c r="B22" t="s">
        <v>2115</v>
      </c>
      <c r="C22" t="s">
        <v>2502</v>
      </c>
      <c r="D22" t="s">
        <v>800</v>
      </c>
    </row>
    <row r="23" spans="1:4" x14ac:dyDescent="0.2">
      <c r="A23" t="str">
        <f t="shared" ca="1" si="0"/>
        <v>Валюта для отображения результатов</v>
      </c>
      <c r="B23" t="s">
        <v>2116</v>
      </c>
      <c r="C23" t="s">
        <v>2503</v>
      </c>
      <c r="D23" t="s">
        <v>801</v>
      </c>
    </row>
    <row r="24" spans="1:4" x14ac:dyDescent="0.2">
      <c r="A24" t="str">
        <f t="shared" ca="1" si="0"/>
        <v>Метод расчетов</v>
      </c>
      <c r="B24" t="s">
        <v>2091</v>
      </c>
      <c r="C24" t="s">
        <v>2504</v>
      </c>
      <c r="D24" t="s">
        <v>802</v>
      </c>
    </row>
    <row r="25" spans="1:4" x14ac:dyDescent="0.2">
      <c r="A25" t="str">
        <f t="shared" ca="1" si="0"/>
        <v>Постоянные цены (без учета инфляции)</v>
      </c>
      <c r="B25" t="s">
        <v>2197</v>
      </c>
      <c r="C25" t="s">
        <v>2505</v>
      </c>
      <c r="D25" t="s">
        <v>803</v>
      </c>
    </row>
    <row r="26" spans="1:4" x14ac:dyDescent="0.2">
      <c r="A26" t="str">
        <f t="shared" ca="1" si="0"/>
        <v>Текущие цены (с учетом инфляции)</v>
      </c>
      <c r="B26" t="s">
        <v>2198</v>
      </c>
      <c r="C26" t="s">
        <v>2649</v>
      </c>
      <c r="D26" t="s">
        <v>804</v>
      </c>
    </row>
    <row r="27" spans="1:4" x14ac:dyDescent="0.2">
      <c r="A27" t="str">
        <f t="shared" ca="1" si="0"/>
        <v>Язык интерфейса и таблиц</v>
      </c>
      <c r="B27" t="s">
        <v>2120</v>
      </c>
      <c r="C27" t="s">
        <v>2650</v>
      </c>
      <c r="D27" t="s">
        <v>805</v>
      </c>
    </row>
    <row r="28" spans="1:4" x14ac:dyDescent="0.2">
      <c r="A28" t="str">
        <f t="shared" ca="1" si="0"/>
        <v>Защита</v>
      </c>
      <c r="B28" t="s">
        <v>2121</v>
      </c>
      <c r="C28" t="s">
        <v>2651</v>
      </c>
      <c r="D28" t="s">
        <v>806</v>
      </c>
    </row>
    <row r="29" spans="1:4" x14ac:dyDescent="0.2">
      <c r="A29" t="str">
        <f t="shared" ca="1" si="0"/>
        <v>Показывать реальные даты в названиях периодов?</v>
      </c>
      <c r="B29" t="s">
        <v>2122</v>
      </c>
      <c r="C29" t="s">
        <v>711</v>
      </c>
      <c r="D29" t="s">
        <v>807</v>
      </c>
    </row>
    <row r="30" spans="1:4" x14ac:dyDescent="0.2">
      <c r="A30" t="str">
        <f t="shared" ca="1" si="0"/>
        <v>мес.</v>
      </c>
      <c r="B30" t="s">
        <v>2129</v>
      </c>
      <c r="C30" t="s">
        <v>712</v>
      </c>
      <c r="D30" t="s">
        <v>808</v>
      </c>
    </row>
    <row r="31" spans="1:4" x14ac:dyDescent="0.2">
      <c r="A31" t="str">
        <f t="shared" ca="1" si="0"/>
        <v>кв.</v>
      </c>
      <c r="B31" t="s">
        <v>2130</v>
      </c>
      <c r="C31" t="s">
        <v>713</v>
      </c>
      <c r="D31" t="s">
        <v>809</v>
      </c>
    </row>
    <row r="32" spans="1:4" x14ac:dyDescent="0.2">
      <c r="A32" t="str">
        <f t="shared" ca="1" si="0"/>
        <v>пг.</v>
      </c>
      <c r="B32" t="s">
        <v>2131</v>
      </c>
      <c r="C32" t="s">
        <v>714</v>
      </c>
      <c r="D32" t="s">
        <v>810</v>
      </c>
    </row>
    <row r="33" spans="1:4" x14ac:dyDescent="0.2">
      <c r="A33" t="str">
        <f t="shared" ca="1" si="0"/>
        <v>лет</v>
      </c>
      <c r="B33" t="s">
        <v>2132</v>
      </c>
      <c r="C33" t="s">
        <v>715</v>
      </c>
      <c r="D33" t="s">
        <v>811</v>
      </c>
    </row>
    <row r="34" spans="1:4" x14ac:dyDescent="0.2">
      <c r="A34" t="str">
        <f t="shared" ca="1" si="0"/>
        <v>месяц</v>
      </c>
      <c r="B34" t="s">
        <v>2133</v>
      </c>
      <c r="C34" t="s">
        <v>716</v>
      </c>
      <c r="D34" t="s">
        <v>812</v>
      </c>
    </row>
    <row r="35" spans="1:4" x14ac:dyDescent="0.2">
      <c r="A35" t="str">
        <f t="shared" ca="1" si="0"/>
        <v>квартал</v>
      </c>
      <c r="B35" t="s">
        <v>2134</v>
      </c>
      <c r="C35" t="s">
        <v>717</v>
      </c>
      <c r="D35" t="s">
        <v>813</v>
      </c>
    </row>
    <row r="36" spans="1:4" x14ac:dyDescent="0.2">
      <c r="A36" t="str">
        <f t="shared" ca="1" si="0"/>
        <v>полугодие</v>
      </c>
      <c r="B36" t="s">
        <v>2135</v>
      </c>
      <c r="C36" t="s">
        <v>718</v>
      </c>
      <c r="D36" t="s">
        <v>814</v>
      </c>
    </row>
    <row r="37" spans="1:4" x14ac:dyDescent="0.2">
      <c r="A37" t="str">
        <f t="shared" ca="1" si="0"/>
        <v>год</v>
      </c>
      <c r="B37" t="s">
        <v>2117</v>
      </c>
      <c r="C37" t="s">
        <v>719</v>
      </c>
      <c r="D37" t="s">
        <v>815</v>
      </c>
    </row>
    <row r="38" spans="1:4" x14ac:dyDescent="0.2">
      <c r="A38" t="str">
        <f t="shared" ca="1" si="0"/>
        <v>дн.</v>
      </c>
      <c r="B38" t="s">
        <v>2136</v>
      </c>
      <c r="C38" t="s">
        <v>720</v>
      </c>
      <c r="D38" t="s">
        <v>720</v>
      </c>
    </row>
    <row r="39" spans="1:4" x14ac:dyDescent="0.2">
      <c r="A39" s="165" t="str">
        <f t="shared" ca="1" si="0"/>
        <v>руб.</v>
      </c>
      <c r="B39" t="s">
        <v>2137</v>
      </c>
      <c r="C39" t="s">
        <v>721</v>
      </c>
      <c r="D39" t="s">
        <v>721</v>
      </c>
    </row>
    <row r="40" spans="1:4" x14ac:dyDescent="0.2">
      <c r="A40" s="165" t="str">
        <f t="shared" ca="1" si="0"/>
        <v>$</v>
      </c>
      <c r="B40" t="s">
        <v>2119</v>
      </c>
      <c r="C40" t="s">
        <v>2119</v>
      </c>
      <c r="D40" t="s">
        <v>2119</v>
      </c>
    </row>
    <row r="41" spans="1:4" x14ac:dyDescent="0.2">
      <c r="A41" s="165" t="str">
        <f t="shared" ca="1" si="0"/>
        <v>EUR</v>
      </c>
      <c r="B41" t="s">
        <v>2138</v>
      </c>
      <c r="C41" t="s">
        <v>2138</v>
      </c>
      <c r="D41" t="s">
        <v>2138</v>
      </c>
    </row>
    <row r="42" spans="1:4" x14ac:dyDescent="0.2">
      <c r="A42" s="165" t="str">
        <f t="shared" ca="1" si="0"/>
        <v>GBP</v>
      </c>
      <c r="B42" t="s">
        <v>2139</v>
      </c>
      <c r="C42" t="s">
        <v>2139</v>
      </c>
      <c r="D42" t="s">
        <v>2139</v>
      </c>
    </row>
    <row r="43" spans="1:4" x14ac:dyDescent="0.2">
      <c r="A43" s="165" t="str">
        <f t="shared" ca="1" si="0"/>
        <v>гр.</v>
      </c>
      <c r="B43" t="s">
        <v>2140</v>
      </c>
      <c r="C43" t="s">
        <v>722</v>
      </c>
      <c r="D43" t="s">
        <v>722</v>
      </c>
    </row>
    <row r="44" spans="1:4" x14ac:dyDescent="0.2">
      <c r="A44" s="165" t="str">
        <f t="shared" ca="1" si="0"/>
        <v>лат</v>
      </c>
      <c r="B44" t="s">
        <v>886</v>
      </c>
      <c r="C44" t="s">
        <v>723</v>
      </c>
      <c r="D44" t="s">
        <v>723</v>
      </c>
    </row>
    <row r="45" spans="1:4" x14ac:dyDescent="0.2">
      <c r="A45" s="165" t="str">
        <f t="shared" ca="1" si="0"/>
        <v>лит</v>
      </c>
      <c r="B45" t="s">
        <v>887</v>
      </c>
      <c r="C45" t="s">
        <v>885</v>
      </c>
      <c r="D45" t="s">
        <v>885</v>
      </c>
    </row>
    <row r="46" spans="1:4" x14ac:dyDescent="0.2">
      <c r="A46" s="165" t="str">
        <f t="shared" ca="1" si="0"/>
        <v>тнг.</v>
      </c>
      <c r="B46" t="s">
        <v>2141</v>
      </c>
      <c r="C46" t="s">
        <v>724</v>
      </c>
      <c r="D46" t="s">
        <v>724</v>
      </c>
    </row>
    <row r="47" spans="1:4" x14ac:dyDescent="0.2">
      <c r="A47" s="165" t="str">
        <f t="shared" ca="1" si="0"/>
        <v>тыс. руб.</v>
      </c>
      <c r="B47" t="s">
        <v>2118</v>
      </c>
      <c r="C47" t="s">
        <v>725</v>
      </c>
      <c r="D47" t="s">
        <v>816</v>
      </c>
    </row>
    <row r="48" spans="1:4" x14ac:dyDescent="0.2">
      <c r="A48" s="165" t="str">
        <f t="shared" ca="1" si="0"/>
        <v>тыс. $</v>
      </c>
      <c r="B48" t="s">
        <v>2142</v>
      </c>
      <c r="C48" t="s">
        <v>726</v>
      </c>
      <c r="D48" t="s">
        <v>965</v>
      </c>
    </row>
    <row r="49" spans="1:4" x14ac:dyDescent="0.2">
      <c r="A49" s="165" t="str">
        <f t="shared" ca="1" si="0"/>
        <v>тыс. EUR</v>
      </c>
      <c r="B49" t="s">
        <v>2143</v>
      </c>
      <c r="C49" t="s">
        <v>727</v>
      </c>
      <c r="D49" t="s">
        <v>966</v>
      </c>
    </row>
    <row r="50" spans="1:4" x14ac:dyDescent="0.2">
      <c r="A50" s="165" t="str">
        <f t="shared" ca="1" si="0"/>
        <v>тыс. GBP</v>
      </c>
      <c r="B50" t="s">
        <v>2144</v>
      </c>
      <c r="C50" t="s">
        <v>728</v>
      </c>
      <c r="D50" t="s">
        <v>967</v>
      </c>
    </row>
    <row r="51" spans="1:4" x14ac:dyDescent="0.2">
      <c r="A51" s="165" t="str">
        <f t="shared" ca="1" si="0"/>
        <v>тыс. гр.</v>
      </c>
      <c r="B51" t="s">
        <v>2145</v>
      </c>
      <c r="C51" t="s">
        <v>729</v>
      </c>
      <c r="D51" t="s">
        <v>968</v>
      </c>
    </row>
    <row r="52" spans="1:4" x14ac:dyDescent="0.2">
      <c r="A52" s="165" t="str">
        <f t="shared" ca="1" si="0"/>
        <v>тыс. лат</v>
      </c>
      <c r="B52" t="s">
        <v>890</v>
      </c>
      <c r="C52" t="s">
        <v>730</v>
      </c>
      <c r="D52" t="s">
        <v>969</v>
      </c>
    </row>
    <row r="53" spans="1:4" x14ac:dyDescent="0.2">
      <c r="A53" s="165" t="str">
        <f t="shared" ca="1" si="0"/>
        <v>тыс. лит</v>
      </c>
      <c r="B53" t="s">
        <v>891</v>
      </c>
      <c r="C53" t="s">
        <v>888</v>
      </c>
      <c r="D53" t="s">
        <v>889</v>
      </c>
    </row>
    <row r="54" spans="1:4" x14ac:dyDescent="0.2">
      <c r="A54" s="165" t="str">
        <f t="shared" ca="1" si="0"/>
        <v>тыс. тнг</v>
      </c>
      <c r="B54" t="s">
        <v>2146</v>
      </c>
      <c r="C54" t="s">
        <v>731</v>
      </c>
      <c r="D54" t="s">
        <v>970</v>
      </c>
    </row>
    <row r="55" spans="1:4" x14ac:dyDescent="0.2">
      <c r="A55" s="165" t="str">
        <f t="shared" ca="1" si="0"/>
        <v>леи</v>
      </c>
      <c r="B55" t="s">
        <v>2147</v>
      </c>
      <c r="C55" t="s">
        <v>732</v>
      </c>
      <c r="D55" t="s">
        <v>971</v>
      </c>
    </row>
    <row r="56" spans="1:4" x14ac:dyDescent="0.2">
      <c r="A56" s="165" t="str">
        <f t="shared" ca="1" si="0"/>
        <v>тыс. леев</v>
      </c>
      <c r="B56" t="s">
        <v>2148</v>
      </c>
      <c r="C56" t="s">
        <v>733</v>
      </c>
      <c r="D56" t="s">
        <v>972</v>
      </c>
    </row>
    <row r="57" spans="1:4" x14ac:dyDescent="0.2">
      <c r="A57" t="str">
        <f t="shared" ca="1" si="0"/>
        <v>Русский</v>
      </c>
      <c r="B57" t="s">
        <v>2149</v>
      </c>
      <c r="C57" t="s">
        <v>2033</v>
      </c>
      <c r="D57" t="s">
        <v>612</v>
      </c>
    </row>
    <row r="58" spans="1:4" x14ac:dyDescent="0.2">
      <c r="A58" t="str">
        <f t="shared" ca="1" si="0"/>
        <v>Включена</v>
      </c>
      <c r="B58" t="s">
        <v>2150</v>
      </c>
      <c r="C58" t="s">
        <v>734</v>
      </c>
      <c r="D58" t="s">
        <v>973</v>
      </c>
    </row>
    <row r="59" spans="1:4" x14ac:dyDescent="0.2">
      <c r="A59" t="str">
        <f t="shared" ca="1" si="0"/>
        <v>Выключена</v>
      </c>
      <c r="B59" t="s">
        <v>2151</v>
      </c>
      <c r="C59" t="s">
        <v>735</v>
      </c>
      <c r="D59" t="s">
        <v>974</v>
      </c>
    </row>
    <row r="60" spans="1:4" x14ac:dyDescent="0.2">
      <c r="A60" t="str">
        <f t="shared" ca="1" si="0"/>
        <v>Да</v>
      </c>
      <c r="B60" t="s">
        <v>2152</v>
      </c>
      <c r="C60" t="s">
        <v>736</v>
      </c>
      <c r="D60" t="s">
        <v>975</v>
      </c>
    </row>
    <row r="61" spans="1:4" x14ac:dyDescent="0.2">
      <c r="A61" t="str">
        <f t="shared" ca="1" si="0"/>
        <v>Нет</v>
      </c>
      <c r="B61" t="s">
        <v>2153</v>
      </c>
      <c r="C61" t="s">
        <v>737</v>
      </c>
      <c r="D61" t="s">
        <v>976</v>
      </c>
    </row>
    <row r="62" spans="1:4" x14ac:dyDescent="0.2">
      <c r="A62" t="str">
        <f t="shared" ca="1" si="0"/>
        <v>Год начала проекта</v>
      </c>
      <c r="B62" t="s">
        <v>2123</v>
      </c>
      <c r="C62" t="s">
        <v>738</v>
      </c>
      <c r="D62" t="s">
        <v>977</v>
      </c>
    </row>
    <row r="63" spans="1:4" x14ac:dyDescent="0.2">
      <c r="A63" t="str">
        <f t="shared" ca="1" si="0"/>
        <v>Месяц начала проекта</v>
      </c>
      <c r="B63" t="s">
        <v>2124</v>
      </c>
      <c r="C63" t="s">
        <v>739</v>
      </c>
      <c r="D63" t="s">
        <v>978</v>
      </c>
    </row>
    <row r="64" spans="1:4" x14ac:dyDescent="0.2">
      <c r="A64" t="str">
        <f t="shared" ca="1" si="0"/>
        <v>Номера периодов</v>
      </c>
      <c r="B64" t="s">
        <v>2125</v>
      </c>
      <c r="C64" t="s">
        <v>740</v>
      </c>
      <c r="D64" t="s">
        <v>979</v>
      </c>
    </row>
    <row r="65" spans="1:4" x14ac:dyDescent="0.2">
      <c r="A65" t="str">
        <f t="shared" ca="1" si="0"/>
        <v>Наименования периодов без учета дат</v>
      </c>
      <c r="B65" t="s">
        <v>2126</v>
      </c>
      <c r="C65" t="s">
        <v>741</v>
      </c>
      <c r="D65" t="s">
        <v>980</v>
      </c>
    </row>
    <row r="66" spans="1:4" x14ac:dyDescent="0.2">
      <c r="A66" t="str">
        <f t="shared" ca="1" si="0"/>
        <v>Дата начала периода</v>
      </c>
      <c r="B66" t="s">
        <v>2127</v>
      </c>
      <c r="C66" t="s">
        <v>742</v>
      </c>
      <c r="D66" t="s">
        <v>981</v>
      </c>
    </row>
    <row r="67" spans="1:4" x14ac:dyDescent="0.2">
      <c r="A67" t="str">
        <f t="shared" ca="1" si="0"/>
        <v>Наименования периодов с учетом дат</v>
      </c>
      <c r="B67" t="s">
        <v>2128</v>
      </c>
      <c r="C67" t="s">
        <v>743</v>
      </c>
      <c r="D67" t="s">
        <v>982</v>
      </c>
    </row>
    <row r="68" spans="1:4" x14ac:dyDescent="0.2">
      <c r="A68" t="str">
        <f t="shared" ca="1" si="0"/>
        <v>мес.</v>
      </c>
      <c r="B68" t="s">
        <v>2129</v>
      </c>
      <c r="C68" t="s">
        <v>712</v>
      </c>
      <c r="D68" t="s">
        <v>808</v>
      </c>
    </row>
    <row r="69" spans="1:4" x14ac:dyDescent="0.2">
      <c r="A69" t="str">
        <f t="shared" ca="1" si="0"/>
        <v>кв.</v>
      </c>
      <c r="B69" t="s">
        <v>2130</v>
      </c>
      <c r="C69" t="s">
        <v>713</v>
      </c>
      <c r="D69" t="s">
        <v>809</v>
      </c>
    </row>
    <row r="70" spans="1:4" x14ac:dyDescent="0.2">
      <c r="A70" t="str">
        <f t="shared" ca="1" si="0"/>
        <v>пг.</v>
      </c>
      <c r="B70" t="s">
        <v>2131</v>
      </c>
      <c r="C70" t="s">
        <v>714</v>
      </c>
      <c r="D70" t="s">
        <v>810</v>
      </c>
    </row>
    <row r="71" spans="1:4" x14ac:dyDescent="0.2">
      <c r="A71" t="str">
        <f t="shared" ca="1" si="0"/>
        <v>год</v>
      </c>
      <c r="B71" t="s">
        <v>2117</v>
      </c>
      <c r="C71" t="s">
        <v>715</v>
      </c>
      <c r="D71" t="s">
        <v>811</v>
      </c>
    </row>
    <row r="72" spans="1:4" x14ac:dyDescent="0.2">
      <c r="A72" t="str">
        <f t="shared" ca="1" si="0"/>
        <v xml:space="preserve">         СТАРТОВОЕ СОСТОЯНИЕ ПРОЕКТА</v>
      </c>
      <c r="B72" t="s">
        <v>647</v>
      </c>
      <c r="C72" t="s">
        <v>744</v>
      </c>
      <c r="D72" t="s">
        <v>883</v>
      </c>
    </row>
    <row r="73" spans="1:4" x14ac:dyDescent="0.2">
      <c r="A73" t="str">
        <f t="shared" ca="1" si="0"/>
        <v>Валюта</v>
      </c>
      <c r="B73" s="23" t="s">
        <v>186</v>
      </c>
      <c r="C73" t="s">
        <v>745</v>
      </c>
      <c r="D73" t="s">
        <v>983</v>
      </c>
    </row>
    <row r="74" spans="1:4" x14ac:dyDescent="0.2">
      <c r="A74" t="str">
        <f t="shared" ref="A74:A375" ca="1" si="1">OFFSET(A74,0,LanguageID)</f>
        <v>Внеоборотные активы</v>
      </c>
      <c r="B74" s="23" t="s">
        <v>2155</v>
      </c>
      <c r="C74" t="s">
        <v>746</v>
      </c>
      <c r="D74" t="s">
        <v>984</v>
      </c>
    </row>
    <row r="75" spans="1:4" x14ac:dyDescent="0.2">
      <c r="A75" t="str">
        <f t="shared" ca="1" si="1"/>
        <v xml:space="preserve">   в том числе</v>
      </c>
      <c r="B75" s="23" t="s">
        <v>206</v>
      </c>
      <c r="C75" t="s">
        <v>747</v>
      </c>
      <c r="D75" t="s">
        <v>985</v>
      </c>
    </row>
    <row r="76" spans="1:4" x14ac:dyDescent="0.2">
      <c r="A76" t="str">
        <f t="shared" ca="1" si="1"/>
        <v xml:space="preserve">   - здания и сооружения</v>
      </c>
      <c r="B76" s="49" t="s">
        <v>208</v>
      </c>
      <c r="C76" t="s">
        <v>748</v>
      </c>
      <c r="D76" t="s">
        <v>986</v>
      </c>
    </row>
    <row r="77" spans="1:4" x14ac:dyDescent="0.2">
      <c r="A77" t="str">
        <f t="shared" ca="1" si="1"/>
        <v xml:space="preserve">   - земельные участки</v>
      </c>
      <c r="B77" s="23" t="s">
        <v>209</v>
      </c>
      <c r="C77" t="s">
        <v>586</v>
      </c>
      <c r="D77" t="s">
        <v>987</v>
      </c>
    </row>
    <row r="78" spans="1:4" x14ac:dyDescent="0.2">
      <c r="A78" t="str">
        <f t="shared" ca="1" si="1"/>
        <v xml:space="preserve">   - нематериальные активы</v>
      </c>
      <c r="B78" s="23" t="s">
        <v>210</v>
      </c>
      <c r="C78" t="s">
        <v>587</v>
      </c>
      <c r="D78" t="s">
        <v>988</v>
      </c>
    </row>
    <row r="79" spans="1:4" x14ac:dyDescent="0.2">
      <c r="A79" t="str">
        <f t="shared" ca="1" si="1"/>
        <v xml:space="preserve">   - оборудование и другие активы</v>
      </c>
      <c r="B79" s="23" t="s">
        <v>211</v>
      </c>
      <c r="C79" t="s">
        <v>588</v>
      </c>
      <c r="D79" t="s">
        <v>989</v>
      </c>
    </row>
    <row r="80" spans="1:4" x14ac:dyDescent="0.2">
      <c r="A80" t="str">
        <f t="shared" ca="1" si="1"/>
        <v>Незавершенные инвестиции</v>
      </c>
      <c r="B80" s="23" t="s">
        <v>2014</v>
      </c>
      <c r="C80" t="s">
        <v>589</v>
      </c>
      <c r="D80" t="s">
        <v>990</v>
      </c>
    </row>
    <row r="81" spans="1:4" x14ac:dyDescent="0.2">
      <c r="A81" t="str">
        <f t="shared" ca="1" si="1"/>
        <v>Финансовые вложения</v>
      </c>
      <c r="B81" s="23" t="s">
        <v>428</v>
      </c>
      <c r="C81" t="s">
        <v>590</v>
      </c>
      <c r="D81" t="s">
        <v>991</v>
      </c>
    </row>
    <row r="82" spans="1:4" x14ac:dyDescent="0.2">
      <c r="A82" t="str">
        <f t="shared" ca="1" si="1"/>
        <v>Запасы сырья и материалов</v>
      </c>
      <c r="B82" s="23" t="s">
        <v>2156</v>
      </c>
      <c r="C82" t="s">
        <v>591</v>
      </c>
      <c r="D82" t="s">
        <v>992</v>
      </c>
    </row>
    <row r="83" spans="1:4" x14ac:dyDescent="0.2">
      <c r="A83" t="str">
        <f t="shared" ca="1" si="1"/>
        <v>Незавершенное производство</v>
      </c>
      <c r="B83" s="23" t="s">
        <v>343</v>
      </c>
      <c r="C83" t="s">
        <v>592</v>
      </c>
      <c r="D83" t="s">
        <v>993</v>
      </c>
    </row>
    <row r="84" spans="1:4" x14ac:dyDescent="0.2">
      <c r="A84" t="str">
        <f t="shared" ca="1" si="1"/>
        <v>Запасы готовой продукции</v>
      </c>
      <c r="B84" s="23" t="s">
        <v>2157</v>
      </c>
      <c r="C84" t="s">
        <v>593</v>
      </c>
      <c r="D84" t="s">
        <v>994</v>
      </c>
    </row>
    <row r="85" spans="1:4" x14ac:dyDescent="0.2">
      <c r="A85" t="str">
        <f t="shared" ca="1" si="1"/>
        <v>Дебиторская задолженность покупателей</v>
      </c>
      <c r="B85" s="23" t="s">
        <v>2087</v>
      </c>
      <c r="C85" t="s">
        <v>594</v>
      </c>
      <c r="D85" t="s">
        <v>995</v>
      </c>
    </row>
    <row r="86" spans="1:4" x14ac:dyDescent="0.2">
      <c r="A86" t="str">
        <f t="shared" ca="1" si="1"/>
        <v>Авансы выданные</v>
      </c>
      <c r="B86" s="23" t="s">
        <v>442</v>
      </c>
      <c r="C86" t="s">
        <v>595</v>
      </c>
      <c r="D86" t="s">
        <v>996</v>
      </c>
    </row>
    <row r="87" spans="1:4" x14ac:dyDescent="0.2">
      <c r="A87" t="str">
        <f t="shared" ca="1" si="1"/>
        <v>Расходы будущих периодов</v>
      </c>
      <c r="B87" s="23" t="s">
        <v>184</v>
      </c>
      <c r="C87" t="s">
        <v>596</v>
      </c>
      <c r="D87" t="s">
        <v>997</v>
      </c>
    </row>
    <row r="88" spans="1:4" x14ac:dyDescent="0.2">
      <c r="A88" t="str">
        <f t="shared" ca="1" si="1"/>
        <v>НДС как актив</v>
      </c>
      <c r="B88" s="23" t="s">
        <v>2425</v>
      </c>
      <c r="C88" t="s">
        <v>597</v>
      </c>
      <c r="D88" t="s">
        <v>998</v>
      </c>
    </row>
    <row r="89" spans="1:4" x14ac:dyDescent="0.2">
      <c r="A89" t="str">
        <f t="shared" ca="1" si="1"/>
        <v>Прочие дебиторы</v>
      </c>
      <c r="B89" s="23" t="s">
        <v>2088</v>
      </c>
      <c r="C89" t="s">
        <v>598</v>
      </c>
      <c r="D89" t="s">
        <v>999</v>
      </c>
    </row>
    <row r="90" spans="1:4" x14ac:dyDescent="0.2">
      <c r="A90" t="str">
        <f t="shared" ca="1" si="1"/>
        <v>Денежные средства</v>
      </c>
      <c r="B90" s="23" t="s">
        <v>2092</v>
      </c>
      <c r="C90" t="s">
        <v>599</v>
      </c>
      <c r="D90" t="s">
        <v>1000</v>
      </c>
    </row>
    <row r="91" spans="1:4" x14ac:dyDescent="0.2">
      <c r="A91" t="str">
        <f t="shared" ca="1" si="1"/>
        <v>Итого активы</v>
      </c>
      <c r="B91" s="23" t="s">
        <v>2089</v>
      </c>
      <c r="C91" t="s">
        <v>600</v>
      </c>
      <c r="D91" t="s">
        <v>1001</v>
      </c>
    </row>
    <row r="92" spans="1:4" x14ac:dyDescent="0.2">
      <c r="A92" t="str">
        <f t="shared" ca="1" si="1"/>
        <v>Собственный капитал</v>
      </c>
      <c r="B92" s="23" t="s">
        <v>2083</v>
      </c>
      <c r="C92" t="s">
        <v>601</v>
      </c>
      <c r="D92" t="s">
        <v>1002</v>
      </c>
    </row>
    <row r="93" spans="1:4" x14ac:dyDescent="0.2">
      <c r="A93" t="str">
        <f t="shared" ca="1" si="1"/>
        <v>Нераспределенная прибыль (+) / убыток (-)</v>
      </c>
      <c r="B93" s="23" t="s">
        <v>427</v>
      </c>
      <c r="C93" t="s">
        <v>602</v>
      </c>
      <c r="D93" t="s">
        <v>1003</v>
      </c>
    </row>
    <row r="94" spans="1:4" x14ac:dyDescent="0.2">
      <c r="A94" t="str">
        <f t="shared" ca="1" si="1"/>
        <v>Целевое финансирование</v>
      </c>
      <c r="B94" s="23" t="s">
        <v>2016</v>
      </c>
      <c r="C94" t="s">
        <v>603</v>
      </c>
      <c r="D94" t="s">
        <v>1004</v>
      </c>
    </row>
    <row r="95" spans="1:4" x14ac:dyDescent="0.2">
      <c r="A95" t="str">
        <f t="shared" ca="1" si="1"/>
        <v>Кредиты</v>
      </c>
      <c r="B95" s="23" t="s">
        <v>2015</v>
      </c>
      <c r="C95" t="s">
        <v>604</v>
      </c>
      <c r="D95" t="s">
        <v>1005</v>
      </c>
    </row>
    <row r="96" spans="1:4" x14ac:dyDescent="0.2">
      <c r="A96" t="str">
        <f t="shared" ca="1" si="1"/>
        <v>Кредиторская задолженность перед поставщиками</v>
      </c>
      <c r="B96" s="23" t="s">
        <v>2084</v>
      </c>
      <c r="C96" t="s">
        <v>605</v>
      </c>
      <c r="D96" t="s">
        <v>1252</v>
      </c>
    </row>
    <row r="97" spans="1:4" x14ac:dyDescent="0.2">
      <c r="A97" t="str">
        <f t="shared" ca="1" si="1"/>
        <v>Кредиторская задолженность перед бюджетом</v>
      </c>
      <c r="B97" s="23" t="s">
        <v>2085</v>
      </c>
      <c r="C97" t="s">
        <v>606</v>
      </c>
      <c r="D97" t="s">
        <v>1253</v>
      </c>
    </row>
    <row r="98" spans="1:4" x14ac:dyDescent="0.2">
      <c r="A98" t="str">
        <f t="shared" ca="1" si="1"/>
        <v>Кредиторская задолженность перед персоналом</v>
      </c>
      <c r="B98" s="23" t="s">
        <v>571</v>
      </c>
      <c r="C98" t="s">
        <v>607</v>
      </c>
      <c r="D98" t="s">
        <v>892</v>
      </c>
    </row>
    <row r="99" spans="1:4" x14ac:dyDescent="0.2">
      <c r="A99" t="str">
        <f t="shared" ca="1" si="1"/>
        <v>Авансы полученные</v>
      </c>
      <c r="B99" s="23" t="s">
        <v>570</v>
      </c>
      <c r="C99" s="217" t="s">
        <v>608</v>
      </c>
      <c r="D99" t="s">
        <v>893</v>
      </c>
    </row>
    <row r="100" spans="1:4" x14ac:dyDescent="0.2">
      <c r="A100" t="str">
        <f t="shared" ca="1" si="1"/>
        <v>Прочие кредиторы</v>
      </c>
      <c r="B100" s="23" t="s">
        <v>2086</v>
      </c>
      <c r="C100" t="s">
        <v>609</v>
      </c>
      <c r="D100" t="s">
        <v>894</v>
      </c>
    </row>
    <row r="101" spans="1:4" x14ac:dyDescent="0.2">
      <c r="A101" t="str">
        <f t="shared" ca="1" si="1"/>
        <v>Итого пассивы</v>
      </c>
      <c r="B101" s="23" t="s">
        <v>2090</v>
      </c>
      <c r="C101" t="s">
        <v>610</v>
      </c>
      <c r="D101" t="s">
        <v>1229</v>
      </c>
    </row>
    <row r="102" spans="1:4" x14ac:dyDescent="0.2">
      <c r="A102" t="str">
        <f t="shared" ca="1" si="1"/>
        <v>Контроль сходимости баланса</v>
      </c>
      <c r="B102" s="24" t="s">
        <v>423</v>
      </c>
      <c r="C102" t="s">
        <v>611</v>
      </c>
      <c r="D102" t="s">
        <v>1230</v>
      </c>
    </row>
    <row r="103" spans="1:4" x14ac:dyDescent="0.2">
      <c r="A103" t="str">
        <f t="shared" ca="1" si="1"/>
        <v xml:space="preserve">         ИНФЛЯЦИЯ И МАКРОЭКОНОМИЧЕСКИЕ ПРОГНОЗЫ</v>
      </c>
      <c r="B103" s="24" t="s">
        <v>648</v>
      </c>
      <c r="C103" t="s">
        <v>99</v>
      </c>
      <c r="D103" t="s">
        <v>884</v>
      </c>
    </row>
    <row r="104" spans="1:4" x14ac:dyDescent="0.2">
      <c r="A104" t="str">
        <f t="shared" ca="1" si="1"/>
        <v>Предполагаемый темп годового роста цен</v>
      </c>
      <c r="B104" t="s">
        <v>2093</v>
      </c>
      <c r="C104" t="s">
        <v>1006</v>
      </c>
      <c r="D104" t="s">
        <v>1231</v>
      </c>
    </row>
    <row r="105" spans="1:4" x14ac:dyDescent="0.2">
      <c r="A105" t="str">
        <f t="shared" ca="1" si="1"/>
        <v>для основной валюты</v>
      </c>
      <c r="B105" t="s">
        <v>2094</v>
      </c>
      <c r="C105" t="s">
        <v>1007</v>
      </c>
      <c r="D105" t="s">
        <v>1232</v>
      </c>
    </row>
    <row r="106" spans="1:4" x14ac:dyDescent="0.2">
      <c r="A106" t="str">
        <f t="shared" ca="1" si="1"/>
        <v>То же, в пересчете на период, равный шагу проекта</v>
      </c>
      <c r="B106" t="s">
        <v>2095</v>
      </c>
      <c r="C106" t="s">
        <v>1008</v>
      </c>
      <c r="D106" t="s">
        <v>1233</v>
      </c>
    </row>
    <row r="107" spans="1:4" x14ac:dyDescent="0.2">
      <c r="A107" t="str">
        <f t="shared" ca="1" si="1"/>
        <v>Множитель прироста цен для основной валюты</v>
      </c>
      <c r="B107" t="s">
        <v>2096</v>
      </c>
      <c r="C107" t="s">
        <v>1009</v>
      </c>
      <c r="D107" t="s">
        <v>1234</v>
      </c>
    </row>
    <row r="108" spans="1:4" x14ac:dyDescent="0.2">
      <c r="A108" t="str">
        <f t="shared" ca="1" si="1"/>
        <v xml:space="preserve">  (отключен)</v>
      </c>
      <c r="B108" t="s">
        <v>178</v>
      </c>
      <c r="C108" t="s">
        <v>1010</v>
      </c>
      <c r="D108" t="s">
        <v>1235</v>
      </c>
    </row>
    <row r="109" spans="1:4" x14ac:dyDescent="0.2">
      <c r="A109" t="str">
        <f t="shared" ca="1" si="1"/>
        <v xml:space="preserve">  (включен)</v>
      </c>
      <c r="B109" t="s">
        <v>179</v>
      </c>
      <c r="C109" t="s">
        <v>1011</v>
      </c>
      <c r="D109" t="s">
        <v>1236</v>
      </c>
    </row>
    <row r="110" spans="1:4" x14ac:dyDescent="0.2">
      <c r="A110" t="str">
        <f t="shared" ca="1" si="1"/>
        <v>Данные для иностранной валюты</v>
      </c>
      <c r="B110" t="s">
        <v>2543</v>
      </c>
      <c r="C110" t="s">
        <v>1012</v>
      </c>
      <c r="D110" t="s">
        <v>909</v>
      </c>
    </row>
    <row r="111" spans="1:4" x14ac:dyDescent="0.2">
      <c r="A111" t="str">
        <f t="shared" ca="1" si="1"/>
        <v>Предполагаемый годовой темп прироста</v>
      </c>
      <c r="B111" t="s">
        <v>2097</v>
      </c>
      <c r="C111" t="s">
        <v>2648</v>
      </c>
      <c r="D111" t="s">
        <v>910</v>
      </c>
    </row>
    <row r="112" spans="1:4" x14ac:dyDescent="0.2">
      <c r="A112" t="str">
        <f t="shared" ca="1" si="1"/>
        <v>обменного курса иностранной валюты</v>
      </c>
      <c r="B112" t="s">
        <v>2098</v>
      </c>
      <c r="C112" t="s">
        <v>710</v>
      </c>
      <c r="D112" t="s">
        <v>911</v>
      </c>
    </row>
    <row r="113" spans="1:4" x14ac:dyDescent="0.2">
      <c r="A113" t="str">
        <f t="shared" ca="1" si="1"/>
        <v>Курс валюты</v>
      </c>
      <c r="B113" t="s">
        <v>168</v>
      </c>
      <c r="C113" t="s">
        <v>895</v>
      </c>
      <c r="D113" t="s">
        <v>912</v>
      </c>
    </row>
    <row r="114" spans="1:4" x14ac:dyDescent="0.2">
      <c r="A114" t="str">
        <f t="shared" ca="1" si="1"/>
        <v>Предполагаемый темп годового роста цен</v>
      </c>
      <c r="B114" t="s">
        <v>2093</v>
      </c>
      <c r="C114" t="s">
        <v>1006</v>
      </c>
      <c r="D114" t="s">
        <v>1231</v>
      </c>
    </row>
    <row r="115" spans="1:4" x14ac:dyDescent="0.2">
      <c r="A115" t="str">
        <f t="shared" ca="1" si="1"/>
        <v>для иностранной валюты</v>
      </c>
      <c r="B115" t="s">
        <v>169</v>
      </c>
      <c r="C115" t="s">
        <v>710</v>
      </c>
      <c r="D115" t="s">
        <v>911</v>
      </c>
    </row>
    <row r="116" spans="1:4" x14ac:dyDescent="0.2">
      <c r="A116" t="str">
        <f t="shared" ca="1" si="1"/>
        <v>То же, в пересчете на период, равный шагу проекта</v>
      </c>
      <c r="B116" t="s">
        <v>2095</v>
      </c>
      <c r="C116" t="s">
        <v>1008</v>
      </c>
      <c r="D116" t="s">
        <v>1233</v>
      </c>
    </row>
    <row r="117" spans="1:4" x14ac:dyDescent="0.2">
      <c r="A117" t="str">
        <f t="shared" ca="1" si="1"/>
        <v>Множитель прироста цен для иностранной валюты</v>
      </c>
      <c r="B117" t="s">
        <v>170</v>
      </c>
      <c r="C117" t="s">
        <v>896</v>
      </c>
      <c r="D117" t="s">
        <v>913</v>
      </c>
    </row>
    <row r="118" spans="1:4" x14ac:dyDescent="0.2">
      <c r="A118" t="str">
        <f t="shared" ca="1" si="1"/>
        <v>Ставка рефинансирования ЦБ</v>
      </c>
      <c r="B118" t="s">
        <v>171</v>
      </c>
      <c r="C118" t="s">
        <v>897</v>
      </c>
      <c r="D118" t="s">
        <v>914</v>
      </c>
    </row>
    <row r="119" spans="1:4" x14ac:dyDescent="0.2">
      <c r="A119" t="str">
        <f t="shared" ca="1" si="1"/>
        <v>Ставка процентов по кредитам, в пределах которой</v>
      </c>
      <c r="B119" t="s">
        <v>172</v>
      </c>
      <c r="D119" t="s">
        <v>915</v>
      </c>
    </row>
    <row r="120" spans="1:4" x14ac:dyDescent="0.2">
      <c r="A120" t="str">
        <f t="shared" ca="1" si="1"/>
        <v>уменьшается налогооблагаемая прибыль:</v>
      </c>
      <c r="B120" t="s">
        <v>173</v>
      </c>
      <c r="C120" t="s">
        <v>898</v>
      </c>
      <c r="D120" t="s">
        <v>916</v>
      </c>
    </row>
    <row r="121" spans="1:4" x14ac:dyDescent="0.2">
      <c r="A121" t="str">
        <f t="shared" ca="1" si="1"/>
        <v>основная валюта</v>
      </c>
      <c r="B121" t="s">
        <v>174</v>
      </c>
      <c r="C121" t="s">
        <v>899</v>
      </c>
      <c r="D121" t="s">
        <v>917</v>
      </c>
    </row>
    <row r="122" spans="1:4" x14ac:dyDescent="0.2">
      <c r="A122" t="str">
        <f t="shared" ca="1" si="1"/>
        <v>иностранная валюта</v>
      </c>
      <c r="B122" t="s">
        <v>175</v>
      </c>
      <c r="C122" t="s">
        <v>900</v>
      </c>
      <c r="D122" t="s">
        <v>918</v>
      </c>
    </row>
    <row r="123" spans="1:4" x14ac:dyDescent="0.2">
      <c r="A123" t="str">
        <f t="shared" ca="1" si="1"/>
        <v xml:space="preserve">         НАЛОГИ И ПЛАТЕЖИ В ФОНДЫ</v>
      </c>
      <c r="B123" s="24" t="s">
        <v>649</v>
      </c>
      <c r="C123" t="s">
        <v>901</v>
      </c>
      <c r="D123" t="s">
        <v>1013</v>
      </c>
    </row>
    <row r="124" spans="1:4" x14ac:dyDescent="0.2">
      <c r="A124" t="str">
        <f t="shared" ca="1" si="1"/>
        <v>Система налогообложения</v>
      </c>
      <c r="B124" s="19" t="s">
        <v>445</v>
      </c>
      <c r="C124" t="s">
        <v>902</v>
      </c>
      <c r="D124" t="s">
        <v>919</v>
      </c>
    </row>
    <row r="125" spans="1:4" x14ac:dyDescent="0.2">
      <c r="A125" t="str">
        <f t="shared" ca="1" si="1"/>
        <v>Налог на прибыль (общий налоговый режим)</v>
      </c>
      <c r="B125" s="45" t="s">
        <v>446</v>
      </c>
      <c r="C125" t="s">
        <v>903</v>
      </c>
      <c r="D125" t="s">
        <v>920</v>
      </c>
    </row>
    <row r="126" spans="1:4" x14ac:dyDescent="0.2">
      <c r="A126" t="str">
        <f t="shared" ca="1" si="1"/>
        <v>Единый налог на вмененный доход (специальный налоговый режим)</v>
      </c>
      <c r="B126" s="45" t="s">
        <v>447</v>
      </c>
      <c r="C126" t="s">
        <v>904</v>
      </c>
      <c r="D126" t="s">
        <v>921</v>
      </c>
    </row>
    <row r="127" spans="1:4" x14ac:dyDescent="0.2">
      <c r="A127" t="str">
        <f t="shared" ca="1" si="1"/>
        <v>Упрощенная система налогообложения (специальный налоговый режим)</v>
      </c>
      <c r="B127" s="45" t="s">
        <v>448</v>
      </c>
      <c r="C127" t="s">
        <v>905</v>
      </c>
      <c r="D127" t="s">
        <v>922</v>
      </c>
    </row>
    <row r="128" spans="1:4" x14ac:dyDescent="0.2">
      <c r="A128" t="str">
        <f t="shared" ca="1" si="1"/>
        <v>Акцизы и экспортные пошлины</v>
      </c>
      <c r="B128" t="s">
        <v>2283</v>
      </c>
      <c r="C128" s="217" t="s">
        <v>906</v>
      </c>
      <c r="D128" t="s">
        <v>923</v>
      </c>
    </row>
    <row r="129" spans="1:4" x14ac:dyDescent="0.2">
      <c r="A129" t="str">
        <f t="shared" ca="1" si="1"/>
        <v>Импортные пошлины</v>
      </c>
      <c r="B129" t="s">
        <v>2284</v>
      </c>
      <c r="C129" s="217" t="s">
        <v>907</v>
      </c>
      <c r="D129" t="s">
        <v>924</v>
      </c>
    </row>
    <row r="130" spans="1:4" x14ac:dyDescent="0.2">
      <c r="A130" t="str">
        <f t="shared" ca="1" si="1"/>
        <v xml:space="preserve"> НАЛОГ НА ДОБАВЛЕННУЮ СТОИМОСТЬ</v>
      </c>
      <c r="B130" t="s">
        <v>505</v>
      </c>
      <c r="C130" t="s">
        <v>908</v>
      </c>
      <c r="D130" t="s">
        <v>925</v>
      </c>
    </row>
    <row r="131" spans="1:4" x14ac:dyDescent="0.2">
      <c r="A131" t="str">
        <f t="shared" ca="1" si="1"/>
        <v xml:space="preserve">    ставка</v>
      </c>
      <c r="B131" t="s">
        <v>2285</v>
      </c>
      <c r="C131" t="s">
        <v>749</v>
      </c>
      <c r="D131" t="s">
        <v>926</v>
      </c>
    </row>
    <row r="132" spans="1:4" x14ac:dyDescent="0.2">
      <c r="A132" t="str">
        <f t="shared" ca="1" si="1"/>
        <v xml:space="preserve">    период уплаты</v>
      </c>
      <c r="B132" t="s">
        <v>2286</v>
      </c>
      <c r="C132" t="s">
        <v>750</v>
      </c>
      <c r="D132" t="s">
        <v>927</v>
      </c>
    </row>
    <row r="133" spans="1:4" x14ac:dyDescent="0.2">
      <c r="A133" t="str">
        <f t="shared" ca="1" si="1"/>
        <v xml:space="preserve">    способ зачета переплаченного НДС</v>
      </c>
      <c r="B133" t="s">
        <v>2287</v>
      </c>
      <c r="C133" t="s">
        <v>751</v>
      </c>
      <c r="D133" t="s">
        <v>928</v>
      </c>
    </row>
    <row r="134" spans="1:4" x14ac:dyDescent="0.2">
      <c r="A134" t="str">
        <f t="shared" ca="1" si="1"/>
        <v xml:space="preserve">    прямое возмещение налога через</v>
      </c>
      <c r="B134" t="s">
        <v>508</v>
      </c>
      <c r="C134" t="s">
        <v>752</v>
      </c>
      <c r="D134" t="s">
        <v>929</v>
      </c>
    </row>
    <row r="135" spans="1:4" x14ac:dyDescent="0.2">
      <c r="A135" t="str">
        <f t="shared" ca="1" si="1"/>
        <v>периодов</v>
      </c>
      <c r="B135" t="s">
        <v>509</v>
      </c>
      <c r="C135" t="s">
        <v>753</v>
      </c>
      <c r="D135" t="s">
        <v>930</v>
      </c>
    </row>
    <row r="136" spans="1:4" x14ac:dyDescent="0.2">
      <c r="A136" t="str">
        <f t="shared" ca="1" si="1"/>
        <v>НДС полученный</v>
      </c>
      <c r="B136" t="s">
        <v>2288</v>
      </c>
      <c r="C136" t="s">
        <v>754</v>
      </c>
      <c r="D136" t="s">
        <v>931</v>
      </c>
    </row>
    <row r="137" spans="1:4" x14ac:dyDescent="0.2">
      <c r="A137" t="str">
        <f t="shared" ca="1" si="1"/>
        <v xml:space="preserve">    от продажи товаров (работ, услуг)</v>
      </c>
      <c r="B137" t="s">
        <v>2289</v>
      </c>
      <c r="C137" t="s">
        <v>755</v>
      </c>
      <c r="D137" t="s">
        <v>932</v>
      </c>
    </row>
    <row r="138" spans="1:4" x14ac:dyDescent="0.2">
      <c r="A138" t="str">
        <f t="shared" ca="1" si="1"/>
        <v xml:space="preserve">    от продажи активов</v>
      </c>
      <c r="B138" t="s">
        <v>466</v>
      </c>
      <c r="C138" t="s">
        <v>756</v>
      </c>
      <c r="D138" t="s">
        <v>933</v>
      </c>
    </row>
    <row r="139" spans="1:4" x14ac:dyDescent="0.2">
      <c r="A139" t="str">
        <f t="shared" ca="1" si="1"/>
        <v xml:space="preserve">    от прочей деятельности</v>
      </c>
      <c r="B139" t="s">
        <v>467</v>
      </c>
      <c r="C139" t="s">
        <v>757</v>
      </c>
      <c r="D139" t="s">
        <v>934</v>
      </c>
    </row>
    <row r="140" spans="1:4" x14ac:dyDescent="0.2">
      <c r="A140" t="str">
        <f t="shared" ca="1" si="1"/>
        <v>НДС уплаченный</v>
      </c>
      <c r="B140" t="s">
        <v>468</v>
      </c>
      <c r="C140" t="s">
        <v>758</v>
      </c>
      <c r="D140" t="s">
        <v>935</v>
      </c>
    </row>
    <row r="141" spans="1:4" x14ac:dyDescent="0.2">
      <c r="A141" t="str">
        <f t="shared" ca="1" si="1"/>
        <v xml:space="preserve">    при оплате материалов и комплектующих</v>
      </c>
      <c r="B141" t="s">
        <v>469</v>
      </c>
      <c r="C141" t="s">
        <v>759</v>
      </c>
      <c r="D141" t="s">
        <v>936</v>
      </c>
    </row>
    <row r="142" spans="1:4" x14ac:dyDescent="0.2">
      <c r="A142" t="str">
        <f t="shared" ca="1" si="1"/>
        <v xml:space="preserve">    при оплате текущих затрат</v>
      </c>
      <c r="B142" t="s">
        <v>470</v>
      </c>
      <c r="C142" t="s">
        <v>760</v>
      </c>
      <c r="D142" t="s">
        <v>937</v>
      </c>
    </row>
    <row r="143" spans="1:4" x14ac:dyDescent="0.2">
      <c r="A143" t="str">
        <f t="shared" ca="1" si="1"/>
        <v xml:space="preserve">    при оплате прочих расходов</v>
      </c>
      <c r="B143" t="s">
        <v>667</v>
      </c>
      <c r="C143" t="s">
        <v>761</v>
      </c>
      <c r="D143" t="s">
        <v>938</v>
      </c>
    </row>
    <row r="144" spans="1:4" x14ac:dyDescent="0.2">
      <c r="A144" t="str">
        <f t="shared" ca="1" si="1"/>
        <v xml:space="preserve">    при оплате лизинга</v>
      </c>
      <c r="B144" t="s">
        <v>659</v>
      </c>
      <c r="C144" t="s">
        <v>763</v>
      </c>
      <c r="D144" t="s">
        <v>939</v>
      </c>
    </row>
    <row r="145" spans="1:4" x14ac:dyDescent="0.2">
      <c r="A145" t="str">
        <f t="shared" ca="1" si="1"/>
        <v xml:space="preserve">    при выкупе арендованных активов</v>
      </c>
      <c r="B145" t="s">
        <v>660</v>
      </c>
      <c r="C145" t="s">
        <v>764</v>
      </c>
      <c r="D145" t="s">
        <v>940</v>
      </c>
    </row>
    <row r="146" spans="1:4" x14ac:dyDescent="0.2">
      <c r="A146" t="str">
        <f t="shared" ca="1" si="1"/>
        <v xml:space="preserve">    при оплате инвестиционных вложений</v>
      </c>
      <c r="B146" t="s">
        <v>2423</v>
      </c>
      <c r="C146" t="s">
        <v>765</v>
      </c>
      <c r="D146" t="s">
        <v>941</v>
      </c>
    </row>
    <row r="147" spans="1:4" x14ac:dyDescent="0.2">
      <c r="A147" t="str">
        <f t="shared" ca="1" si="1"/>
        <v>Платежи НДС в бюджет (или возврат из бюджета)</v>
      </c>
      <c r="B147" t="s">
        <v>473</v>
      </c>
      <c r="C147" t="s">
        <v>766</v>
      </c>
      <c r="D147" t="s">
        <v>942</v>
      </c>
    </row>
    <row r="148" spans="1:4" x14ac:dyDescent="0.2">
      <c r="A148" t="str">
        <f t="shared" ca="1" si="1"/>
        <v xml:space="preserve">    зачтенный НДС на инвестиционные вложения</v>
      </c>
      <c r="B148" t="s">
        <v>2424</v>
      </c>
      <c r="C148" t="s">
        <v>767</v>
      </c>
      <c r="D148" t="s">
        <v>943</v>
      </c>
    </row>
    <row r="149" spans="1:4" x14ac:dyDescent="0.2">
      <c r="A149" t="str">
        <f t="shared" ca="1" si="1"/>
        <v xml:space="preserve">    выплаченный, но еще не зачтенный НДС</v>
      </c>
      <c r="B149" t="s">
        <v>474</v>
      </c>
      <c r="C149" t="s">
        <v>768</v>
      </c>
      <c r="D149" t="s">
        <v>944</v>
      </c>
    </row>
    <row r="150" spans="1:4" x14ac:dyDescent="0.2">
      <c r="A150" t="str">
        <f t="shared" ca="1" si="1"/>
        <v xml:space="preserve">    НДС к уплате в бюджет (или к возврату из бюджета)</v>
      </c>
      <c r="B150" t="s">
        <v>475</v>
      </c>
      <c r="C150" t="s">
        <v>769</v>
      </c>
      <c r="D150" t="s">
        <v>945</v>
      </c>
    </row>
    <row r="151" spans="1:4" x14ac:dyDescent="0.2">
      <c r="A151" t="str">
        <f t="shared" ca="1" si="1"/>
        <v xml:space="preserve">    прямое возмещение НДС из бюджета</v>
      </c>
      <c r="B151" t="s">
        <v>581</v>
      </c>
      <c r="C151" t="s">
        <v>770</v>
      </c>
      <c r="D151" t="s">
        <v>946</v>
      </c>
    </row>
    <row r="152" spans="1:4" x14ac:dyDescent="0.2">
      <c r="A152" t="str">
        <f t="shared" ca="1" si="1"/>
        <v xml:space="preserve">    отложенный возврат НДС из бюджета</v>
      </c>
      <c r="B152" t="s">
        <v>476</v>
      </c>
      <c r="C152" t="s">
        <v>771</v>
      </c>
      <c r="D152" t="s">
        <v>947</v>
      </c>
    </row>
    <row r="153" spans="1:4" x14ac:dyDescent="0.2">
      <c r="A153" t="str">
        <f t="shared" ca="1" si="1"/>
        <v>ПРОЧИЕ НАЛОГИ</v>
      </c>
      <c r="B153" t="s">
        <v>314</v>
      </c>
      <c r="C153" t="s">
        <v>315</v>
      </c>
      <c r="D153" t="s">
        <v>316</v>
      </c>
    </row>
    <row r="154" spans="1:4" x14ac:dyDescent="0.2">
      <c r="A154" t="str">
        <f t="shared" ca="1" si="1"/>
        <v>Начисления на заработную плату</v>
      </c>
      <c r="B154" t="s">
        <v>477</v>
      </c>
      <c r="C154" t="s">
        <v>772</v>
      </c>
      <c r="D154" t="s">
        <v>948</v>
      </c>
    </row>
    <row r="155" spans="1:4" x14ac:dyDescent="0.2">
      <c r="A155" t="str">
        <f t="shared" ca="1" si="1"/>
        <v xml:space="preserve">    Единый социальный налог (ЕСН)</v>
      </c>
      <c r="B155" t="s">
        <v>478</v>
      </c>
      <c r="C155" t="s">
        <v>773</v>
      </c>
      <c r="D155" t="s">
        <v>949</v>
      </c>
    </row>
    <row r="156" spans="1:4" x14ac:dyDescent="0.2">
      <c r="A156" t="str">
        <f t="shared" ca="1" si="1"/>
        <v xml:space="preserve">        ставка</v>
      </c>
      <c r="B156" t="s">
        <v>479</v>
      </c>
      <c r="C156" t="s">
        <v>774</v>
      </c>
      <c r="D156" t="s">
        <v>950</v>
      </c>
    </row>
    <row r="157" spans="1:4" x14ac:dyDescent="0.2">
      <c r="A157" t="str">
        <f t="shared" ca="1" si="1"/>
        <v xml:space="preserve">        период уплаты</v>
      </c>
      <c r="B157" t="s">
        <v>480</v>
      </c>
      <c r="C157" t="s">
        <v>775</v>
      </c>
      <c r="D157" t="s">
        <v>951</v>
      </c>
    </row>
    <row r="158" spans="1:4" x14ac:dyDescent="0.2">
      <c r="A158" t="str">
        <f t="shared" ca="1" si="1"/>
        <v xml:space="preserve">    Страхование</v>
      </c>
      <c r="B158" t="s">
        <v>481</v>
      </c>
      <c r="C158" t="s">
        <v>776</v>
      </c>
      <c r="D158" t="s">
        <v>952</v>
      </c>
    </row>
    <row r="159" spans="1:4" x14ac:dyDescent="0.2">
      <c r="A159" t="str">
        <f t="shared" ca="1" si="1"/>
        <v xml:space="preserve">        ставка</v>
      </c>
      <c r="B159" t="s">
        <v>479</v>
      </c>
      <c r="C159" t="s">
        <v>777</v>
      </c>
      <c r="D159" t="s">
        <v>953</v>
      </c>
    </row>
    <row r="160" spans="1:4" x14ac:dyDescent="0.2">
      <c r="A160" t="str">
        <f t="shared" ca="1" si="1"/>
        <v xml:space="preserve">        период уплаты</v>
      </c>
      <c r="B160" t="s">
        <v>480</v>
      </c>
      <c r="C160" t="s">
        <v>775</v>
      </c>
      <c r="D160" t="s">
        <v>951</v>
      </c>
    </row>
    <row r="161" spans="1:4" x14ac:dyDescent="0.2">
      <c r="A161" t="str">
        <f t="shared" ca="1" si="1"/>
        <v>Земельный налог</v>
      </c>
      <c r="B161" t="s">
        <v>482</v>
      </c>
      <c r="C161" t="s">
        <v>778</v>
      </c>
      <c r="D161" t="s">
        <v>954</v>
      </c>
    </row>
    <row r="162" spans="1:4" ht="13.2" x14ac:dyDescent="0.25">
      <c r="A162" t="str">
        <f t="shared" ca="1" si="1"/>
        <v xml:space="preserve">    ставка (на тыс. кв. м )</v>
      </c>
      <c r="B162" t="s">
        <v>483</v>
      </c>
      <c r="C162" t="s">
        <v>779</v>
      </c>
      <c r="D162" t="s">
        <v>955</v>
      </c>
    </row>
    <row r="163" spans="1:4" x14ac:dyDescent="0.2">
      <c r="A163" t="str">
        <f t="shared" ca="1" si="1"/>
        <v xml:space="preserve">    площадь к налогообложению</v>
      </c>
      <c r="B163" t="s">
        <v>484</v>
      </c>
      <c r="C163" t="s">
        <v>780</v>
      </c>
      <c r="D163" t="s">
        <v>956</v>
      </c>
    </row>
    <row r="164" spans="1:4" x14ac:dyDescent="0.2">
      <c r="A164" t="str">
        <f t="shared" ca="1" si="1"/>
        <v xml:space="preserve">    период уплаты</v>
      </c>
      <c r="B164" t="s">
        <v>2286</v>
      </c>
      <c r="C164" t="s">
        <v>750</v>
      </c>
      <c r="D164" t="s">
        <v>951</v>
      </c>
    </row>
    <row r="165" spans="1:4" x14ac:dyDescent="0.2">
      <c r="A165" t="str">
        <f t="shared" ca="1" si="1"/>
        <v>Другие налоги, относимые на текущие затраты</v>
      </c>
      <c r="B165" t="s">
        <v>485</v>
      </c>
      <c r="C165" t="s">
        <v>781</v>
      </c>
      <c r="D165" t="s">
        <v>957</v>
      </c>
    </row>
    <row r="166" spans="1:4" x14ac:dyDescent="0.2">
      <c r="A166" t="str">
        <f t="shared" ca="1" si="1"/>
        <v>Другие налоги с продаж</v>
      </c>
      <c r="B166" t="s">
        <v>486</v>
      </c>
      <c r="C166" t="s">
        <v>782</v>
      </c>
      <c r="D166" t="s">
        <v>958</v>
      </c>
    </row>
    <row r="167" spans="1:4" x14ac:dyDescent="0.2">
      <c r="A167" t="str">
        <f t="shared" ca="1" si="1"/>
        <v xml:space="preserve">    ставка</v>
      </c>
      <c r="B167" t="s">
        <v>2285</v>
      </c>
      <c r="C167" t="s">
        <v>783</v>
      </c>
      <c r="D167" t="s">
        <v>959</v>
      </c>
    </row>
    <row r="168" spans="1:4" x14ac:dyDescent="0.2">
      <c r="A168" t="str">
        <f t="shared" ca="1" si="1"/>
        <v xml:space="preserve">    период уплаты</v>
      </c>
      <c r="B168" t="s">
        <v>2286</v>
      </c>
      <c r="C168" t="s">
        <v>750</v>
      </c>
      <c r="D168" t="s">
        <v>951</v>
      </c>
    </row>
    <row r="169" spans="1:4" x14ac:dyDescent="0.2">
      <c r="A169" t="str">
        <f t="shared" ca="1" si="1"/>
        <v xml:space="preserve">    налогооблагаемая база</v>
      </c>
      <c r="B169" t="s">
        <v>487</v>
      </c>
      <c r="C169" t="s">
        <v>786</v>
      </c>
      <c r="D169" t="s">
        <v>960</v>
      </c>
    </row>
    <row r="170" spans="1:4" x14ac:dyDescent="0.2">
      <c r="A170" t="str">
        <f t="shared" ca="1" si="1"/>
        <v xml:space="preserve">    ставка</v>
      </c>
      <c r="B170" t="s">
        <v>2285</v>
      </c>
      <c r="C170" t="s">
        <v>783</v>
      </c>
      <c r="D170" t="s">
        <v>959</v>
      </c>
    </row>
    <row r="171" spans="1:4" x14ac:dyDescent="0.2">
      <c r="A171" t="str">
        <f t="shared" ca="1" si="1"/>
        <v xml:space="preserve">    период уплаты</v>
      </c>
      <c r="B171" t="s">
        <v>2286</v>
      </c>
      <c r="C171" t="s">
        <v>750</v>
      </c>
      <c r="D171" t="s">
        <v>951</v>
      </c>
    </row>
    <row r="172" spans="1:4" x14ac:dyDescent="0.2">
      <c r="A172" t="str">
        <f t="shared" ca="1" si="1"/>
        <v xml:space="preserve">   задолженность перед бюджетом</v>
      </c>
      <c r="B172" s="45" t="s">
        <v>576</v>
      </c>
      <c r="C172" s="45" t="s">
        <v>787</v>
      </c>
      <c r="D172" t="s">
        <v>961</v>
      </c>
    </row>
    <row r="173" spans="1:4" x14ac:dyDescent="0.2">
      <c r="A173" t="str">
        <f t="shared" ca="1" si="1"/>
        <v>НАЛОГИ, ОТНОСИМЫЕ НА ФИНАНСОВЫЕ РЕЗУЛЬТАТЫ</v>
      </c>
      <c r="B173" t="s">
        <v>506</v>
      </c>
      <c r="C173" t="s">
        <v>788</v>
      </c>
      <c r="D173" t="s">
        <v>962</v>
      </c>
    </row>
    <row r="174" spans="1:4" x14ac:dyDescent="0.2">
      <c r="A174" t="str">
        <f t="shared" ca="1" si="1"/>
        <v>Налог на имущество</v>
      </c>
      <c r="B174" t="s">
        <v>488</v>
      </c>
      <c r="C174" t="s">
        <v>789</v>
      </c>
      <c r="D174" t="s">
        <v>963</v>
      </c>
    </row>
    <row r="175" spans="1:4" x14ac:dyDescent="0.2">
      <c r="A175" t="str">
        <f t="shared" ca="1" si="1"/>
        <v xml:space="preserve">    средняя стоимость имущества за период</v>
      </c>
      <c r="B175" t="s">
        <v>489</v>
      </c>
      <c r="C175" t="s">
        <v>790</v>
      </c>
      <c r="D175" t="s">
        <v>964</v>
      </c>
    </row>
    <row r="176" spans="1:4" x14ac:dyDescent="0.2">
      <c r="A176" t="str">
        <f t="shared" ca="1" si="1"/>
        <v xml:space="preserve">    стоимость имущества, освобождаемого от налога</v>
      </c>
      <c r="B176" t="s">
        <v>490</v>
      </c>
      <c r="C176" t="s">
        <v>1271</v>
      </c>
      <c r="D176" t="s">
        <v>1261</v>
      </c>
    </row>
    <row r="177" spans="1:4" x14ac:dyDescent="0.2">
      <c r="A177" t="str">
        <f t="shared" ca="1" si="1"/>
        <v xml:space="preserve">    ставка</v>
      </c>
      <c r="B177" t="s">
        <v>2285</v>
      </c>
      <c r="C177" t="s">
        <v>749</v>
      </c>
      <c r="D177" t="s">
        <v>1262</v>
      </c>
    </row>
    <row r="178" spans="1:4" x14ac:dyDescent="0.2">
      <c r="A178" t="str">
        <f t="shared" ca="1" si="1"/>
        <v xml:space="preserve">    период уплаты</v>
      </c>
      <c r="B178" t="s">
        <v>2286</v>
      </c>
      <c r="C178" t="s">
        <v>750</v>
      </c>
      <c r="D178" t="s">
        <v>1263</v>
      </c>
    </row>
    <row r="179" spans="1:4" x14ac:dyDescent="0.2">
      <c r="A179" t="str">
        <f t="shared" ca="1" si="1"/>
        <v>Другие налоги, относимые на финансовые результаты</v>
      </c>
      <c r="B179" t="s">
        <v>491</v>
      </c>
      <c r="C179" t="s">
        <v>1272</v>
      </c>
      <c r="D179" t="s">
        <v>1264</v>
      </c>
    </row>
    <row r="180" spans="1:4" x14ac:dyDescent="0.2">
      <c r="A180" t="str">
        <f t="shared" ca="1" si="1"/>
        <v xml:space="preserve">    налогооблагаемая база</v>
      </c>
      <c r="B180" t="s">
        <v>487</v>
      </c>
      <c r="C180" t="s">
        <v>786</v>
      </c>
      <c r="D180" t="s">
        <v>1265</v>
      </c>
    </row>
    <row r="181" spans="1:4" x14ac:dyDescent="0.2">
      <c r="A181" t="str">
        <f t="shared" ca="1" si="1"/>
        <v xml:space="preserve">    ставка</v>
      </c>
      <c r="B181" t="s">
        <v>2285</v>
      </c>
      <c r="C181" t="s">
        <v>749</v>
      </c>
      <c r="D181" t="s">
        <v>1262</v>
      </c>
    </row>
    <row r="182" spans="1:4" x14ac:dyDescent="0.2">
      <c r="A182" t="str">
        <f t="shared" ca="1" si="1"/>
        <v xml:space="preserve">    период уплаты</v>
      </c>
      <c r="B182" t="s">
        <v>2286</v>
      </c>
      <c r="C182" t="s">
        <v>750</v>
      </c>
      <c r="D182" t="s">
        <v>1263</v>
      </c>
    </row>
    <row r="183" spans="1:4" x14ac:dyDescent="0.2">
      <c r="A183" t="str">
        <f t="shared" ca="1" si="1"/>
        <v>НАЛОГ НА ПРИБЫЛЬ</v>
      </c>
      <c r="B183" t="s">
        <v>507</v>
      </c>
      <c r="C183" t="s">
        <v>1273</v>
      </c>
      <c r="D183" t="s">
        <v>920</v>
      </c>
    </row>
    <row r="184" spans="1:4" x14ac:dyDescent="0.2">
      <c r="A184" t="str">
        <f t="shared" ca="1" si="1"/>
        <v xml:space="preserve">    ставка</v>
      </c>
      <c r="B184" t="s">
        <v>2285</v>
      </c>
      <c r="C184" t="s">
        <v>749</v>
      </c>
      <c r="D184" t="s">
        <v>1262</v>
      </c>
    </row>
    <row r="185" spans="1:4" x14ac:dyDescent="0.2">
      <c r="A185" t="str">
        <f t="shared" ca="1" si="1"/>
        <v xml:space="preserve">    период уплаты</v>
      </c>
      <c r="B185" t="s">
        <v>2286</v>
      </c>
      <c r="C185" t="s">
        <v>750</v>
      </c>
      <c r="D185" t="s">
        <v>1263</v>
      </c>
    </row>
    <row r="186" spans="1:4" x14ac:dyDescent="0.2">
      <c r="A186" t="str">
        <f t="shared" ca="1" si="1"/>
        <v>Начисленный налог на прибыль</v>
      </c>
      <c r="B186" t="s">
        <v>492</v>
      </c>
      <c r="C186" t="s">
        <v>1274</v>
      </c>
      <c r="D186" t="s">
        <v>1266</v>
      </c>
    </row>
    <row r="187" spans="1:4" x14ac:dyDescent="0.2">
      <c r="A187" t="str">
        <f t="shared" ca="1" si="1"/>
        <v xml:space="preserve">         то же, в итоговой валюте</v>
      </c>
      <c r="B187" t="s">
        <v>2434</v>
      </c>
      <c r="C187" t="s">
        <v>1275</v>
      </c>
      <c r="D187" t="s">
        <v>1267</v>
      </c>
    </row>
    <row r="188" spans="1:4" x14ac:dyDescent="0.2">
      <c r="A188" t="str">
        <f t="shared" ca="1" si="1"/>
        <v xml:space="preserve">    прибыль до налогообложения</v>
      </c>
      <c r="B188" t="s">
        <v>493</v>
      </c>
      <c r="C188" t="s">
        <v>1276</v>
      </c>
      <c r="D188" t="s">
        <v>1268</v>
      </c>
    </row>
    <row r="189" spans="1:4" x14ac:dyDescent="0.2">
      <c r="A189" t="str">
        <f t="shared" ca="1" si="1"/>
        <v xml:space="preserve">    проценты по кредиту, выплачиваемые из прибыли</v>
      </c>
      <c r="B189" t="s">
        <v>494</v>
      </c>
      <c r="C189" t="s">
        <v>1277</v>
      </c>
      <c r="D189" t="s">
        <v>1269</v>
      </c>
    </row>
    <row r="190" spans="1:4" x14ac:dyDescent="0.2">
      <c r="A190" t="str">
        <f t="shared" ca="1" si="1"/>
        <v xml:space="preserve">    льготы по налогу на прибыль</v>
      </c>
      <c r="B190" t="s">
        <v>495</v>
      </c>
      <c r="C190" t="s">
        <v>1278</v>
      </c>
      <c r="D190" t="s">
        <v>1270</v>
      </c>
    </row>
    <row r="191" spans="1:4" x14ac:dyDescent="0.2">
      <c r="A191" t="str">
        <f t="shared" ca="1" si="1"/>
        <v xml:space="preserve">    накопленная прибыль/убытки текущего года</v>
      </c>
      <c r="B191" t="s">
        <v>496</v>
      </c>
      <c r="C191" t="s">
        <v>1279</v>
      </c>
      <c r="D191" t="s">
        <v>1301</v>
      </c>
    </row>
    <row r="192" spans="1:4" x14ac:dyDescent="0.2">
      <c r="A192" t="str">
        <f t="shared" ca="1" si="1"/>
        <v xml:space="preserve">    убытки предыдущих периодов</v>
      </c>
      <c r="B192" t="s">
        <v>2582</v>
      </c>
      <c r="C192" t="s">
        <v>2583</v>
      </c>
      <c r="D192" t="s">
        <v>1302</v>
      </c>
    </row>
    <row r="193" spans="1:4" x14ac:dyDescent="0.2">
      <c r="A193" t="str">
        <f t="shared" ca="1" si="1"/>
        <v xml:space="preserve">    списано убытков предыдущих лет</v>
      </c>
      <c r="B193" t="s">
        <v>497</v>
      </c>
      <c r="C193" t="s">
        <v>1280</v>
      </c>
      <c r="D193" t="s">
        <v>1303</v>
      </c>
    </row>
    <row r="194" spans="1:4" x14ac:dyDescent="0.2">
      <c r="A194" t="str">
        <f t="shared" ca="1" si="1"/>
        <v xml:space="preserve">    прибыль, на которую начисляется налог</v>
      </c>
      <c r="B194" t="s">
        <v>498</v>
      </c>
      <c r="C194" t="s">
        <v>1281</v>
      </c>
      <c r="D194" t="s">
        <v>1304</v>
      </c>
    </row>
    <row r="195" spans="1:4" x14ac:dyDescent="0.2">
      <c r="A195" t="str">
        <f t="shared" ca="1" si="1"/>
        <v>СПЕЦИАЛЬНЫЕ РЕЖИМЫ НАЛОГООБЛОЖЕНИЯ</v>
      </c>
      <c r="B195" s="24" t="s">
        <v>456</v>
      </c>
      <c r="C195" t="s">
        <v>1282</v>
      </c>
      <c r="D195" t="s">
        <v>1305</v>
      </c>
    </row>
    <row r="196" spans="1:4" x14ac:dyDescent="0.2">
      <c r="A196" t="str">
        <f t="shared" ca="1" si="1"/>
        <v>ЕДИНЫЙ НАЛОГ НА ВМЕНЕННЫЙ ДОХОД</v>
      </c>
      <c r="B196" t="s">
        <v>449</v>
      </c>
      <c r="C196" t="s">
        <v>1283</v>
      </c>
      <c r="D196" t="s">
        <v>1306</v>
      </c>
    </row>
    <row r="197" spans="1:4" x14ac:dyDescent="0.2">
      <c r="A197" t="str">
        <f t="shared" ca="1" si="1"/>
        <v>разы</v>
      </c>
      <c r="B197" t="s">
        <v>2364</v>
      </c>
      <c r="C197" t="s">
        <v>1284</v>
      </c>
      <c r="D197" t="s">
        <v>1307</v>
      </c>
    </row>
    <row r="198" spans="1:4" x14ac:dyDescent="0.2">
      <c r="A198" t="str">
        <f t="shared" ca="1" si="1"/>
        <v>Начисленный налог на вмененный доход</v>
      </c>
      <c r="B198" s="128" t="s">
        <v>459</v>
      </c>
      <c r="C198" t="s">
        <v>1285</v>
      </c>
      <c r="D198" t="s">
        <v>1308</v>
      </c>
    </row>
    <row r="199" spans="1:4" x14ac:dyDescent="0.2">
      <c r="A199" t="str">
        <f t="shared" ca="1" si="1"/>
        <v>Физический показатель доходности</v>
      </c>
      <c r="B199" s="19" t="s">
        <v>450</v>
      </c>
      <c r="C199" t="s">
        <v>1286</v>
      </c>
      <c r="D199" t="s">
        <v>1309</v>
      </c>
    </row>
    <row r="200" spans="1:4" x14ac:dyDescent="0.2">
      <c r="A200" t="str">
        <f t="shared" ca="1" si="1"/>
        <v>Базовая доходность</v>
      </c>
      <c r="B200" s="19" t="s">
        <v>451</v>
      </c>
      <c r="C200" t="s">
        <v>1287</v>
      </c>
      <c r="D200" t="s">
        <v>1310</v>
      </c>
    </row>
    <row r="201" spans="1:4" x14ac:dyDescent="0.2">
      <c r="A201" t="str">
        <f t="shared" ca="1" si="1"/>
        <v>Коэффициент-дефлятор К1</v>
      </c>
      <c r="B201" s="19" t="s">
        <v>452</v>
      </c>
      <c r="C201" t="s">
        <v>1288</v>
      </c>
      <c r="D201" t="s">
        <v>1311</v>
      </c>
    </row>
    <row r="202" spans="1:4" x14ac:dyDescent="0.2">
      <c r="A202" t="str">
        <f t="shared" ca="1" si="1"/>
        <v>Корректирующий коэффициент К2</v>
      </c>
      <c r="B202" s="45" t="s">
        <v>453</v>
      </c>
      <c r="C202" t="s">
        <v>1289</v>
      </c>
      <c r="D202" t="s">
        <v>1312</v>
      </c>
    </row>
    <row r="203" spans="1:4" x14ac:dyDescent="0.2">
      <c r="A203" t="str">
        <f t="shared" ca="1" si="1"/>
        <v>Величина вмененного дохода</v>
      </c>
      <c r="B203" s="45" t="s">
        <v>454</v>
      </c>
      <c r="C203" t="s">
        <v>1290</v>
      </c>
      <c r="D203" t="s">
        <v>1313</v>
      </c>
    </row>
    <row r="204" spans="1:4" x14ac:dyDescent="0.2">
      <c r="A204" t="str">
        <f t="shared" ca="1" si="1"/>
        <v>Взносы на обязательное пенсионное страхование</v>
      </c>
      <c r="B204" s="45" t="s">
        <v>455</v>
      </c>
      <c r="C204" t="s">
        <v>1020</v>
      </c>
      <c r="D204" t="s">
        <v>1314</v>
      </c>
    </row>
    <row r="205" spans="1:4" x14ac:dyDescent="0.2">
      <c r="A205" t="str">
        <f t="shared" ca="1" si="1"/>
        <v xml:space="preserve">    ставка</v>
      </c>
      <c r="B205" s="45" t="s">
        <v>2285</v>
      </c>
      <c r="C205" s="45" t="s">
        <v>1021</v>
      </c>
      <c r="D205" t="s">
        <v>1315</v>
      </c>
    </row>
    <row r="206" spans="1:4" x14ac:dyDescent="0.2">
      <c r="A206" t="str">
        <f t="shared" ca="1" si="1"/>
        <v xml:space="preserve">    налогооблагаемая база</v>
      </c>
      <c r="B206" s="45" t="str">
        <f>Language!B180</f>
        <v xml:space="preserve">    налогооблагаемая база</v>
      </c>
      <c r="C206" s="45" t="s">
        <v>1022</v>
      </c>
      <c r="D206" t="s">
        <v>1316</v>
      </c>
    </row>
    <row r="207" spans="1:4" x14ac:dyDescent="0.2">
      <c r="A207" t="str">
        <f t="shared" ca="1" si="1"/>
        <v xml:space="preserve">    облагаемая база</v>
      </c>
      <c r="B207" s="45" t="s">
        <v>457</v>
      </c>
      <c r="C207" s="45" t="s">
        <v>1022</v>
      </c>
      <c r="D207" t="s">
        <v>1317</v>
      </c>
    </row>
    <row r="208" spans="1:4" x14ac:dyDescent="0.2">
      <c r="A208" t="str">
        <f t="shared" ca="1" si="1"/>
        <v xml:space="preserve">    величина платежа</v>
      </c>
      <c r="B208" s="45" t="s">
        <v>458</v>
      </c>
      <c r="C208" s="45" t="s">
        <v>1023</v>
      </c>
      <c r="D208" t="s">
        <v>1318</v>
      </c>
    </row>
    <row r="209" spans="1:4" x14ac:dyDescent="0.2">
      <c r="A209" t="str">
        <f t="shared" ca="1" si="1"/>
        <v>УПРОЩЕННАЯ СИСТЕМА НАЛОГООБЛОЖЕНИЯ</v>
      </c>
      <c r="B209" s="45" t="s">
        <v>460</v>
      </c>
      <c r="C209" s="45" t="s">
        <v>1024</v>
      </c>
      <c r="D209" t="s">
        <v>1319</v>
      </c>
    </row>
    <row r="210" spans="1:4" x14ac:dyDescent="0.2">
      <c r="A210" t="str">
        <f t="shared" ca="1" si="1"/>
        <v>Доходы</v>
      </c>
      <c r="B210" s="45" t="s">
        <v>462</v>
      </c>
      <c r="C210" s="45" t="s">
        <v>1025</v>
      </c>
      <c r="D210" t="s">
        <v>1320</v>
      </c>
    </row>
    <row r="211" spans="1:4" x14ac:dyDescent="0.2">
      <c r="A211" t="str">
        <f t="shared" ca="1" si="1"/>
        <v>Доходы, уменьшенные на величину расходов</v>
      </c>
      <c r="B211" s="45" t="s">
        <v>463</v>
      </c>
      <c r="C211" s="45" t="s">
        <v>1026</v>
      </c>
      <c r="D211" t="s">
        <v>1321</v>
      </c>
    </row>
    <row r="212" spans="1:4" x14ac:dyDescent="0.2">
      <c r="A212" t="str">
        <f t="shared" ca="1" si="1"/>
        <v>Объект налогообложения</v>
      </c>
      <c r="B212" t="s">
        <v>461</v>
      </c>
      <c r="C212" s="45" t="s">
        <v>1027</v>
      </c>
      <c r="D212" t="s">
        <v>1322</v>
      </c>
    </row>
    <row r="213" spans="1:4" x14ac:dyDescent="0.2">
      <c r="A213" t="str">
        <f t="shared" ca="1" si="1"/>
        <v>Начисленный налог</v>
      </c>
      <c r="B213" s="23" t="s">
        <v>575</v>
      </c>
      <c r="C213" t="s">
        <v>1028</v>
      </c>
      <c r="D213" t="s">
        <v>1323</v>
      </c>
    </row>
    <row r="214" spans="1:4" x14ac:dyDescent="0.2">
      <c r="A214" t="str">
        <f t="shared" ca="1" si="1"/>
        <v>Облагаемая база до списания убытков</v>
      </c>
      <c r="B214" t="s">
        <v>836</v>
      </c>
      <c r="C214" t="s">
        <v>2010</v>
      </c>
      <c r="D214" t="s">
        <v>1324</v>
      </c>
    </row>
    <row r="215" spans="1:4" x14ac:dyDescent="0.2">
      <c r="A215" t="str">
        <f t="shared" ca="1" si="1"/>
        <v>База, на которую начисляется налог</v>
      </c>
      <c r="B215" s="45" t="s">
        <v>657</v>
      </c>
      <c r="C215" t="s">
        <v>1029</v>
      </c>
      <c r="D215" t="s">
        <v>1325</v>
      </c>
    </row>
    <row r="216" spans="1:4" x14ac:dyDescent="0.2">
      <c r="A216" t="str">
        <f t="shared" ca="1" si="1"/>
        <v>Минимальный налог</v>
      </c>
      <c r="B216" s="45" t="s">
        <v>658</v>
      </c>
      <c r="C216" t="s">
        <v>1030</v>
      </c>
      <c r="D216" t="s">
        <v>1058</v>
      </c>
    </row>
    <row r="217" spans="1:4" x14ac:dyDescent="0.2">
      <c r="A217" t="str">
        <f t="shared" ca="1" si="1"/>
        <v>Суммарные налоговые выплаты</v>
      </c>
      <c r="B217" t="s">
        <v>499</v>
      </c>
      <c r="C217" t="s">
        <v>1031</v>
      </c>
      <c r="D217" t="s">
        <v>1059</v>
      </c>
    </row>
    <row r="218" spans="1:4" x14ac:dyDescent="0.2">
      <c r="A218" t="str">
        <f t="shared" ca="1" si="1"/>
        <v>дней</v>
      </c>
      <c r="B218" t="s">
        <v>500</v>
      </c>
      <c r="C218" t="s">
        <v>1032</v>
      </c>
      <c r="D218" t="s">
        <v>1060</v>
      </c>
    </row>
    <row r="219" spans="1:4" x14ac:dyDescent="0.2">
      <c r="A219" t="str">
        <f t="shared" ca="1" si="1"/>
        <v>возвращается из бюджета</v>
      </c>
      <c r="B219" t="s">
        <v>501</v>
      </c>
      <c r="C219" t="s">
        <v>1033</v>
      </c>
      <c r="D219" t="s">
        <v>1061</v>
      </c>
    </row>
    <row r="220" spans="1:4" x14ac:dyDescent="0.2">
      <c r="A220" t="str">
        <f t="shared" ca="1" si="1"/>
        <v>зачитывается при будущих расчетах</v>
      </c>
      <c r="B220" t="s">
        <v>502</v>
      </c>
      <c r="C220" t="s">
        <v>1034</v>
      </c>
      <c r="D220" t="s">
        <v>1062</v>
      </c>
    </row>
    <row r="221" spans="1:4" x14ac:dyDescent="0.2">
      <c r="A221" t="str">
        <f t="shared" ca="1" si="1"/>
        <v>сразу после постановки на баланс</v>
      </c>
      <c r="B221" t="s">
        <v>503</v>
      </c>
      <c r="C221" t="s">
        <v>1035</v>
      </c>
      <c r="D221" t="s">
        <v>1063</v>
      </c>
    </row>
    <row r="222" spans="1:4" x14ac:dyDescent="0.2">
      <c r="A222" t="str">
        <f t="shared" ca="1" si="1"/>
        <v>Период уплаты</v>
      </c>
      <c r="B222" t="s">
        <v>504</v>
      </c>
      <c r="C222" t="s">
        <v>1036</v>
      </c>
      <c r="D222" t="s">
        <v>1064</v>
      </c>
    </row>
    <row r="223" spans="1:4" ht="13.2" x14ac:dyDescent="0.25">
      <c r="A223" t="str">
        <f t="shared" ca="1" si="1"/>
        <v>тыс. кв. м</v>
      </c>
      <c r="B223" t="s">
        <v>510</v>
      </c>
      <c r="C223" t="s">
        <v>1037</v>
      </c>
      <c r="D223" t="s">
        <v>1065</v>
      </c>
    </row>
    <row r="224" spans="1:4" x14ac:dyDescent="0.2">
      <c r="A224" t="str">
        <f t="shared" ca="1" si="1"/>
        <v>Наименование налога</v>
      </c>
      <c r="B224" t="s">
        <v>511</v>
      </c>
      <c r="C224" t="s">
        <v>1038</v>
      </c>
      <c r="D224" t="s">
        <v>1046</v>
      </c>
    </row>
    <row r="225" spans="1:4" x14ac:dyDescent="0.2">
      <c r="A225" t="str">
        <f t="shared" ca="1" si="1"/>
        <v xml:space="preserve">         СТРОИТЕЛЬСТВО: ХАРАКТЕРИСТИКИ ОБЪЕКТА</v>
      </c>
      <c r="B225" s="24" t="s">
        <v>319</v>
      </c>
      <c r="C225" s="24" t="s">
        <v>1039</v>
      </c>
      <c r="D225" t="s">
        <v>1014</v>
      </c>
    </row>
    <row r="226" spans="1:4" x14ac:dyDescent="0.2">
      <c r="A226" t="str">
        <f t="shared" ca="1" si="1"/>
        <v>Внимание! Общая площадь не может быть меньше полезной площади!</v>
      </c>
      <c r="B226" s="128" t="s">
        <v>539</v>
      </c>
      <c r="C226" s="128" t="s">
        <v>1041</v>
      </c>
      <c r="D226" t="s">
        <v>1047</v>
      </c>
    </row>
    <row r="227" spans="1:4" x14ac:dyDescent="0.2">
      <c r="A227" t="str">
        <f t="shared" ca="1" si="1"/>
        <v>период</v>
      </c>
      <c r="B227" s="100" t="s">
        <v>552</v>
      </c>
      <c r="C227" s="71" t="s">
        <v>1042</v>
      </c>
      <c r="D227" t="s">
        <v>1048</v>
      </c>
    </row>
    <row r="228" spans="1:4" ht="13.2" x14ac:dyDescent="0.25">
      <c r="A228" t="str">
        <f t="shared" ca="1" si="1"/>
        <v>кв. м</v>
      </c>
      <c r="B228" s="26" t="s">
        <v>2330</v>
      </c>
      <c r="C228" s="71" t="s">
        <v>1043</v>
      </c>
      <c r="D228" t="s">
        <v>1049</v>
      </c>
    </row>
    <row r="229" spans="1:4" x14ac:dyDescent="0.2">
      <c r="A229" t="str">
        <f t="shared" ca="1" si="1"/>
        <v>Площадь</v>
      </c>
      <c r="B229" s="26" t="s">
        <v>2329</v>
      </c>
      <c r="C229" s="71" t="s">
        <v>1044</v>
      </c>
      <c r="D229" t="s">
        <v>1050</v>
      </c>
    </row>
    <row r="230" spans="1:4" x14ac:dyDescent="0.2">
      <c r="A230" t="str">
        <f t="shared" ca="1" si="1"/>
        <v>Очередь строительства №1</v>
      </c>
      <c r="B230" s="128" t="s">
        <v>532</v>
      </c>
      <c r="C230" s="71" t="s">
        <v>1045</v>
      </c>
      <c r="D230" t="s">
        <v>1051</v>
      </c>
    </row>
    <row r="231" spans="1:4" x14ac:dyDescent="0.2">
      <c r="A231" t="str">
        <f t="shared" ca="1" si="1"/>
        <v>Начало строительства очереди</v>
      </c>
      <c r="B231" s="128" t="s">
        <v>2325</v>
      </c>
      <c r="C231" s="71" t="s">
        <v>1019</v>
      </c>
      <c r="D231" t="s">
        <v>1052</v>
      </c>
    </row>
    <row r="232" spans="1:4" x14ac:dyDescent="0.2">
      <c r="A232" t="str">
        <f t="shared" ca="1" si="1"/>
        <v>Конец строительства очереди</v>
      </c>
      <c r="B232" s="128" t="s">
        <v>533</v>
      </c>
      <c r="C232" s="71" t="s">
        <v>856</v>
      </c>
      <c r="D232" t="s">
        <v>1053</v>
      </c>
    </row>
    <row r="233" spans="1:4" x14ac:dyDescent="0.2">
      <c r="A233" t="str">
        <f t="shared" ca="1" si="1"/>
        <v>Категории площадей:</v>
      </c>
      <c r="B233" s="128" t="s">
        <v>534</v>
      </c>
      <c r="C233" s="71" t="s">
        <v>857</v>
      </c>
      <c r="D233" t="s">
        <v>1054</v>
      </c>
    </row>
    <row r="234" spans="1:4" x14ac:dyDescent="0.2">
      <c r="A234" t="str">
        <f t="shared" ca="1" si="1"/>
        <v>Жилые площади</v>
      </c>
      <c r="B234" s="128" t="s">
        <v>2233</v>
      </c>
      <c r="C234" s="128" t="s">
        <v>2234</v>
      </c>
      <c r="D234" t="s">
        <v>1055</v>
      </c>
    </row>
    <row r="235" spans="1:4" x14ac:dyDescent="0.2">
      <c r="A235" t="str">
        <f t="shared" ca="1" si="1"/>
        <v>Полезная площадь очереди</v>
      </c>
      <c r="B235" s="128" t="s">
        <v>535</v>
      </c>
      <c r="C235" s="71" t="s">
        <v>858</v>
      </c>
      <c r="D235" t="s">
        <v>1056</v>
      </c>
    </row>
    <row r="236" spans="1:4" x14ac:dyDescent="0.2">
      <c r="A236" t="str">
        <f t="shared" ca="1" si="1"/>
        <v>Общая площадь очереди</v>
      </c>
      <c r="B236" s="128" t="s">
        <v>536</v>
      </c>
      <c r="C236" s="71" t="s">
        <v>859</v>
      </c>
      <c r="D236" t="s">
        <v>1057</v>
      </c>
    </row>
    <row r="237" spans="1:4" x14ac:dyDescent="0.2">
      <c r="A237" t="str">
        <f t="shared" ca="1" si="1"/>
        <v>Итого: полезная площадь</v>
      </c>
      <c r="B237" s="128" t="s">
        <v>537</v>
      </c>
      <c r="C237" s="71" t="s">
        <v>860</v>
      </c>
      <c r="D237" t="s">
        <v>877</v>
      </c>
    </row>
    <row r="238" spans="1:4" x14ac:dyDescent="0.2">
      <c r="A238" t="str">
        <f t="shared" ca="1" si="1"/>
        <v>Итого: общая площадь</v>
      </c>
      <c r="B238" s="128" t="s">
        <v>538</v>
      </c>
      <c r="C238" s="71" t="s">
        <v>861</v>
      </c>
      <c r="D238" t="s">
        <v>878</v>
      </c>
    </row>
    <row r="239" spans="1:4" x14ac:dyDescent="0.2">
      <c r="A239" t="str">
        <f t="shared" ca="1" si="1"/>
        <v xml:space="preserve">         СТРОИТЕЛЬСТВО: ИСПОЛЬЗОВАНИЕ ОБЪЕКТА</v>
      </c>
      <c r="B239" s="24" t="s">
        <v>650</v>
      </c>
      <c r="C239" s="24" t="s">
        <v>862</v>
      </c>
      <c r="D239" t="s">
        <v>1015</v>
      </c>
    </row>
    <row r="240" spans="1:4" x14ac:dyDescent="0.2">
      <c r="A240" t="str">
        <f t="shared" ca="1" si="1"/>
        <v>ПРИВЛЕЧЕНИЕ ДОЛЬЩИКОВ/СОИНВЕСТОРОВ</v>
      </c>
      <c r="B240" s="24" t="s">
        <v>2533</v>
      </c>
      <c r="C240" s="71" t="s">
        <v>863</v>
      </c>
      <c r="D240" t="s">
        <v>879</v>
      </c>
    </row>
    <row r="241" spans="1:4" x14ac:dyDescent="0.2">
      <c r="A241" t="str">
        <f t="shared" ca="1" si="1"/>
        <v>ПРОДАЖА ГОТОВЫХ ПЛОЩАДЕЙ (ПОКУПАТЕЛИ)</v>
      </c>
      <c r="B241" s="24" t="s">
        <v>2534</v>
      </c>
      <c r="C241" s="71" t="s">
        <v>864</v>
      </c>
      <c r="D241" t="s">
        <v>880</v>
      </c>
    </row>
    <row r="242" spans="1:4" x14ac:dyDescent="0.2">
      <c r="A242" t="str">
        <f t="shared" ca="1" si="1"/>
        <v>СОБСТВЕННОЕ ИСПОЛЬЗОВАНИЕ ОБЪЕКТА</v>
      </c>
      <c r="B242" s="24" t="s">
        <v>2535</v>
      </c>
      <c r="C242" s="71" t="s">
        <v>865</v>
      </c>
      <c r="D242" t="s">
        <v>881</v>
      </c>
    </row>
    <row r="243" spans="1:4" x14ac:dyDescent="0.2">
      <c r="A243" t="str">
        <f t="shared" ca="1" si="1"/>
        <v>ИТОГО ПО ОБЪЕКТУ</v>
      </c>
      <c r="B243" s="128" t="s">
        <v>2548</v>
      </c>
      <c r="C243" s="71" t="s">
        <v>866</v>
      </c>
      <c r="D243" t="s">
        <v>882</v>
      </c>
    </row>
    <row r="244" spans="1:4" x14ac:dyDescent="0.2">
      <c r="A244" t="str">
        <f t="shared" ca="1" si="1"/>
        <v xml:space="preserve">         СТРОИТЕЛЬСТВО: ЗАТРАТЫ НА ОБЪЕКТ</v>
      </c>
      <c r="B244" s="24" t="s">
        <v>651</v>
      </c>
      <c r="C244" t="s">
        <v>867</v>
      </c>
      <c r="D244" t="s">
        <v>1016</v>
      </c>
    </row>
    <row r="245" spans="1:4" x14ac:dyDescent="0.2">
      <c r="A245" t="str">
        <f t="shared" ca="1" si="1"/>
        <v>Внимание! Конец стадии не может быть позднее конца строительства очереди!</v>
      </c>
      <c r="B245" s="128" t="s">
        <v>663</v>
      </c>
      <c r="C245" s="71" t="s">
        <v>868</v>
      </c>
      <c r="D245" t="s">
        <v>1218</v>
      </c>
    </row>
    <row r="246" spans="1:4" x14ac:dyDescent="0.2">
      <c r="A246" t="str">
        <f t="shared" ca="1" si="1"/>
        <v>Стадия строительства №1</v>
      </c>
      <c r="B246" s="45" t="s">
        <v>2331</v>
      </c>
      <c r="C246" s="71" t="s">
        <v>869</v>
      </c>
      <c r="D246" t="s">
        <v>1219</v>
      </c>
    </row>
    <row r="247" spans="1:4" x14ac:dyDescent="0.2">
      <c r="A247" t="str">
        <f t="shared" ca="1" si="1"/>
        <v>начало работ</v>
      </c>
      <c r="B247" s="45" t="s">
        <v>320</v>
      </c>
      <c r="C247" t="s">
        <v>870</v>
      </c>
      <c r="D247" t="s">
        <v>1220</v>
      </c>
    </row>
    <row r="248" spans="1:4" x14ac:dyDescent="0.2">
      <c r="A248" t="str">
        <f t="shared" ca="1" si="1"/>
        <v>конец работ</v>
      </c>
      <c r="B248" s="45" t="s">
        <v>321</v>
      </c>
      <c r="C248" t="s">
        <v>849</v>
      </c>
      <c r="D248" t="s">
        <v>1221</v>
      </c>
    </row>
    <row r="249" spans="1:4" x14ac:dyDescent="0.2">
      <c r="A249" t="str">
        <f t="shared" ca="1" si="1"/>
        <v>Площадь, к которой относятся работы</v>
      </c>
      <c r="B249" s="45" t="s">
        <v>1040</v>
      </c>
      <c r="C249" t="s">
        <v>850</v>
      </c>
      <c r="D249" t="s">
        <v>1222</v>
      </c>
    </row>
    <row r="250" spans="1:4" x14ac:dyDescent="0.2">
      <c r="A250" t="str">
        <f t="shared" ca="1" si="1"/>
        <v>Стоимость одного кв. м (с НДС)</v>
      </c>
      <c r="B250" s="45" t="s">
        <v>2332</v>
      </c>
      <c r="C250" t="s">
        <v>851</v>
      </c>
      <c r="D250" t="s">
        <v>307</v>
      </c>
    </row>
    <row r="251" spans="1:4" x14ac:dyDescent="0.2">
      <c r="A251" t="str">
        <f t="shared" ca="1" si="1"/>
        <v>Объем выполненных работ</v>
      </c>
      <c r="B251" s="24" t="s">
        <v>523</v>
      </c>
      <c r="C251" t="s">
        <v>852</v>
      </c>
      <c r="D251" t="s">
        <v>1223</v>
      </c>
    </row>
    <row r="252" spans="1:4" x14ac:dyDescent="0.2">
      <c r="A252" t="str">
        <f t="shared" ca="1" si="1"/>
        <v>Оплата работ</v>
      </c>
      <c r="B252" s="24" t="s">
        <v>524</v>
      </c>
      <c r="C252" t="s">
        <v>853</v>
      </c>
      <c r="D252" t="s">
        <v>1224</v>
      </c>
    </row>
    <row r="253" spans="1:4" x14ac:dyDescent="0.2">
      <c r="A253" t="str">
        <f t="shared" ca="1" si="1"/>
        <v>Итого: объем выполненных работ</v>
      </c>
      <c r="B253" s="128" t="s">
        <v>525</v>
      </c>
      <c r="C253" t="s">
        <v>854</v>
      </c>
      <c r="D253" t="s">
        <v>1225</v>
      </c>
    </row>
    <row r="254" spans="1:4" x14ac:dyDescent="0.2">
      <c r="A254" t="str">
        <f t="shared" ca="1" si="1"/>
        <v>Итого: оплата работ</v>
      </c>
      <c r="B254" s="24" t="s">
        <v>527</v>
      </c>
      <c r="C254" t="s">
        <v>855</v>
      </c>
      <c r="D254" t="s">
        <v>1226</v>
      </c>
    </row>
    <row r="255" spans="1:4" x14ac:dyDescent="0.2">
      <c r="A255" t="str">
        <f t="shared" ca="1" si="1"/>
        <v>Авансы подрядчикам (с НДС)</v>
      </c>
      <c r="B255" s="24" t="s">
        <v>528</v>
      </c>
      <c r="C255" t="s">
        <v>687</v>
      </c>
      <c r="D255" t="s">
        <v>1227</v>
      </c>
    </row>
    <row r="256" spans="1:4" x14ac:dyDescent="0.2">
      <c r="A256" t="str">
        <f t="shared" ca="1" si="1"/>
        <v xml:space="preserve">    в том числе НДС</v>
      </c>
      <c r="B256" s="24" t="s">
        <v>2349</v>
      </c>
      <c r="C256" s="24" t="s">
        <v>688</v>
      </c>
      <c r="D256" t="s">
        <v>1091</v>
      </c>
    </row>
    <row r="257" spans="1:4" x14ac:dyDescent="0.2">
      <c r="A257" t="str">
        <f t="shared" ca="1" si="1"/>
        <v>Кредиторская задолженность подрядчикам (с НДС)</v>
      </c>
      <c r="B257" s="24" t="s">
        <v>529</v>
      </c>
      <c r="C257" t="s">
        <v>689</v>
      </c>
      <c r="D257" t="s">
        <v>1092</v>
      </c>
    </row>
    <row r="258" spans="1:4" x14ac:dyDescent="0.2">
      <c r="A258" t="str">
        <f t="shared" ca="1" si="1"/>
        <v>Ранее осуществленные инвестиции</v>
      </c>
      <c r="B258" s="128" t="s">
        <v>2309</v>
      </c>
      <c r="C258" t="s">
        <v>690</v>
      </c>
      <c r="D258" t="s">
        <v>1093</v>
      </c>
    </row>
    <row r="259" spans="1:4" x14ac:dyDescent="0.2">
      <c r="A259" t="str">
        <f t="shared" ca="1" si="1"/>
        <v>НДС к ранее осуществленным инвестициям</v>
      </c>
      <c r="B259" s="24" t="s">
        <v>530</v>
      </c>
      <c r="C259" t="s">
        <v>1228</v>
      </c>
      <c r="D259" t="s">
        <v>1094</v>
      </c>
    </row>
    <row r="260" spans="1:4" x14ac:dyDescent="0.2">
      <c r="A260" t="str">
        <f t="shared" ca="1" si="1"/>
        <v>Рыночная стоимость недостроенного объекта</v>
      </c>
      <c r="B260" s="24" t="s">
        <v>531</v>
      </c>
      <c r="C260" t="s">
        <v>1069</v>
      </c>
      <c r="D260" t="s">
        <v>1095</v>
      </c>
    </row>
    <row r="261" spans="1:4" x14ac:dyDescent="0.2">
      <c r="A261" t="str">
        <f t="shared" ca="1" si="1"/>
        <v xml:space="preserve">         СТРОИТЕЛЬСТВО: ПРИВЛЕЧЕНИЕ ДОЛЬЩИКОВ / СОИНВЕСТОРОВ</v>
      </c>
      <c r="B261" s="24" t="s">
        <v>652</v>
      </c>
      <c r="C261" s="24" t="s">
        <v>1070</v>
      </c>
      <c r="D261" t="s">
        <v>837</v>
      </c>
    </row>
    <row r="262" spans="1:4" x14ac:dyDescent="0.2">
      <c r="A262" t="str">
        <f t="shared" ca="1" si="1"/>
        <v>График привлечения дольщиков / соинвесторов</v>
      </c>
      <c r="B262" s="19" t="s">
        <v>540</v>
      </c>
      <c r="C262" t="s">
        <v>1071</v>
      </c>
      <c r="D262" t="s">
        <v>1096</v>
      </c>
    </row>
    <row r="263" spans="1:4" x14ac:dyDescent="0.2">
      <c r="A263" t="str">
        <f t="shared" ca="1" si="1"/>
        <v>График оплаты площадей</v>
      </c>
      <c r="B263" s="19" t="s">
        <v>541</v>
      </c>
      <c r="C263" s="71" t="s">
        <v>1072</v>
      </c>
      <c r="D263" t="s">
        <v>1097</v>
      </c>
    </row>
    <row r="264" spans="1:4" x14ac:dyDescent="0.2">
      <c r="A264" t="str">
        <f t="shared" ca="1" si="1"/>
        <v>Стоимость 1 кв. м (без НДС)</v>
      </c>
      <c r="B264" s="19" t="s">
        <v>542</v>
      </c>
      <c r="C264" t="s">
        <v>1073</v>
      </c>
      <c r="D264" t="s">
        <v>1098</v>
      </c>
    </row>
    <row r="265" spans="1:4" x14ac:dyDescent="0.2">
      <c r="A265" t="str">
        <f t="shared" ca="1" si="1"/>
        <v xml:space="preserve">    в том числе вознаграждение заказчику</v>
      </c>
      <c r="B265" s="24" t="s">
        <v>543</v>
      </c>
      <c r="C265" t="s">
        <v>1239</v>
      </c>
      <c r="D265" t="s">
        <v>1099</v>
      </c>
    </row>
    <row r="266" spans="1:4" x14ac:dyDescent="0.2">
      <c r="A266" t="str">
        <f t="shared" ca="1" si="1"/>
        <v>Поступление финансирования</v>
      </c>
      <c r="B266" s="24" t="s">
        <v>544</v>
      </c>
      <c r="C266" t="s">
        <v>1240</v>
      </c>
      <c r="D266" t="s">
        <v>1100</v>
      </c>
    </row>
    <row r="267" spans="1:4" x14ac:dyDescent="0.2">
      <c r="A267" t="str">
        <f t="shared" ca="1" si="1"/>
        <v>Передача площадей</v>
      </c>
      <c r="B267" s="24" t="s">
        <v>2341</v>
      </c>
      <c r="C267" t="s">
        <v>1241</v>
      </c>
      <c r="D267" t="s">
        <v>1101</v>
      </c>
    </row>
    <row r="268" spans="1:4" x14ac:dyDescent="0.2">
      <c r="A268" t="str">
        <f t="shared" ca="1" si="1"/>
        <v xml:space="preserve">    передача площадей</v>
      </c>
      <c r="B268" s="24" t="s">
        <v>2342</v>
      </c>
      <c r="C268" s="24" t="s">
        <v>1242</v>
      </c>
      <c r="D268" t="s">
        <v>1102</v>
      </c>
    </row>
    <row r="269" spans="1:4" x14ac:dyDescent="0.2">
      <c r="A269" t="str">
        <f t="shared" ca="1" si="1"/>
        <v>Итого: Поступление финансирования</v>
      </c>
      <c r="B269" s="128" t="s">
        <v>2343</v>
      </c>
      <c r="C269" t="s">
        <v>1243</v>
      </c>
      <c r="D269" t="s">
        <v>1103</v>
      </c>
    </row>
    <row r="270" spans="1:4" x14ac:dyDescent="0.2">
      <c r="A270" t="str">
        <f t="shared" ca="1" si="1"/>
        <v>Итого: Передано площадей на сумму</v>
      </c>
      <c r="B270" s="24" t="s">
        <v>2344</v>
      </c>
      <c r="C270" t="s">
        <v>1244</v>
      </c>
      <c r="D270" t="s">
        <v>1104</v>
      </c>
    </row>
    <row r="271" spans="1:4" x14ac:dyDescent="0.2">
      <c r="A271" t="str">
        <f t="shared" ca="1" si="1"/>
        <v xml:space="preserve">    передано влощадей в кв. м</v>
      </c>
      <c r="B271" s="24" t="s">
        <v>2345</v>
      </c>
      <c r="C271" t="s">
        <v>1245</v>
      </c>
      <c r="D271" t="s">
        <v>1105</v>
      </c>
    </row>
    <row r="272" spans="1:4" x14ac:dyDescent="0.2">
      <c r="A272" t="str">
        <f t="shared" ca="1" si="1"/>
        <v xml:space="preserve">         СТРОИТЕЛЬСТВО: ПРОДАЖА ГОТОВЫХ ПЛОЩАДЕЙ</v>
      </c>
      <c r="B272" s="24" t="s">
        <v>653</v>
      </c>
      <c r="C272" s="24" t="s">
        <v>2011</v>
      </c>
      <c r="D272" t="s">
        <v>838</v>
      </c>
    </row>
    <row r="273" spans="1:4" x14ac:dyDescent="0.2">
      <c r="A273" t="str">
        <f t="shared" ca="1" si="1"/>
        <v>График привлечения покупателей</v>
      </c>
      <c r="B273" s="19" t="s">
        <v>2549</v>
      </c>
      <c r="C273" s="128" t="s">
        <v>1246</v>
      </c>
      <c r="D273" t="s">
        <v>1106</v>
      </c>
    </row>
    <row r="274" spans="1:4" x14ac:dyDescent="0.2">
      <c r="A274" t="str">
        <f t="shared" ca="1" si="1"/>
        <v>График оплаты площадей</v>
      </c>
      <c r="B274" s="19" t="s">
        <v>541</v>
      </c>
      <c r="C274" s="71" t="s">
        <v>1072</v>
      </c>
      <c r="D274" t="s">
        <v>1107</v>
      </c>
    </row>
    <row r="275" spans="1:4" x14ac:dyDescent="0.2">
      <c r="A275" t="str">
        <f t="shared" ca="1" si="1"/>
        <v>Цены за кв. м (с НДС)</v>
      </c>
      <c r="B275" s="19" t="s">
        <v>2346</v>
      </c>
      <c r="C275" t="s">
        <v>1247</v>
      </c>
      <c r="D275" t="s">
        <v>1108</v>
      </c>
    </row>
    <row r="276" spans="1:4" x14ac:dyDescent="0.2">
      <c r="A276" t="str">
        <f t="shared" ca="1" si="1"/>
        <v>Передача проданных площадей покупателям</v>
      </c>
      <c r="B276" s="19" t="s">
        <v>2550</v>
      </c>
      <c r="C276" t="s">
        <v>1248</v>
      </c>
      <c r="D276" t="s">
        <v>1109</v>
      </c>
    </row>
    <row r="277" spans="1:4" x14ac:dyDescent="0.2">
      <c r="A277" t="str">
        <f t="shared" ca="1" si="1"/>
        <v>К оплате от покупателей</v>
      </c>
      <c r="B277" s="45" t="s">
        <v>2335</v>
      </c>
      <c r="C277" t="s">
        <v>1249</v>
      </c>
      <c r="D277" t="s">
        <v>1110</v>
      </c>
    </row>
    <row r="278" spans="1:4" x14ac:dyDescent="0.2">
      <c r="A278" t="str">
        <f t="shared" ref="A278:A284" ca="1" si="2">OFFSET(A278,0,LanguageID)</f>
        <v>Поступления от продаж</v>
      </c>
      <c r="B278" s="19" t="s">
        <v>2390</v>
      </c>
      <c r="C278" t="s">
        <v>1250</v>
      </c>
      <c r="D278" t="s">
        <v>1111</v>
      </c>
    </row>
    <row r="279" spans="1:4" x14ac:dyDescent="0.2">
      <c r="A279" t="str">
        <f t="shared" ca="1" si="2"/>
        <v>Передано площадей на сумму</v>
      </c>
      <c r="B279" s="19" t="s">
        <v>2506</v>
      </c>
      <c r="C279" t="s">
        <v>1251</v>
      </c>
      <c r="D279" t="s">
        <v>1112</v>
      </c>
    </row>
    <row r="280" spans="1:4" x14ac:dyDescent="0.2">
      <c r="A280" t="str">
        <f t="shared" ca="1" si="2"/>
        <v>Доля площадей, не облагаемых НДС</v>
      </c>
      <c r="B280" s="19" t="s">
        <v>2507</v>
      </c>
      <c r="C280" t="s">
        <v>1154</v>
      </c>
      <c r="D280" t="s">
        <v>1113</v>
      </c>
    </row>
    <row r="281" spans="1:4" x14ac:dyDescent="0.2">
      <c r="A281" t="str">
        <f t="shared" ca="1" si="2"/>
        <v>Итого - поступления от продаж</v>
      </c>
      <c r="B281" s="24" t="s">
        <v>2532</v>
      </c>
      <c r="C281" t="s">
        <v>1155</v>
      </c>
      <c r="D281" t="s">
        <v>1114</v>
      </c>
    </row>
    <row r="282" spans="1:4" x14ac:dyDescent="0.2">
      <c r="A282" t="str">
        <f t="shared" ca="1" si="2"/>
        <v>Итого - стоимость переданных площадей</v>
      </c>
      <c r="B282" s="24" t="s">
        <v>2536</v>
      </c>
      <c r="C282" t="s">
        <v>1244</v>
      </c>
      <c r="D282" t="s">
        <v>1115</v>
      </c>
    </row>
    <row r="283" spans="1:4" x14ac:dyDescent="0.2">
      <c r="A283" t="str">
        <f t="shared" ca="1" si="2"/>
        <v>Передача проданных площадей покупателям</v>
      </c>
      <c r="B283" s="19" t="s">
        <v>2550</v>
      </c>
      <c r="C283" t="s">
        <v>1156</v>
      </c>
      <c r="D283" t="s">
        <v>1116</v>
      </c>
    </row>
    <row r="284" spans="1:4" x14ac:dyDescent="0.2">
      <c r="A284" t="str">
        <f t="shared" ca="1" si="2"/>
        <v>Доля площадей, не облагаемых НДС</v>
      </c>
      <c r="B284" s="19" t="s">
        <v>2507</v>
      </c>
      <c r="C284" t="s">
        <v>1154</v>
      </c>
      <c r="D284" t="s">
        <v>1113</v>
      </c>
    </row>
    <row r="285" spans="1:4" x14ac:dyDescent="0.2">
      <c r="A285" t="str">
        <f t="shared" ca="1" si="1"/>
        <v xml:space="preserve">         СТРОИТЕЛЬСТВО: СДАЧА ПЛОЩАДЕЙ В АРЕНДУ</v>
      </c>
      <c r="B285" s="24" t="s">
        <v>1376</v>
      </c>
      <c r="C285" s="24" t="s">
        <v>1157</v>
      </c>
      <c r="D285" t="s">
        <v>839</v>
      </c>
    </row>
    <row r="286" spans="1:4" x14ac:dyDescent="0.2">
      <c r="A286" t="str">
        <f t="shared" ca="1" si="1"/>
        <v>Ставка, за кв. м в год (с НДС)</v>
      </c>
      <c r="B286" s="19" t="s">
        <v>2537</v>
      </c>
      <c r="C286" t="s">
        <v>1158</v>
      </c>
      <c r="D286" t="s">
        <v>1117</v>
      </c>
    </row>
    <row r="287" spans="1:4" x14ac:dyDescent="0.2">
      <c r="A287" t="str">
        <f ca="1">OFFSET(A287,0,LanguageID)</f>
        <v>Доступные для сдачи площади</v>
      </c>
      <c r="B287" s="19" t="s">
        <v>2538</v>
      </c>
      <c r="C287" t="s">
        <v>1159</v>
      </c>
      <c r="D287" t="s">
        <v>1118</v>
      </c>
    </row>
    <row r="288" spans="1:4" x14ac:dyDescent="0.2">
      <c r="A288" t="str">
        <f ca="1">OFFSET(A288,0,LanguageID)</f>
        <v>Сдано в аренду</v>
      </c>
      <c r="B288" s="19" t="s">
        <v>2539</v>
      </c>
      <c r="C288" t="s">
        <v>1160</v>
      </c>
      <c r="D288" t="s">
        <v>1119</v>
      </c>
    </row>
    <row r="289" spans="1:4" x14ac:dyDescent="0.2">
      <c r="A289" t="str">
        <f ca="1">OFFSET(A289,0,LanguageID)</f>
        <v>Поступления от аренды</v>
      </c>
      <c r="B289" s="19" t="s">
        <v>2540</v>
      </c>
      <c r="C289" t="s">
        <v>1161</v>
      </c>
      <c r="D289" t="s">
        <v>1120</v>
      </c>
    </row>
    <row r="290" spans="1:4" x14ac:dyDescent="0.2">
      <c r="A290" t="str">
        <f ca="1">OFFSET(A290,0,LanguageID)</f>
        <v>Итого - поступления от аренды</v>
      </c>
      <c r="B290" s="128" t="s">
        <v>2551</v>
      </c>
      <c r="C290" t="s">
        <v>1162</v>
      </c>
      <c r="D290" t="s">
        <v>1121</v>
      </c>
    </row>
    <row r="291" spans="1:4" x14ac:dyDescent="0.2">
      <c r="A291" t="str">
        <f t="shared" ca="1" si="1"/>
        <v xml:space="preserve">         СТРОИТЕЛЬСТВО: БАЛАНС ПО ОБЪЕКТУ</v>
      </c>
      <c r="B291" s="24" t="s">
        <v>654</v>
      </c>
      <c r="C291" s="24" t="s">
        <v>1163</v>
      </c>
      <c r="D291" t="s">
        <v>840</v>
      </c>
    </row>
    <row r="292" spans="1:4" x14ac:dyDescent="0.2">
      <c r="A292" t="str">
        <f t="shared" ca="1" si="1"/>
        <v>Внимание! Сумма продаваемых долей не может превышать 100%</v>
      </c>
      <c r="B292" s="128" t="s">
        <v>2333</v>
      </c>
      <c r="C292" s="128" t="s">
        <v>1164</v>
      </c>
      <c r="D292" t="s">
        <v>1122</v>
      </c>
    </row>
    <row r="293" spans="1:4" x14ac:dyDescent="0.2">
      <c r="A293" t="str">
        <f t="shared" ref="A293:A351" ca="1" si="3">OFFSET(A293,0,LanguageID)</f>
        <v>лет</v>
      </c>
      <c r="B293" s="50" t="s">
        <v>2132</v>
      </c>
      <c r="C293" s="128" t="s">
        <v>1165</v>
      </c>
      <c r="D293" t="s">
        <v>815</v>
      </c>
    </row>
    <row r="294" spans="1:4" x14ac:dyDescent="0.2">
      <c r="A294" t="str">
        <f t="shared" ca="1" si="3"/>
        <v>Оплата строительства объекта</v>
      </c>
      <c r="B294" s="101" t="s">
        <v>2409</v>
      </c>
      <c r="C294" t="s">
        <v>1166</v>
      </c>
      <c r="D294" t="s">
        <v>1123</v>
      </c>
    </row>
    <row r="295" spans="1:4" x14ac:dyDescent="0.2">
      <c r="A295" t="str">
        <f t="shared" ca="1" si="3"/>
        <v xml:space="preserve">    оплата без НДС</v>
      </c>
      <c r="B295" s="101" t="s">
        <v>2410</v>
      </c>
      <c r="C295" s="101" t="s">
        <v>1167</v>
      </c>
      <c r="D295" t="s">
        <v>1124</v>
      </c>
    </row>
    <row r="296" spans="1:4" x14ac:dyDescent="0.2">
      <c r="A296" t="str">
        <f t="shared" ca="1" si="3"/>
        <v xml:space="preserve">    НДС</v>
      </c>
      <c r="B296" s="101" t="s">
        <v>392</v>
      </c>
      <c r="C296" s="101" t="s">
        <v>1168</v>
      </c>
      <c r="D296" t="s">
        <v>1125</v>
      </c>
    </row>
    <row r="297" spans="1:4" x14ac:dyDescent="0.2">
      <c r="A297" t="str">
        <f t="shared" ca="1" si="3"/>
        <v xml:space="preserve">   НДС к зачету</v>
      </c>
      <c r="B297" s="101" t="s">
        <v>2339</v>
      </c>
      <c r="C297" s="101" t="s">
        <v>1169</v>
      </c>
      <c r="D297" t="s">
        <v>1126</v>
      </c>
    </row>
    <row r="298" spans="1:4" x14ac:dyDescent="0.2">
      <c r="A298" t="str">
        <f t="shared" ca="1" si="3"/>
        <v>Выполненный объем работ</v>
      </c>
      <c r="B298" s="101" t="s">
        <v>2411</v>
      </c>
      <c r="C298" t="s">
        <v>1170</v>
      </c>
      <c r="D298" t="s">
        <v>1127</v>
      </c>
    </row>
    <row r="299" spans="1:4" x14ac:dyDescent="0.2">
      <c r="A299" t="str">
        <f t="shared" ca="1" si="3"/>
        <v xml:space="preserve">    работы без НДС</v>
      </c>
      <c r="B299" s="101" t="s">
        <v>2412</v>
      </c>
      <c r="C299" t="s">
        <v>1167</v>
      </c>
      <c r="D299" t="s">
        <v>1128</v>
      </c>
    </row>
    <row r="300" spans="1:4" x14ac:dyDescent="0.2">
      <c r="A300" t="str">
        <f t="shared" ca="1" si="3"/>
        <v xml:space="preserve">    зачет НДС</v>
      </c>
      <c r="B300" s="101" t="s">
        <v>202</v>
      </c>
      <c r="C300" t="s">
        <v>1171</v>
      </c>
      <c r="D300" t="s">
        <v>1129</v>
      </c>
    </row>
    <row r="301" spans="1:4" x14ac:dyDescent="0.2">
      <c r="A301" t="str">
        <f t="shared" ca="1" si="3"/>
        <v>Авансы подрядчикам (без НДС)</v>
      </c>
      <c r="B301" s="101" t="s">
        <v>2413</v>
      </c>
      <c r="C301" t="s">
        <v>1172</v>
      </c>
      <c r="D301" t="s">
        <v>1130</v>
      </c>
    </row>
    <row r="302" spans="1:4" x14ac:dyDescent="0.2">
      <c r="A302" t="str">
        <f t="shared" ca="1" si="3"/>
        <v>Кредиторская задолженность подрядчикам (без НДС)</v>
      </c>
      <c r="B302" s="101" t="s">
        <v>2414</v>
      </c>
      <c r="C302" t="s">
        <v>1173</v>
      </c>
      <c r="D302" t="s">
        <v>1131</v>
      </c>
    </row>
    <row r="303" spans="1:4" x14ac:dyDescent="0.2">
      <c r="A303" t="str">
        <f t="shared" ca="1" si="3"/>
        <v>Стоимость завершенного объекта</v>
      </c>
      <c r="B303" s="101" t="s">
        <v>2415</v>
      </c>
      <c r="C303" t="s">
        <v>1174</v>
      </c>
      <c r="D303" t="s">
        <v>1132</v>
      </c>
    </row>
    <row r="304" spans="1:4" x14ac:dyDescent="0.2">
      <c r="A304" t="str">
        <f t="shared" ca="1" si="3"/>
        <v xml:space="preserve">    стоимость без НДС</v>
      </c>
      <c r="B304" s="101" t="s">
        <v>2416</v>
      </c>
      <c r="C304" t="s">
        <v>1167</v>
      </c>
      <c r="D304" t="s">
        <v>1133</v>
      </c>
    </row>
    <row r="305" spans="1:4" x14ac:dyDescent="0.2">
      <c r="A305" t="str">
        <f t="shared" ca="1" si="3"/>
        <v>Доля площадей к передаче дольщикам / соинвесторам</v>
      </c>
      <c r="B305" s="101" t="s">
        <v>2417</v>
      </c>
      <c r="C305" t="s">
        <v>1175</v>
      </c>
      <c r="D305" t="s">
        <v>1134</v>
      </c>
    </row>
    <row r="306" spans="1:4" x14ac:dyDescent="0.2">
      <c r="A306" t="str">
        <f t="shared" ca="1" si="3"/>
        <v>Доля площадей к продаже</v>
      </c>
      <c r="B306" s="101" t="s">
        <v>2418</v>
      </c>
      <c r="C306" t="s">
        <v>1176</v>
      </c>
      <c r="D306" t="s">
        <v>1135</v>
      </c>
    </row>
    <row r="307" spans="1:4" x14ac:dyDescent="0.2">
      <c r="A307" t="str">
        <f t="shared" ca="1" si="3"/>
        <v>Учет доли объекта для собственного использования</v>
      </c>
      <c r="B307" s="101" t="s">
        <v>2419</v>
      </c>
      <c r="C307" t="s">
        <v>1291</v>
      </c>
      <c r="D307" t="s">
        <v>1254</v>
      </c>
    </row>
    <row r="308" spans="1:4" x14ac:dyDescent="0.2">
      <c r="A308" t="str">
        <f t="shared" ca="1" si="3"/>
        <v>Незавершенные инвестиции</v>
      </c>
      <c r="B308" s="101" t="s">
        <v>2014</v>
      </c>
      <c r="C308" t="s">
        <v>1292</v>
      </c>
      <c r="D308" t="s">
        <v>1255</v>
      </c>
    </row>
    <row r="309" spans="1:4" x14ac:dyDescent="0.2">
      <c r="A309" t="str">
        <f t="shared" ca="1" si="3"/>
        <v>Срок амортизации</v>
      </c>
      <c r="B309" s="101" t="s">
        <v>2421</v>
      </c>
      <c r="C309" t="s">
        <v>1293</v>
      </c>
      <c r="D309" t="s">
        <v>1256</v>
      </c>
    </row>
    <row r="310" spans="1:4" x14ac:dyDescent="0.2">
      <c r="A310" t="str">
        <f t="shared" ca="1" si="3"/>
        <v xml:space="preserve">    балансовая стоимость</v>
      </c>
      <c r="B310" s="101" t="s">
        <v>2351</v>
      </c>
      <c r="C310" t="s">
        <v>1294</v>
      </c>
      <c r="D310" t="s">
        <v>1257</v>
      </c>
    </row>
    <row r="311" spans="1:4" x14ac:dyDescent="0.2">
      <c r="A311" t="str">
        <f t="shared" ca="1" si="3"/>
        <v xml:space="preserve">    амортизация за текущий период</v>
      </c>
      <c r="B311" s="101" t="s">
        <v>2461</v>
      </c>
      <c r="C311" t="s">
        <v>1295</v>
      </c>
      <c r="D311" t="s">
        <v>1258</v>
      </c>
    </row>
    <row r="312" spans="1:4" x14ac:dyDescent="0.2">
      <c r="A312" t="str">
        <f t="shared" ca="1" si="3"/>
        <v xml:space="preserve">    накопленная амортизация</v>
      </c>
      <c r="B312" s="101" t="s">
        <v>198</v>
      </c>
      <c r="C312" t="s">
        <v>1296</v>
      </c>
      <c r="D312" t="s">
        <v>1259</v>
      </c>
    </row>
    <row r="313" spans="1:4" x14ac:dyDescent="0.2">
      <c r="A313" t="str">
        <f t="shared" ca="1" si="3"/>
        <v xml:space="preserve">    остаточная стоимость</v>
      </c>
      <c r="B313" s="101" t="s">
        <v>199</v>
      </c>
      <c r="C313" t="s">
        <v>1297</v>
      </c>
      <c r="D313" t="s">
        <v>1260</v>
      </c>
    </row>
    <row r="314" spans="1:4" x14ac:dyDescent="0.2">
      <c r="A314" t="str">
        <f t="shared" ca="1" si="3"/>
        <v>Зачет НДС</v>
      </c>
      <c r="B314" s="101" t="s">
        <v>2462</v>
      </c>
      <c r="C314" t="s">
        <v>1298</v>
      </c>
      <c r="D314" t="s">
        <v>1150</v>
      </c>
    </row>
    <row r="315" spans="1:4" x14ac:dyDescent="0.2">
      <c r="A315" t="str">
        <f t="shared" ca="1" si="3"/>
        <v>Продажа объекта после собственной эксплуатации (без НДС)</v>
      </c>
      <c r="B315" s="101" t="s">
        <v>664</v>
      </c>
      <c r="C315" t="s">
        <v>1299</v>
      </c>
      <c r="D315" t="s">
        <v>1151</v>
      </c>
    </row>
    <row r="316" spans="1:4" x14ac:dyDescent="0.2">
      <c r="A316" t="str">
        <f t="shared" ca="1" si="3"/>
        <v xml:space="preserve">    продаваемая доля объекта</v>
      </c>
      <c r="B316" s="101" t="s">
        <v>2552</v>
      </c>
      <c r="C316" s="128" t="s">
        <v>1300</v>
      </c>
      <c r="D316" t="s">
        <v>1152</v>
      </c>
    </row>
    <row r="317" spans="1:4" x14ac:dyDescent="0.2">
      <c r="A317" t="str">
        <f t="shared" ca="1" si="3"/>
        <v xml:space="preserve">    прибыль / убыток от продажи объекта</v>
      </c>
      <c r="B317" s="16" t="s">
        <v>2463</v>
      </c>
      <c r="C317" t="s">
        <v>1208</v>
      </c>
      <c r="D317" t="s">
        <v>1153</v>
      </c>
    </row>
    <row r="318" spans="1:4" x14ac:dyDescent="0.2">
      <c r="A318" t="str">
        <f t="shared" ca="1" si="3"/>
        <v xml:space="preserve">    НДС к выручке от продажи объекта</v>
      </c>
      <c r="B318" s="16" t="s">
        <v>2464</v>
      </c>
      <c r="C318" t="s">
        <v>1209</v>
      </c>
      <c r="D318" t="s">
        <v>1184</v>
      </c>
    </row>
    <row r="319" spans="1:4" x14ac:dyDescent="0.2">
      <c r="A319" t="str">
        <f t="shared" ca="1" si="3"/>
        <v>Авансы подрядчикам</v>
      </c>
      <c r="B319" s="16" t="s">
        <v>2465</v>
      </c>
      <c r="C319" t="s">
        <v>1210</v>
      </c>
      <c r="D319" t="s">
        <v>1185</v>
      </c>
    </row>
    <row r="320" spans="1:4" x14ac:dyDescent="0.2">
      <c r="A320" t="str">
        <f t="shared" ca="1" si="3"/>
        <v>Кредиторская задолженность подрядчикам</v>
      </c>
      <c r="B320" s="16" t="s">
        <v>2466</v>
      </c>
      <c r="C320" t="s">
        <v>1210</v>
      </c>
      <c r="D320" t="s">
        <v>1186</v>
      </c>
    </row>
    <row r="321" spans="1:4" x14ac:dyDescent="0.2">
      <c r="A321" t="str">
        <f t="shared" ca="1" si="3"/>
        <v>Учет доли к передаче дольщикам / соинвесторам</v>
      </c>
      <c r="B321" s="46" t="s">
        <v>2467</v>
      </c>
      <c r="C321" t="s">
        <v>1326</v>
      </c>
      <c r="D321" t="s">
        <v>1187</v>
      </c>
    </row>
    <row r="322" spans="1:4" x14ac:dyDescent="0.2">
      <c r="A322" t="str">
        <f t="shared" ca="1" si="3"/>
        <v>Незавершенные инвестиции</v>
      </c>
      <c r="B322" s="46" t="s">
        <v>2014</v>
      </c>
      <c r="C322" t="s">
        <v>1292</v>
      </c>
      <c r="D322" t="s">
        <v>1255</v>
      </c>
    </row>
    <row r="323" spans="1:4" x14ac:dyDescent="0.2">
      <c r="A323" t="str">
        <f t="shared" ca="1" si="3"/>
        <v>Здания и сооружения на балансе</v>
      </c>
      <c r="B323" s="46" t="s">
        <v>2420</v>
      </c>
      <c r="C323" t="s">
        <v>1327</v>
      </c>
      <c r="D323" t="s">
        <v>1188</v>
      </c>
    </row>
    <row r="324" spans="1:4" x14ac:dyDescent="0.2">
      <c r="A324" t="str">
        <f t="shared" ca="1" si="3"/>
        <v>Выплаченный, но не зачтенный НДС</v>
      </c>
      <c r="B324" s="46" t="s">
        <v>585</v>
      </c>
      <c r="C324" t="s">
        <v>1328</v>
      </c>
      <c r="D324" t="s">
        <v>1189</v>
      </c>
    </row>
    <row r="325" spans="1:4" x14ac:dyDescent="0.2">
      <c r="A325" t="str">
        <f t="shared" ca="1" si="3"/>
        <v>Списание стоимости переданных площадей:</v>
      </c>
      <c r="B325" s="46" t="s">
        <v>2468</v>
      </c>
      <c r="C325" t="s">
        <v>1329</v>
      </c>
      <c r="D325" t="s">
        <v>1190</v>
      </c>
    </row>
    <row r="326" spans="1:4" x14ac:dyDescent="0.2">
      <c r="A326" t="str">
        <f t="shared" ca="1" si="3"/>
        <v xml:space="preserve">    доля объекта, переданная в текущем периоде</v>
      </c>
      <c r="B326" s="46" t="s">
        <v>2469</v>
      </c>
      <c r="C326" t="s">
        <v>1330</v>
      </c>
      <c r="D326" t="s">
        <v>1191</v>
      </c>
    </row>
    <row r="327" spans="1:4" x14ac:dyDescent="0.2">
      <c r="A327" t="str">
        <f t="shared" ca="1" si="3"/>
        <v xml:space="preserve">    балансовая стоимость</v>
      </c>
      <c r="B327" s="46" t="s">
        <v>2351</v>
      </c>
      <c r="C327" t="s">
        <v>1331</v>
      </c>
      <c r="D327" t="s">
        <v>1192</v>
      </c>
    </row>
    <row r="328" spans="1:4" x14ac:dyDescent="0.2">
      <c r="A328" t="str">
        <f t="shared" ca="1" si="3"/>
        <v xml:space="preserve">    прибыль/убыток от реализации активов</v>
      </c>
      <c r="B328" s="46" t="s">
        <v>2352</v>
      </c>
      <c r="C328" t="s">
        <v>1208</v>
      </c>
      <c r="D328" t="s">
        <v>1153</v>
      </c>
    </row>
    <row r="329" spans="1:4" x14ac:dyDescent="0.2">
      <c r="A329" t="str">
        <f t="shared" ca="1" si="3"/>
        <v>Стоимость оставшейся доли объекта на начало периода:</v>
      </c>
      <c r="B329" s="46" t="s">
        <v>2334</v>
      </c>
      <c r="C329" t="s">
        <v>2435</v>
      </c>
      <c r="D329" t="s">
        <v>1193</v>
      </c>
    </row>
    <row r="330" spans="1:4" x14ac:dyDescent="0.2">
      <c r="A330" t="str">
        <f t="shared" ca="1" si="3"/>
        <v xml:space="preserve">    непроданная доля объекта</v>
      </c>
      <c r="B330" s="46" t="s">
        <v>2470</v>
      </c>
      <c r="C330" t="s">
        <v>1332</v>
      </c>
      <c r="D330" t="s">
        <v>1194</v>
      </c>
    </row>
    <row r="331" spans="1:4" x14ac:dyDescent="0.2">
      <c r="A331" t="str">
        <f t="shared" ca="1" si="3"/>
        <v xml:space="preserve">    балансовая стоимость</v>
      </c>
      <c r="B331" s="46" t="s">
        <v>2351</v>
      </c>
      <c r="C331" t="s">
        <v>1331</v>
      </c>
      <c r="D331" t="s">
        <v>1192</v>
      </c>
    </row>
    <row r="332" spans="1:4" x14ac:dyDescent="0.2">
      <c r="A332" t="str">
        <f t="shared" ca="1" si="3"/>
        <v>Авансы подрядчикам</v>
      </c>
      <c r="B332" s="46" t="s">
        <v>2465</v>
      </c>
      <c r="C332" t="s">
        <v>1210</v>
      </c>
      <c r="D332" t="s">
        <v>1185</v>
      </c>
    </row>
    <row r="333" spans="1:4" x14ac:dyDescent="0.2">
      <c r="A333" t="str">
        <f t="shared" ca="1" si="3"/>
        <v>Кредиторская задолженность подрядчикам</v>
      </c>
      <c r="B333" s="46" t="s">
        <v>2466</v>
      </c>
      <c r="C333" t="s">
        <v>1617</v>
      </c>
      <c r="D333" t="s">
        <v>1186</v>
      </c>
    </row>
    <row r="334" spans="1:4" x14ac:dyDescent="0.2">
      <c r="A334" t="str">
        <f t="shared" ca="1" si="3"/>
        <v>Доходы от продажи площадей</v>
      </c>
      <c r="B334" s="16" t="s">
        <v>2471</v>
      </c>
      <c r="C334" t="s">
        <v>1618</v>
      </c>
      <c r="D334" t="s">
        <v>1110</v>
      </c>
    </row>
    <row r="335" spans="1:4" x14ac:dyDescent="0.2">
      <c r="A335" t="str">
        <f t="shared" ca="1" si="3"/>
        <v>Поступления от продажи площадей</v>
      </c>
      <c r="B335" s="16" t="s">
        <v>2472</v>
      </c>
      <c r="C335" t="s">
        <v>1619</v>
      </c>
      <c r="D335" t="s">
        <v>1195</v>
      </c>
    </row>
    <row r="336" spans="1:4" x14ac:dyDescent="0.2">
      <c r="A336" t="str">
        <f t="shared" ca="1" si="3"/>
        <v xml:space="preserve">    доходы без НДС</v>
      </c>
      <c r="B336" s="16" t="s">
        <v>2473</v>
      </c>
      <c r="C336" t="s">
        <v>1620</v>
      </c>
      <c r="D336" t="s">
        <v>1196</v>
      </c>
    </row>
    <row r="337" spans="1:4" x14ac:dyDescent="0.2">
      <c r="A337" t="str">
        <f t="shared" ca="1" si="3"/>
        <v>Передача проданных площадей</v>
      </c>
      <c r="B337" s="16" t="s">
        <v>2474</v>
      </c>
      <c r="C337" t="s">
        <v>1621</v>
      </c>
      <c r="D337" t="s">
        <v>1197</v>
      </c>
    </row>
    <row r="338" spans="1:4" x14ac:dyDescent="0.2">
      <c r="A338" t="str">
        <f t="shared" ca="1" si="3"/>
        <v xml:space="preserve">    передача без НДС</v>
      </c>
      <c r="B338" s="16" t="s">
        <v>2475</v>
      </c>
      <c r="C338" t="s">
        <v>1622</v>
      </c>
      <c r="D338" t="s">
        <v>1198</v>
      </c>
    </row>
    <row r="339" spans="1:4" x14ac:dyDescent="0.2">
      <c r="A339" t="str">
        <f t="shared" ca="1" si="3"/>
        <v>Себестоимость проданных площадей</v>
      </c>
      <c r="B339" s="16" t="s">
        <v>2476</v>
      </c>
      <c r="C339" t="s">
        <v>1336</v>
      </c>
      <c r="D339" t="s">
        <v>1199</v>
      </c>
    </row>
    <row r="340" spans="1:4" x14ac:dyDescent="0.2">
      <c r="A340" t="str">
        <f t="shared" ca="1" si="3"/>
        <v>Полученные авансы</v>
      </c>
      <c r="B340" s="16" t="s">
        <v>2477</v>
      </c>
      <c r="C340" t="s">
        <v>608</v>
      </c>
      <c r="D340" t="s">
        <v>893</v>
      </c>
    </row>
    <row r="341" spans="1:4" x14ac:dyDescent="0.2">
      <c r="A341" t="str">
        <f t="shared" ca="1" si="3"/>
        <v xml:space="preserve">   НДС с авансов</v>
      </c>
      <c r="B341" s="16" t="s">
        <v>2478</v>
      </c>
      <c r="C341" t="s">
        <v>1337</v>
      </c>
      <c r="D341" t="s">
        <v>1200</v>
      </c>
    </row>
    <row r="342" spans="1:4" x14ac:dyDescent="0.2">
      <c r="A342" t="str">
        <f t="shared" ca="1" si="3"/>
        <v xml:space="preserve">   НДС в бюджет</v>
      </c>
      <c r="B342" s="16" t="s">
        <v>2340</v>
      </c>
      <c r="C342" t="s">
        <v>1338</v>
      </c>
      <c r="D342" t="s">
        <v>1201</v>
      </c>
    </row>
    <row r="343" spans="1:4" x14ac:dyDescent="0.2">
      <c r="A343" t="str">
        <f t="shared" ca="1" si="3"/>
        <v>Дебиторская задолженность</v>
      </c>
      <c r="B343" s="16" t="s">
        <v>2240</v>
      </c>
      <c r="C343" t="s">
        <v>1339</v>
      </c>
      <c r="D343" t="s">
        <v>995</v>
      </c>
    </row>
    <row r="344" spans="1:4" x14ac:dyDescent="0.2">
      <c r="A344" t="str">
        <f t="shared" ca="1" si="3"/>
        <v>Доходы от аренды</v>
      </c>
      <c r="B344" s="16" t="s">
        <v>2479</v>
      </c>
      <c r="C344" t="s">
        <v>1161</v>
      </c>
      <c r="D344" t="s">
        <v>1120</v>
      </c>
    </row>
    <row r="345" spans="1:4" x14ac:dyDescent="0.2">
      <c r="A345" t="str">
        <f t="shared" ca="1" si="3"/>
        <v xml:space="preserve">    доходы без НДС</v>
      </c>
      <c r="B345" s="16" t="s">
        <v>2473</v>
      </c>
      <c r="C345" t="s">
        <v>1340</v>
      </c>
      <c r="D345" t="s">
        <v>1196</v>
      </c>
    </row>
    <row r="346" spans="1:4" x14ac:dyDescent="0.2">
      <c r="A346" t="str">
        <f t="shared" ca="1" si="3"/>
        <v>Учет объекта в текущих активах</v>
      </c>
      <c r="B346" s="16" t="s">
        <v>2480</v>
      </c>
      <c r="C346" t="s">
        <v>1341</v>
      </c>
      <c r="D346" t="s">
        <v>1202</v>
      </c>
    </row>
    <row r="347" spans="1:4" x14ac:dyDescent="0.2">
      <c r="A347" t="str">
        <f t="shared" ca="1" si="3"/>
        <v>Незавершенное производство</v>
      </c>
      <c r="B347" s="16" t="s">
        <v>343</v>
      </c>
      <c r="C347" t="s">
        <v>592</v>
      </c>
      <c r="D347" t="s">
        <v>1203</v>
      </c>
    </row>
    <row r="348" spans="1:4" x14ac:dyDescent="0.2">
      <c r="A348" t="str">
        <f t="shared" ca="1" si="3"/>
        <v>Запасы готовой продукции</v>
      </c>
      <c r="B348" s="16" t="s">
        <v>2157</v>
      </c>
      <c r="C348" t="s">
        <v>593</v>
      </c>
      <c r="D348" t="s">
        <v>994</v>
      </c>
    </row>
    <row r="349" spans="1:4" x14ac:dyDescent="0.2">
      <c r="A349" t="str">
        <f t="shared" ca="1" si="3"/>
        <v>НДС к ранее осуществленным инвестициям, включаемый в затраты</v>
      </c>
      <c r="B349" s="16" t="s">
        <v>471</v>
      </c>
      <c r="C349" t="s">
        <v>472</v>
      </c>
      <c r="D349" t="s">
        <v>1204</v>
      </c>
    </row>
    <row r="350" spans="1:4" x14ac:dyDescent="0.2">
      <c r="A350" t="str">
        <f t="shared" ca="1" si="3"/>
        <v>Авансы подрядчикам</v>
      </c>
      <c r="B350" s="16" t="s">
        <v>2465</v>
      </c>
      <c r="C350" t="s">
        <v>1210</v>
      </c>
      <c r="D350" t="s">
        <v>1185</v>
      </c>
    </row>
    <row r="351" spans="1:4" x14ac:dyDescent="0.2">
      <c r="A351" t="str">
        <f t="shared" ca="1" si="3"/>
        <v>Кредиторская задолженность подрядчикам</v>
      </c>
      <c r="B351" s="16" t="s">
        <v>2466</v>
      </c>
      <c r="C351" t="s">
        <v>1617</v>
      </c>
      <c r="D351" t="s">
        <v>1186</v>
      </c>
    </row>
    <row r="352" spans="1:4" x14ac:dyDescent="0.2">
      <c r="A352" t="str">
        <f t="shared" ca="1" si="1"/>
        <v xml:space="preserve">         СУЩЕСТВУЮЩИЕ АКТИВЫ ПРОЕКТА</v>
      </c>
      <c r="B352" s="24" t="s">
        <v>655</v>
      </c>
      <c r="C352" s="24" t="s">
        <v>1342</v>
      </c>
      <c r="D352" t="s">
        <v>841</v>
      </c>
    </row>
    <row r="353" spans="1:4" x14ac:dyDescent="0.2">
      <c r="A353" t="str">
        <f t="shared" ca="1" si="1"/>
        <v>Существующие активы</v>
      </c>
      <c r="B353" s="46" t="s">
        <v>1333</v>
      </c>
      <c r="C353" s="128" t="s">
        <v>1334</v>
      </c>
      <c r="D353" t="s">
        <v>1335</v>
      </c>
    </row>
    <row r="354" spans="1:4" x14ac:dyDescent="0.2">
      <c r="A354" t="str">
        <f t="shared" ref="A354:A369" ca="1" si="4">OFFSET(A354,0,LanguageID)</f>
        <v xml:space="preserve">  Амортизация</v>
      </c>
      <c r="B354" s="23" t="s">
        <v>1954</v>
      </c>
      <c r="C354" s="23" t="s">
        <v>1955</v>
      </c>
      <c r="D354" t="s">
        <v>1956</v>
      </c>
    </row>
    <row r="355" spans="1:4" x14ac:dyDescent="0.2">
      <c r="A355" t="str">
        <f t="shared" ca="1" si="4"/>
        <v>Существующие внеоборотные активы</v>
      </c>
      <c r="B355" s="24" t="s">
        <v>207</v>
      </c>
      <c r="C355" s="23" t="s">
        <v>1343</v>
      </c>
      <c r="D355" t="s">
        <v>1205</v>
      </c>
    </row>
    <row r="356" spans="1:4" x14ac:dyDescent="0.2">
      <c r="A356" t="str">
        <f t="shared" ca="1" si="4"/>
        <v>Здания и сооружения</v>
      </c>
      <c r="B356" s="24" t="s">
        <v>180</v>
      </c>
      <c r="C356" t="s">
        <v>1344</v>
      </c>
      <c r="D356" t="s">
        <v>1206</v>
      </c>
    </row>
    <row r="357" spans="1:4" x14ac:dyDescent="0.2">
      <c r="A357" t="str">
        <f t="shared" ca="1" si="4"/>
        <v xml:space="preserve">    первоначальная стоимость</v>
      </c>
      <c r="B357" s="24" t="s">
        <v>580</v>
      </c>
      <c r="C357" s="24" t="s">
        <v>1345</v>
      </c>
      <c r="D357" t="s">
        <v>1207</v>
      </c>
    </row>
    <row r="358" spans="1:4" x14ac:dyDescent="0.2">
      <c r="A358" t="str">
        <f t="shared" ca="1" si="4"/>
        <v xml:space="preserve">    амортизация (линейная),       для срока использования:</v>
      </c>
      <c r="B358" s="24" t="s">
        <v>2259</v>
      </c>
      <c r="C358" t="s">
        <v>1346</v>
      </c>
      <c r="D358" t="s">
        <v>1481</v>
      </c>
    </row>
    <row r="359" spans="1:4" x14ac:dyDescent="0.2">
      <c r="A359" t="str">
        <f t="shared" ca="1" si="4"/>
        <v xml:space="preserve">    накопленная амортизация</v>
      </c>
      <c r="B359" s="128" t="s">
        <v>198</v>
      </c>
      <c r="C359" t="s">
        <v>1296</v>
      </c>
      <c r="D359" t="s">
        <v>1259</v>
      </c>
    </row>
    <row r="360" spans="1:4" x14ac:dyDescent="0.2">
      <c r="A360" t="str">
        <f t="shared" ca="1" si="4"/>
        <v xml:space="preserve">    остаточная стоимость</v>
      </c>
      <c r="B360" s="128" t="s">
        <v>199</v>
      </c>
      <c r="C360" t="s">
        <v>1297</v>
      </c>
      <c r="D360" t="s">
        <v>1260</v>
      </c>
    </row>
    <row r="361" spans="1:4" x14ac:dyDescent="0.2">
      <c r="A361" t="str">
        <f t="shared" ca="1" si="4"/>
        <v xml:space="preserve">    реализация актива (без НДС)</v>
      </c>
      <c r="B361" s="24" t="s">
        <v>203</v>
      </c>
      <c r="C361" t="s">
        <v>1347</v>
      </c>
      <c r="D361" t="s">
        <v>1482</v>
      </c>
    </row>
    <row r="362" spans="1:4" x14ac:dyDescent="0.2">
      <c r="A362" t="str">
        <f t="shared" ca="1" si="4"/>
        <v xml:space="preserve">    прибыль/убыток от реализации актива</v>
      </c>
      <c r="B362" s="24" t="s">
        <v>204</v>
      </c>
      <c r="C362" t="s">
        <v>1348</v>
      </c>
      <c r="D362" t="s">
        <v>1483</v>
      </c>
    </row>
    <row r="363" spans="1:4" x14ac:dyDescent="0.2">
      <c r="A363" t="str">
        <f t="shared" ca="1" si="4"/>
        <v xml:space="preserve">    НДС к выручке от реализации актива</v>
      </c>
      <c r="B363" s="24" t="s">
        <v>205</v>
      </c>
      <c r="C363" t="s">
        <v>1349</v>
      </c>
      <c r="D363" t="s">
        <v>1484</v>
      </c>
    </row>
    <row r="364" spans="1:4" x14ac:dyDescent="0.2">
      <c r="A364" t="str">
        <f t="shared" ca="1" si="4"/>
        <v>Земельные участки</v>
      </c>
      <c r="B364" s="24" t="s">
        <v>181</v>
      </c>
      <c r="C364" t="s">
        <v>1350</v>
      </c>
      <c r="D364" t="s">
        <v>1485</v>
      </c>
    </row>
    <row r="365" spans="1:4" x14ac:dyDescent="0.2">
      <c r="A365" t="str">
        <f t="shared" ca="1" si="4"/>
        <v>Нематериальные активы</v>
      </c>
      <c r="B365" s="24" t="s">
        <v>182</v>
      </c>
      <c r="C365" t="s">
        <v>1351</v>
      </c>
      <c r="D365" t="s">
        <v>1486</v>
      </c>
    </row>
    <row r="366" spans="1:4" x14ac:dyDescent="0.2">
      <c r="A366" t="str">
        <f t="shared" ca="1" si="4"/>
        <v>Оборудование и другие активы</v>
      </c>
      <c r="B366" s="24" t="s">
        <v>183</v>
      </c>
      <c r="C366" t="s">
        <v>1066</v>
      </c>
      <c r="D366" t="s">
        <v>1623</v>
      </c>
    </row>
    <row r="367" spans="1:4" x14ac:dyDescent="0.2">
      <c r="A367" t="str">
        <f t="shared" ca="1" si="4"/>
        <v>Существующие расходы будущих периодов</v>
      </c>
      <c r="B367" s="24" t="s">
        <v>579</v>
      </c>
      <c r="C367" t="s">
        <v>1067</v>
      </c>
      <c r="D367" t="s">
        <v>1624</v>
      </c>
    </row>
    <row r="368" spans="1:4" x14ac:dyDescent="0.2">
      <c r="A368" t="str">
        <f t="shared" ca="1" si="4"/>
        <v>Существующие финансовые вложения</v>
      </c>
      <c r="B368" s="24" t="s">
        <v>429</v>
      </c>
      <c r="C368" t="s">
        <v>1068</v>
      </c>
      <c r="D368" t="s">
        <v>1625</v>
      </c>
    </row>
    <row r="369" spans="1:4" x14ac:dyDescent="0.2">
      <c r="A369" t="str">
        <f t="shared" ca="1" si="4"/>
        <v xml:space="preserve">    доходность финансовых вложений</v>
      </c>
      <c r="B369" s="24" t="s">
        <v>2261</v>
      </c>
      <c r="C369" t="s">
        <v>1368</v>
      </c>
      <c r="D369" t="s">
        <v>1957</v>
      </c>
    </row>
    <row r="370" spans="1:4" x14ac:dyDescent="0.2">
      <c r="A370" t="str">
        <f t="shared" ca="1" si="1"/>
        <v xml:space="preserve">         ИНВЕСТИЦИИ ПРОЕКТА</v>
      </c>
      <c r="B370" s="24" t="s">
        <v>656</v>
      </c>
      <c r="C370" s="24" t="s">
        <v>1074</v>
      </c>
      <c r="D370" t="s">
        <v>842</v>
      </c>
    </row>
    <row r="371" spans="1:4" x14ac:dyDescent="0.2">
      <c r="A371" t="str">
        <f t="shared" ca="1" si="1"/>
        <v>ИТОГО</v>
      </c>
      <c r="B371" t="s">
        <v>187</v>
      </c>
      <c r="C371" s="128" t="s">
        <v>866</v>
      </c>
      <c r="D371" t="s">
        <v>1626</v>
      </c>
    </row>
    <row r="372" spans="1:4" x14ac:dyDescent="0.2">
      <c r="A372" t="str">
        <f t="shared" ca="1" si="1"/>
        <v>по мере оплаты актива</v>
      </c>
      <c r="B372" t="s">
        <v>546</v>
      </c>
      <c r="C372" s="128" t="s">
        <v>1075</v>
      </c>
      <c r="D372" t="s">
        <v>1627</v>
      </c>
    </row>
    <row r="373" spans="1:4" x14ac:dyDescent="0.2">
      <c r="A373" t="str">
        <f t="shared" ca="1" si="1"/>
        <v>после постановки актива на баланс</v>
      </c>
      <c r="B373" t="s">
        <v>547</v>
      </c>
      <c r="C373" t="s">
        <v>1076</v>
      </c>
      <c r="D373" t="s">
        <v>1628</v>
      </c>
    </row>
    <row r="374" spans="1:4" x14ac:dyDescent="0.2">
      <c r="A374" t="str">
        <f t="shared" ca="1" si="1"/>
        <v>да</v>
      </c>
      <c r="B374" t="s">
        <v>554</v>
      </c>
      <c r="C374" t="s">
        <v>1077</v>
      </c>
      <c r="D374" t="s">
        <v>1629</v>
      </c>
    </row>
    <row r="375" spans="1:4" x14ac:dyDescent="0.2">
      <c r="A375" t="str">
        <f t="shared" ca="1" si="1"/>
        <v>нет</v>
      </c>
      <c r="B375" t="s">
        <v>553</v>
      </c>
      <c r="C375" t="s">
        <v>1078</v>
      </c>
      <c r="D375" t="s">
        <v>1630</v>
      </c>
    </row>
    <row r="376" spans="1:4" x14ac:dyDescent="0.2">
      <c r="A376" t="str">
        <f t="shared" ref="A376:A428" ca="1" si="5">OFFSET(A376,0,LanguageID)</f>
        <v>периода</v>
      </c>
      <c r="B376" s="225" t="s">
        <v>430</v>
      </c>
      <c r="C376" t="s">
        <v>1042</v>
      </c>
      <c r="D376" t="s">
        <v>1631</v>
      </c>
    </row>
    <row r="377" spans="1:4" x14ac:dyDescent="0.2">
      <c r="A377" t="str">
        <f t="shared" ca="1" si="5"/>
        <v>период</v>
      </c>
      <c r="B377" s="225" t="s">
        <v>552</v>
      </c>
      <c r="C377" t="s">
        <v>1042</v>
      </c>
      <c r="D377" t="s">
        <v>1632</v>
      </c>
    </row>
    <row r="378" spans="1:4" x14ac:dyDescent="0.2">
      <c r="A378" t="str">
        <f t="shared" ca="1" si="5"/>
        <v>Земельные участки</v>
      </c>
      <c r="B378" s="52" t="s">
        <v>181</v>
      </c>
      <c r="C378" t="s">
        <v>1350</v>
      </c>
      <c r="D378" t="s">
        <v>1485</v>
      </c>
    </row>
    <row r="379" spans="1:4" x14ac:dyDescent="0.2">
      <c r="A379" t="str">
        <f t="shared" ca="1" si="5"/>
        <v>Наименование</v>
      </c>
      <c r="B379" s="52" t="s">
        <v>185</v>
      </c>
      <c r="C379" t="s">
        <v>1079</v>
      </c>
      <c r="D379" t="s">
        <v>1633</v>
      </c>
    </row>
    <row r="380" spans="1:4" x14ac:dyDescent="0.2">
      <c r="A380" t="str">
        <f t="shared" ca="1" si="5"/>
        <v xml:space="preserve">    величина платежей</v>
      </c>
      <c r="B380" s="52" t="s">
        <v>548</v>
      </c>
      <c r="C380" t="s">
        <v>1080</v>
      </c>
      <c r="D380" t="s">
        <v>1634</v>
      </c>
    </row>
    <row r="381" spans="1:4" x14ac:dyDescent="0.2">
      <c r="A381" t="str">
        <f t="shared" ca="1" si="5"/>
        <v xml:space="preserve">    величина платежей (с НДС)</v>
      </c>
      <c r="B381" s="52" t="s">
        <v>2607</v>
      </c>
      <c r="C381" t="s">
        <v>1081</v>
      </c>
      <c r="D381" t="s">
        <v>1635</v>
      </c>
    </row>
    <row r="382" spans="1:4" x14ac:dyDescent="0.2">
      <c r="A382" t="str">
        <f t="shared" ca="1" si="5"/>
        <v xml:space="preserve">    величина платежей (без НДС)</v>
      </c>
      <c r="B382" s="52" t="s">
        <v>1525</v>
      </c>
      <c r="C382" t="s">
        <v>1431</v>
      </c>
      <c r="D382" t="s">
        <v>1524</v>
      </c>
    </row>
    <row r="383" spans="1:4" x14ac:dyDescent="0.2">
      <c r="A383" t="str">
        <f t="shared" ca="1" si="5"/>
        <v xml:space="preserve">    ранее осуществленные инвестиции (без НДС)</v>
      </c>
      <c r="B383" t="s">
        <v>190</v>
      </c>
      <c r="C383" t="s">
        <v>1082</v>
      </c>
      <c r="D383" t="s">
        <v>1636</v>
      </c>
    </row>
    <row r="384" spans="1:4" x14ac:dyDescent="0.2">
      <c r="A384" t="str">
        <f t="shared" ca="1" si="5"/>
        <v xml:space="preserve">    поставить на баланс с</v>
      </c>
      <c r="B384" s="52" t="s">
        <v>192</v>
      </c>
      <c r="C384" t="s">
        <v>1083</v>
      </c>
      <c r="D384" t="s">
        <v>1637</v>
      </c>
    </row>
    <row r="385" spans="1:4" x14ac:dyDescent="0.2">
      <c r="A385" t="str">
        <f t="shared" ca="1" si="5"/>
        <v xml:space="preserve">    сумма платежей без НДС</v>
      </c>
      <c r="B385" s="52" t="s">
        <v>189</v>
      </c>
      <c r="C385" t="s">
        <v>1084</v>
      </c>
      <c r="D385" t="s">
        <v>1638</v>
      </c>
    </row>
    <row r="386" spans="1:4" x14ac:dyDescent="0.2">
      <c r="A386" t="str">
        <f t="shared" ca="1" si="5"/>
        <v xml:space="preserve">    общая стоимость актива (без НДС)</v>
      </c>
      <c r="B386" s="52" t="s">
        <v>191</v>
      </c>
      <c r="C386" t="s">
        <v>1085</v>
      </c>
      <c r="D386" t="s">
        <v>1639</v>
      </c>
    </row>
    <row r="387" spans="1:4" x14ac:dyDescent="0.2">
      <c r="A387" t="str">
        <f t="shared" ca="1" si="5"/>
        <v xml:space="preserve">    полная сумма вложений в актив (без НДС)</v>
      </c>
      <c r="B387" s="52" t="s">
        <v>193</v>
      </c>
      <c r="C387" t="s">
        <v>1086</v>
      </c>
      <c r="D387" t="s">
        <v>1640</v>
      </c>
    </row>
    <row r="388" spans="1:4" x14ac:dyDescent="0.2">
      <c r="A388" t="str">
        <f t="shared" ca="1" si="5"/>
        <v xml:space="preserve">    полная балансовая стоимость</v>
      </c>
      <c r="B388" s="52" t="s">
        <v>194</v>
      </c>
      <c r="C388" t="s">
        <v>1294</v>
      </c>
      <c r="D388" t="s">
        <v>1257</v>
      </c>
    </row>
    <row r="389" spans="1:4" x14ac:dyDescent="0.2">
      <c r="A389" t="str">
        <f t="shared" ca="1" si="5"/>
        <v xml:space="preserve">    незавершенные инвестиции</v>
      </c>
      <c r="B389" s="52" t="s">
        <v>195</v>
      </c>
      <c r="C389" t="s">
        <v>1087</v>
      </c>
      <c r="D389" t="s">
        <v>1641</v>
      </c>
    </row>
    <row r="390" spans="1:4" x14ac:dyDescent="0.2">
      <c r="A390" t="str">
        <f t="shared" ca="1" si="5"/>
        <v xml:space="preserve">    кредиторская задолженность</v>
      </c>
      <c r="B390" s="52" t="s">
        <v>196</v>
      </c>
      <c r="C390" t="s">
        <v>1088</v>
      </c>
      <c r="D390" t="s">
        <v>1642</v>
      </c>
    </row>
    <row r="391" spans="1:4" x14ac:dyDescent="0.2">
      <c r="A391" t="str">
        <f t="shared" ca="1" si="5"/>
        <v xml:space="preserve">    остаточная стоимость</v>
      </c>
      <c r="B391" s="52" t="s">
        <v>199</v>
      </c>
      <c r="C391" t="s">
        <v>1297</v>
      </c>
      <c r="D391" t="s">
        <v>1260</v>
      </c>
    </row>
    <row r="392" spans="1:4" x14ac:dyDescent="0.2">
      <c r="A392" t="str">
        <f t="shared" ca="1" si="5"/>
        <v>Здания и сооружения</v>
      </c>
      <c r="B392" s="23" t="s">
        <v>180</v>
      </c>
      <c r="C392" t="s">
        <v>1344</v>
      </c>
      <c r="D392" t="s">
        <v>1643</v>
      </c>
    </row>
    <row r="393" spans="1:4" x14ac:dyDescent="0.2">
      <c r="A393" t="str">
        <f t="shared" ca="1" si="5"/>
        <v xml:space="preserve">    амортизация (линейная),       для срока использования:</v>
      </c>
      <c r="B393" t="s">
        <v>2259</v>
      </c>
      <c r="C393" t="s">
        <v>1346</v>
      </c>
      <c r="D393" t="s">
        <v>1481</v>
      </c>
    </row>
    <row r="394" spans="1:4" x14ac:dyDescent="0.2">
      <c r="A394" t="str">
        <f t="shared" ca="1" si="5"/>
        <v xml:space="preserve">    амортизация (ускоренная),    для срока использования:</v>
      </c>
      <c r="B394" t="s">
        <v>197</v>
      </c>
      <c r="C394" t="s">
        <v>1089</v>
      </c>
      <c r="D394" t="s">
        <v>1644</v>
      </c>
    </row>
    <row r="395" spans="1:4" x14ac:dyDescent="0.2">
      <c r="A395" t="str">
        <f t="shared" ca="1" si="5"/>
        <v xml:space="preserve">    выплаченный НДС</v>
      </c>
      <c r="B395" t="s">
        <v>200</v>
      </c>
      <c r="C395" t="s">
        <v>1338</v>
      </c>
      <c r="D395" t="s">
        <v>1201</v>
      </c>
    </row>
    <row r="396" spans="1:4" x14ac:dyDescent="0.2">
      <c r="A396" t="str">
        <f t="shared" ca="1" si="5"/>
        <v xml:space="preserve">    вариант зачета НДС</v>
      </c>
      <c r="B396" t="s">
        <v>545</v>
      </c>
      <c r="C396" t="s">
        <v>751</v>
      </c>
      <c r="D396" t="s">
        <v>1645</v>
      </c>
    </row>
    <row r="397" spans="1:4" x14ac:dyDescent="0.2">
      <c r="A397" t="str">
        <f t="shared" ca="1" si="5"/>
        <v xml:space="preserve">    накопленная амортизация</v>
      </c>
      <c r="B397" t="s">
        <v>198</v>
      </c>
      <c r="C397" t="s">
        <v>1296</v>
      </c>
      <c r="D397" t="s">
        <v>1259</v>
      </c>
    </row>
    <row r="398" spans="1:4" x14ac:dyDescent="0.2">
      <c r="A398" t="str">
        <f t="shared" ca="1" si="5"/>
        <v xml:space="preserve">    НДС к ранее осуществленным инвестициям</v>
      </c>
      <c r="B398" t="s">
        <v>201</v>
      </c>
      <c r="C398" t="s">
        <v>1090</v>
      </c>
      <c r="D398" t="s">
        <v>1646</v>
      </c>
    </row>
    <row r="399" spans="1:4" x14ac:dyDescent="0.2">
      <c r="A399" t="str">
        <f t="shared" ca="1" si="5"/>
        <v xml:space="preserve">    зачет НДС</v>
      </c>
      <c r="B399" t="s">
        <v>202</v>
      </c>
      <c r="C399" t="s">
        <v>1171</v>
      </c>
      <c r="D399" t="s">
        <v>1129</v>
      </c>
    </row>
    <row r="400" spans="1:4" x14ac:dyDescent="0.2">
      <c r="A400" t="str">
        <f t="shared" ca="1" si="5"/>
        <v xml:space="preserve">    НДС к выручке от реализации актива</v>
      </c>
      <c r="B400" t="s">
        <v>205</v>
      </c>
      <c r="C400" t="s">
        <v>1209</v>
      </c>
      <c r="D400" t="s">
        <v>1647</v>
      </c>
    </row>
    <row r="401" spans="1:4" x14ac:dyDescent="0.2">
      <c r="A401" t="str">
        <f t="shared" ca="1" si="5"/>
        <v>Оборудование и другие активы</v>
      </c>
      <c r="B401" s="23" t="s">
        <v>183</v>
      </c>
      <c r="C401" t="s">
        <v>1066</v>
      </c>
      <c r="D401" t="s">
        <v>1623</v>
      </c>
    </row>
    <row r="402" spans="1:4" x14ac:dyDescent="0.2">
      <c r="A402" t="str">
        <f t="shared" ca="1" si="5"/>
        <v xml:space="preserve">    импорт?</v>
      </c>
      <c r="B402" s="74" t="s">
        <v>550</v>
      </c>
      <c r="C402" t="s">
        <v>1364</v>
      </c>
      <c r="D402" t="s">
        <v>1648</v>
      </c>
    </row>
    <row r="403" spans="1:4" x14ac:dyDescent="0.2">
      <c r="A403" t="str">
        <f t="shared" ca="1" si="5"/>
        <v xml:space="preserve">    пересечение границы при импорте</v>
      </c>
      <c r="B403" s="101" t="s">
        <v>551</v>
      </c>
      <c r="C403" t="s">
        <v>1365</v>
      </c>
      <c r="D403" t="s">
        <v>1649</v>
      </c>
    </row>
    <row r="404" spans="1:4" x14ac:dyDescent="0.2">
      <c r="A404" t="str">
        <f t="shared" ca="1" si="5"/>
        <v xml:space="preserve">    импортная пошлина</v>
      </c>
      <c r="B404" s="74" t="s">
        <v>2260</v>
      </c>
      <c r="C404" t="s">
        <v>1366</v>
      </c>
      <c r="D404" t="s">
        <v>1650</v>
      </c>
    </row>
    <row r="405" spans="1:4" x14ac:dyDescent="0.2">
      <c r="A405" t="str">
        <f t="shared" ca="1" si="5"/>
        <v>Нематериальные активы</v>
      </c>
      <c r="B405" s="52" t="s">
        <v>182</v>
      </c>
      <c r="C405" t="s">
        <v>1351</v>
      </c>
      <c r="D405" t="s">
        <v>1486</v>
      </c>
    </row>
    <row r="406" spans="1:4" x14ac:dyDescent="0.2">
      <c r="A406" t="str">
        <f t="shared" ca="1" si="5"/>
        <v>Финансовые вложения</v>
      </c>
      <c r="B406" s="23" t="s">
        <v>428</v>
      </c>
      <c r="C406" t="s">
        <v>1367</v>
      </c>
      <c r="D406" s="128" t="s">
        <v>1017</v>
      </c>
    </row>
    <row r="407" spans="1:4" x14ac:dyDescent="0.2">
      <c r="A407" t="str">
        <f t="shared" ca="1" si="5"/>
        <v xml:space="preserve">    доходность финансовых вложений</v>
      </c>
      <c r="B407" s="23" t="s">
        <v>2261</v>
      </c>
      <c r="C407" t="s">
        <v>1368</v>
      </c>
      <c r="D407" t="s">
        <v>1651</v>
      </c>
    </row>
    <row r="408" spans="1:4" x14ac:dyDescent="0.2">
      <c r="A408" t="str">
        <f t="shared" ca="1" si="5"/>
        <v xml:space="preserve">    авансы выданные</v>
      </c>
      <c r="B408" s="48" t="s">
        <v>2262</v>
      </c>
      <c r="C408" t="s">
        <v>1369</v>
      </c>
      <c r="D408" t="s">
        <v>1652</v>
      </c>
    </row>
    <row r="409" spans="1:4" x14ac:dyDescent="0.2">
      <c r="A409" t="str">
        <f t="shared" ca="1" si="5"/>
        <v>Расходы будущих периодов</v>
      </c>
      <c r="B409" s="23" t="s">
        <v>184</v>
      </c>
      <c r="C409" t="s">
        <v>596</v>
      </c>
      <c r="D409" t="s">
        <v>1624</v>
      </c>
    </row>
    <row r="410" spans="1:4" x14ac:dyDescent="0.2">
      <c r="A410" t="str">
        <f t="shared" ca="1" si="5"/>
        <v>Проценты по кредитам на инвестиционной фазе</v>
      </c>
      <c r="B410" s="23" t="s">
        <v>2347</v>
      </c>
      <c r="C410" t="s">
        <v>1370</v>
      </c>
      <c r="D410" t="s">
        <v>1653</v>
      </c>
    </row>
    <row r="411" spans="1:4" x14ac:dyDescent="0.2">
      <c r="A411" t="str">
        <f t="shared" ca="1" si="5"/>
        <v xml:space="preserve">    инвестиционная фаза заканчивается с начала</v>
      </c>
      <c r="B411" s="23" t="s">
        <v>666</v>
      </c>
      <c r="C411" t="s">
        <v>1371</v>
      </c>
      <c r="D411" t="s">
        <v>1654</v>
      </c>
    </row>
    <row r="412" spans="1:4" x14ac:dyDescent="0.2">
      <c r="A412" t="str">
        <f t="shared" ca="1" si="5"/>
        <v xml:space="preserve">    инвестиционная фаза начинается с начала</v>
      </c>
      <c r="B412" s="23" t="s">
        <v>2427</v>
      </c>
      <c r="C412" t="s">
        <v>2290</v>
      </c>
      <c r="D412" s="302" t="s">
        <v>2638</v>
      </c>
    </row>
    <row r="413" spans="1:4" x14ac:dyDescent="0.2">
      <c r="A413" t="str">
        <f t="shared" ca="1" si="5"/>
        <v>Общая величина ранее осуществленных инвестиций</v>
      </c>
      <c r="B413" s="23" t="s">
        <v>2348</v>
      </c>
      <c r="C413" t="s">
        <v>1372</v>
      </c>
      <c r="D413" t="s">
        <v>1655</v>
      </c>
    </row>
    <row r="414" spans="1:4" x14ac:dyDescent="0.2">
      <c r="A414" t="str">
        <f t="shared" ca="1" si="5"/>
        <v>Незавершенные инвестиции в стартовом балансе</v>
      </c>
      <c r="B414" s="23" t="s">
        <v>313</v>
      </c>
      <c r="C414" t="s">
        <v>1373</v>
      </c>
      <c r="D414" t="s">
        <v>1352</v>
      </c>
    </row>
    <row r="415" spans="1:4" x14ac:dyDescent="0.2">
      <c r="A415" t="str">
        <f t="shared" ca="1" si="5"/>
        <v xml:space="preserve">     НДС к ранее осуществленным инвестициям</v>
      </c>
      <c r="B415" s="19" t="s">
        <v>584</v>
      </c>
      <c r="C415" t="s">
        <v>1090</v>
      </c>
      <c r="D415" t="s">
        <v>1353</v>
      </c>
    </row>
    <row r="416" spans="1:4" x14ac:dyDescent="0.2">
      <c r="A416" t="str">
        <f t="shared" ca="1" si="5"/>
        <v xml:space="preserve">     НДС к существующим активам</v>
      </c>
      <c r="B416" s="19" t="s">
        <v>2481</v>
      </c>
      <c r="C416" t="s">
        <v>2482</v>
      </c>
      <c r="D416" t="s">
        <v>2483</v>
      </c>
    </row>
    <row r="417" spans="1:4" x14ac:dyDescent="0.2">
      <c r="A417" t="str">
        <f t="shared" ca="1" si="5"/>
        <v>Незавершенные инвестиции по данным текущей таблицы</v>
      </c>
      <c r="B417" s="23" t="s">
        <v>1487</v>
      </c>
      <c r="C417" t="s">
        <v>1374</v>
      </c>
      <c r="D417" t="s">
        <v>1354</v>
      </c>
    </row>
    <row r="418" spans="1:4" x14ac:dyDescent="0.2">
      <c r="A418" t="str">
        <f t="shared" ca="1" si="5"/>
        <v>Учитывать при оценке эффективности в сумме</v>
      </c>
      <c r="B418" t="s">
        <v>2263</v>
      </c>
      <c r="C418" t="s">
        <v>1375</v>
      </c>
      <c r="D418" t="s">
        <v>1355</v>
      </c>
    </row>
    <row r="419" spans="1:4" x14ac:dyDescent="0.2">
      <c r="A419" t="str">
        <f t="shared" ca="1" si="5"/>
        <v xml:space="preserve"> = Итого: Земельные участки</v>
      </c>
      <c r="B419" s="52" t="s">
        <v>2353</v>
      </c>
      <c r="C419" s="52" t="s">
        <v>1378</v>
      </c>
      <c r="D419" t="s">
        <v>1356</v>
      </c>
    </row>
    <row r="420" spans="1:4" x14ac:dyDescent="0.2">
      <c r="A420" t="str">
        <f t="shared" ca="1" si="5"/>
        <v xml:space="preserve"> = Итого: Здания и сооружения</v>
      </c>
      <c r="B420" s="23" t="s">
        <v>2350</v>
      </c>
      <c r="C420" s="52" t="s">
        <v>2012</v>
      </c>
      <c r="D420" t="s">
        <v>1357</v>
      </c>
    </row>
    <row r="421" spans="1:4" x14ac:dyDescent="0.2">
      <c r="A421" t="str">
        <f t="shared" ca="1" si="5"/>
        <v xml:space="preserve">    авансовая оплата</v>
      </c>
      <c r="B421" s="48" t="s">
        <v>357</v>
      </c>
      <c r="C421" s="48" t="s">
        <v>1379</v>
      </c>
      <c r="D421" t="s">
        <v>1358</v>
      </c>
    </row>
    <row r="422" spans="1:4" x14ac:dyDescent="0.2">
      <c r="A422" t="str">
        <f t="shared" ca="1" si="5"/>
        <v xml:space="preserve">    амортизация</v>
      </c>
      <c r="B422" s="48" t="s">
        <v>2231</v>
      </c>
      <c r="C422" s="48" t="s">
        <v>1380</v>
      </c>
      <c r="D422" t="s">
        <v>1359</v>
      </c>
    </row>
    <row r="423" spans="1:4" x14ac:dyDescent="0.2">
      <c r="A423" t="str">
        <f t="shared" ca="1" si="5"/>
        <v xml:space="preserve">    прибыль/убыток от строительной деятельности</v>
      </c>
      <c r="B423" s="48" t="s">
        <v>2606</v>
      </c>
      <c r="C423" t="s">
        <v>1381</v>
      </c>
      <c r="D423" t="s">
        <v>1360</v>
      </c>
    </row>
    <row r="424" spans="1:4" x14ac:dyDescent="0.2">
      <c r="A424" t="str">
        <f t="shared" ca="1" si="5"/>
        <v xml:space="preserve"> = Итого: Оборудование и другие активы</v>
      </c>
      <c r="B424" s="23" t="s">
        <v>2356</v>
      </c>
      <c r="C424" s="52" t="s">
        <v>1382</v>
      </c>
      <c r="D424" t="s">
        <v>1361</v>
      </c>
    </row>
    <row r="425" spans="1:4" x14ac:dyDescent="0.2">
      <c r="A425" t="str">
        <f t="shared" ca="1" si="5"/>
        <v xml:space="preserve"> = Итого: Нематериальные активы</v>
      </c>
      <c r="B425" s="52" t="s">
        <v>2354</v>
      </c>
      <c r="C425" s="52" t="s">
        <v>1383</v>
      </c>
      <c r="D425" t="s">
        <v>1362</v>
      </c>
    </row>
    <row r="426" spans="1:4" x14ac:dyDescent="0.2">
      <c r="A426" t="str">
        <f t="shared" ca="1" si="5"/>
        <v xml:space="preserve"> = Итого: Финансовые вложения</v>
      </c>
      <c r="B426" s="23" t="s">
        <v>2355</v>
      </c>
      <c r="C426" s="52" t="s">
        <v>1384</v>
      </c>
      <c r="D426" t="s">
        <v>1363</v>
      </c>
    </row>
    <row r="427" spans="1:4" x14ac:dyDescent="0.2">
      <c r="A427" t="str">
        <f t="shared" ca="1" si="5"/>
        <v xml:space="preserve"> = Итого: Расходы будущих периодов</v>
      </c>
      <c r="B427" s="23" t="s">
        <v>2357</v>
      </c>
      <c r="C427" s="52" t="s">
        <v>1385</v>
      </c>
      <c r="D427" t="s">
        <v>1662</v>
      </c>
    </row>
    <row r="428" spans="1:4" x14ac:dyDescent="0.2">
      <c r="A428" t="str">
        <f t="shared" ca="1" si="5"/>
        <v xml:space="preserve"> = Итого: ВСЕ АКТИВЫ</v>
      </c>
      <c r="B428" s="23" t="s">
        <v>2358</v>
      </c>
      <c r="C428" s="52" t="s">
        <v>1386</v>
      </c>
      <c r="D428" t="s">
        <v>1663</v>
      </c>
    </row>
    <row r="429" spans="1:4" x14ac:dyDescent="0.2">
      <c r="A429" t="str">
        <f t="shared" ref="A429:A455" ca="1" si="6">OFFSET(A429,0,LanguageID)</f>
        <v xml:space="preserve">         ЛИЗИНГ</v>
      </c>
      <c r="B429" t="s">
        <v>2403</v>
      </c>
      <c r="C429" t="s">
        <v>1387</v>
      </c>
      <c r="D429" t="s">
        <v>843</v>
      </c>
    </row>
    <row r="430" spans="1:4" x14ac:dyDescent="0.2">
      <c r="A430" t="str">
        <f t="shared" ca="1" si="6"/>
        <v>Наименование</v>
      </c>
      <c r="B430" t="s">
        <v>185</v>
      </c>
      <c r="C430" t="s">
        <v>1079</v>
      </c>
      <c r="D430" t="s">
        <v>1633</v>
      </c>
    </row>
    <row r="431" spans="1:4" x14ac:dyDescent="0.2">
      <c r="A431" t="str">
        <f t="shared" ca="1" si="6"/>
        <v xml:space="preserve">    тип лизинга</v>
      </c>
      <c r="B431" t="s">
        <v>212</v>
      </c>
      <c r="C431" t="s">
        <v>1388</v>
      </c>
      <c r="D431" t="s">
        <v>1664</v>
      </c>
    </row>
    <row r="432" spans="1:4" x14ac:dyDescent="0.2">
      <c r="A432" t="str">
        <f t="shared" ca="1" si="6"/>
        <v xml:space="preserve">    № периода ввода в действие оборудования</v>
      </c>
      <c r="B432" t="s">
        <v>213</v>
      </c>
      <c r="C432" t="s">
        <v>1389</v>
      </c>
      <c r="D432" t="s">
        <v>1665</v>
      </c>
    </row>
    <row r="433" spans="1:4" x14ac:dyDescent="0.2">
      <c r="A433" t="str">
        <f t="shared" ca="1" si="6"/>
        <v xml:space="preserve">    срок лизинга</v>
      </c>
      <c r="B433" t="s">
        <v>214</v>
      </c>
      <c r="C433" t="s">
        <v>1390</v>
      </c>
      <c r="D433" t="s">
        <v>1666</v>
      </c>
    </row>
    <row r="434" spans="1:4" x14ac:dyDescent="0.2">
      <c r="A434" t="str">
        <f t="shared" ca="1" si="6"/>
        <v>Стоимость объекта (с НДС)</v>
      </c>
      <c r="B434" t="s">
        <v>215</v>
      </c>
      <c r="C434" t="s">
        <v>1391</v>
      </c>
      <c r="D434" t="s">
        <v>1667</v>
      </c>
    </row>
    <row r="435" spans="1:4" x14ac:dyDescent="0.2">
      <c r="A435" t="str">
        <f t="shared" ca="1" si="6"/>
        <v xml:space="preserve">    амортизационные отчисления</v>
      </c>
      <c r="B435" t="s">
        <v>216</v>
      </c>
      <c r="C435" t="s">
        <v>1380</v>
      </c>
      <c r="D435" t="s">
        <v>1359</v>
      </c>
    </row>
    <row r="436" spans="1:4" x14ac:dyDescent="0.2">
      <c r="A436" t="str">
        <f t="shared" ca="1" si="6"/>
        <v xml:space="preserve">    остаточная стоимость (без НДС)</v>
      </c>
      <c r="B436" t="s">
        <v>217</v>
      </c>
      <c r="C436" t="s">
        <v>1392</v>
      </c>
      <c r="D436" t="s">
        <v>1668</v>
      </c>
    </row>
    <row r="437" spans="1:4" x14ac:dyDescent="0.2">
      <c r="A437" t="str">
        <f t="shared" ca="1" si="6"/>
        <v xml:space="preserve">    вознаграждение лизингодателю</v>
      </c>
      <c r="B437" t="s">
        <v>322</v>
      </c>
      <c r="C437" t="s">
        <v>1393</v>
      </c>
      <c r="D437" t="s">
        <v>1669</v>
      </c>
    </row>
    <row r="438" spans="1:4" x14ac:dyDescent="0.2">
      <c r="A438" t="str">
        <f t="shared" ca="1" si="6"/>
        <v xml:space="preserve">    расчетная величина лизинговых платежей (без НДС)</v>
      </c>
      <c r="B438" t="s">
        <v>2172</v>
      </c>
      <c r="C438" t="s">
        <v>1394</v>
      </c>
      <c r="D438" t="s">
        <v>1670</v>
      </c>
    </row>
    <row r="439" spans="1:4" x14ac:dyDescent="0.2">
      <c r="A439" t="str">
        <f t="shared" ca="1" si="6"/>
        <v xml:space="preserve">    расчетная величина лизинговых платежей (c НДС)</v>
      </c>
      <c r="B439" t="s">
        <v>465</v>
      </c>
      <c r="C439" t="s">
        <v>1395</v>
      </c>
      <c r="D439" t="s">
        <v>1671</v>
      </c>
    </row>
    <row r="440" spans="1:4" x14ac:dyDescent="0.2">
      <c r="A440" t="str">
        <f t="shared" ca="1" si="6"/>
        <v>Авансовый платеж (с НДС)</v>
      </c>
      <c r="B440" t="s">
        <v>2199</v>
      </c>
      <c r="C440" t="s">
        <v>1396</v>
      </c>
      <c r="D440" t="s">
        <v>1672</v>
      </c>
    </row>
    <row r="441" spans="1:4" x14ac:dyDescent="0.2">
      <c r="A441" t="str">
        <f t="shared" ca="1" si="6"/>
        <v>График лизинговых платежей (с НДС)</v>
      </c>
      <c r="B441" s="52" t="s">
        <v>2009</v>
      </c>
      <c r="C441" s="205" t="s">
        <v>1779</v>
      </c>
      <c r="D441" s="205" t="s">
        <v>1779</v>
      </c>
    </row>
    <row r="442" spans="1:4" x14ac:dyDescent="0.2">
      <c r="A442" t="str">
        <f t="shared" ca="1" si="6"/>
        <v>Зачет лизинговых платежей в себестоимости (с НДС)</v>
      </c>
      <c r="B442" s="52" t="s">
        <v>97</v>
      </c>
      <c r="C442" s="205" t="s">
        <v>1780</v>
      </c>
      <c r="D442" s="205" t="s">
        <v>1780</v>
      </c>
    </row>
    <row r="443" spans="1:4" x14ac:dyDescent="0.2">
      <c r="A443" t="str">
        <f t="shared" ca="1" si="6"/>
        <v>зачет лизинговых платежей (без НДС)</v>
      </c>
      <c r="B443" s="52" t="s">
        <v>98</v>
      </c>
      <c r="C443" s="205" t="s">
        <v>1781</v>
      </c>
      <c r="D443" s="205" t="s">
        <v>1781</v>
      </c>
    </row>
    <row r="444" spans="1:4" x14ac:dyDescent="0.2">
      <c r="A444" t="str">
        <f t="shared" ca="1" si="6"/>
        <v xml:space="preserve">   лизинговые платежи для  расчета графика платежей</v>
      </c>
      <c r="B444" s="52" t="s">
        <v>255</v>
      </c>
      <c r="C444" s="205" t="s">
        <v>1782</v>
      </c>
      <c r="D444" s="205" t="s">
        <v>1782</v>
      </c>
    </row>
    <row r="445" spans="1:4" x14ac:dyDescent="0.2">
      <c r="A445" t="str">
        <f t="shared" ca="1" si="6"/>
        <v>Реальная величина лизинговых платежей (с НДС)</v>
      </c>
      <c r="B445" t="s">
        <v>2173</v>
      </c>
      <c r="C445" t="s">
        <v>1397</v>
      </c>
      <c r="D445" t="s">
        <v>1673</v>
      </c>
    </row>
    <row r="446" spans="1:4" x14ac:dyDescent="0.2">
      <c r="A446" t="str">
        <f t="shared" ca="1" si="6"/>
        <v xml:space="preserve">    НДС к платежам</v>
      </c>
      <c r="B446" t="s">
        <v>324</v>
      </c>
      <c r="C446" t="s">
        <v>1168</v>
      </c>
      <c r="D446" t="s">
        <v>1125</v>
      </c>
    </row>
    <row r="447" spans="1:4" x14ac:dyDescent="0.2">
      <c r="A447" t="str">
        <f t="shared" ca="1" si="6"/>
        <v xml:space="preserve">    авансы, уплаченные лизингодателю</v>
      </c>
      <c r="B447" t="s">
        <v>325</v>
      </c>
      <c r="C447" t="s">
        <v>1398</v>
      </c>
      <c r="D447" t="s">
        <v>1674</v>
      </c>
    </row>
    <row r="448" spans="1:4" x14ac:dyDescent="0.2">
      <c r="A448" t="str">
        <f t="shared" ca="1" si="6"/>
        <v xml:space="preserve">    арендованные основные средства (ост. стоимость)</v>
      </c>
      <c r="B448" t="s">
        <v>326</v>
      </c>
      <c r="C448" t="s">
        <v>1399</v>
      </c>
      <c r="D448" t="s">
        <v>1675</v>
      </c>
    </row>
    <row r="449" spans="1:4" x14ac:dyDescent="0.2">
      <c r="A449" t="str">
        <f t="shared" ca="1" si="6"/>
        <v xml:space="preserve">    налогооблагаемое имущество</v>
      </c>
      <c r="B449" t="s">
        <v>327</v>
      </c>
      <c r="C449" t="s">
        <v>1400</v>
      </c>
      <c r="D449" t="s">
        <v>1676</v>
      </c>
    </row>
    <row r="450" spans="1:4" x14ac:dyDescent="0.2">
      <c r="A450" t="str">
        <f t="shared" ca="1" si="6"/>
        <v>Выкуп основных средств по остаточной стоимости</v>
      </c>
      <c r="B450" t="s">
        <v>328</v>
      </c>
      <c r="C450" t="s">
        <v>1401</v>
      </c>
      <c r="D450" t="s">
        <v>1677</v>
      </c>
    </row>
    <row r="451" spans="1:4" x14ac:dyDescent="0.2">
      <c r="A451" t="str">
        <f t="shared" ca="1" si="6"/>
        <v xml:space="preserve">    балансовая стоимость после выкупа</v>
      </c>
      <c r="B451" t="s">
        <v>329</v>
      </c>
      <c r="C451" t="s">
        <v>1402</v>
      </c>
      <c r="D451" t="s">
        <v>1678</v>
      </c>
    </row>
    <row r="452" spans="1:4" x14ac:dyDescent="0.2">
      <c r="A452" t="str">
        <f t="shared" ca="1" si="6"/>
        <v xml:space="preserve">    остаточная стоимость после выкупа</v>
      </c>
      <c r="B452" t="s">
        <v>330</v>
      </c>
      <c r="C452" t="s">
        <v>1403</v>
      </c>
      <c r="D452" t="s">
        <v>1679</v>
      </c>
    </row>
    <row r="453" spans="1:4" x14ac:dyDescent="0.2">
      <c r="A453" t="str">
        <f t="shared" ca="1" si="6"/>
        <v xml:space="preserve">    амортизация средств у лизингополучателя после выкупа</v>
      </c>
      <c r="B453" t="s">
        <v>331</v>
      </c>
      <c r="C453" t="s">
        <v>1404</v>
      </c>
      <c r="D453" t="s">
        <v>1680</v>
      </c>
    </row>
    <row r="454" spans="1:4" x14ac:dyDescent="0.2">
      <c r="A454" t="str">
        <f t="shared" ca="1" si="6"/>
        <v xml:space="preserve">    НДС уплаченный при выкупе </v>
      </c>
      <c r="B454" t="s">
        <v>332</v>
      </c>
      <c r="C454" t="s">
        <v>1405</v>
      </c>
      <c r="D454" t="s">
        <v>1681</v>
      </c>
    </row>
    <row r="455" spans="1:4" x14ac:dyDescent="0.2">
      <c r="A455" t="str">
        <f t="shared" ca="1" si="6"/>
        <v xml:space="preserve"> = Итого лизинговые платежи, начисленные, без НДС</v>
      </c>
      <c r="B455" t="s">
        <v>333</v>
      </c>
      <c r="C455" t="s">
        <v>1406</v>
      </c>
      <c r="D455" t="s">
        <v>1682</v>
      </c>
    </row>
    <row r="456" spans="1:4" x14ac:dyDescent="0.2">
      <c r="A456" t="str">
        <f t="shared" ref="A456:A504" ca="1" si="7">OFFSET(A456,0,LanguageID)</f>
        <v xml:space="preserve"> = Итого лизинговые платежи, начисленные, с НДС</v>
      </c>
      <c r="B456" t="s">
        <v>339</v>
      </c>
      <c r="C456" t="s">
        <v>1407</v>
      </c>
      <c r="D456" t="s">
        <v>1683</v>
      </c>
    </row>
    <row r="457" spans="1:4" x14ac:dyDescent="0.2">
      <c r="A457" t="str">
        <f t="shared" ca="1" si="7"/>
        <v xml:space="preserve"> = Итого лизинговые платежи, уплаченные, с НДС</v>
      </c>
      <c r="B457" t="s">
        <v>334</v>
      </c>
      <c r="C457" t="s">
        <v>1408</v>
      </c>
      <c r="D457" t="s">
        <v>1684</v>
      </c>
    </row>
    <row r="458" spans="1:4" x14ac:dyDescent="0.2">
      <c r="A458" t="str">
        <f t="shared" ca="1" si="7"/>
        <v xml:space="preserve"> = Итого выкуп основных средств, с НДС</v>
      </c>
      <c r="B458" t="s">
        <v>335</v>
      </c>
      <c r="C458" t="s">
        <v>1689</v>
      </c>
      <c r="D458" t="s">
        <v>1685</v>
      </c>
    </row>
    <row r="459" spans="1:4" x14ac:dyDescent="0.2">
      <c r="A459" t="str">
        <f t="shared" ca="1" si="7"/>
        <v xml:space="preserve">    НДС к лизинговым платежам</v>
      </c>
      <c r="B459" t="s">
        <v>661</v>
      </c>
      <c r="C459" t="s">
        <v>1690</v>
      </c>
      <c r="D459" t="s">
        <v>1686</v>
      </c>
    </row>
    <row r="460" spans="1:4" x14ac:dyDescent="0.2">
      <c r="A460" t="str">
        <f t="shared" ca="1" si="7"/>
        <v xml:space="preserve">    НДС к выкупу</v>
      </c>
      <c r="B460" t="s">
        <v>662</v>
      </c>
      <c r="C460" t="s">
        <v>1691</v>
      </c>
      <c r="D460" t="s">
        <v>1681</v>
      </c>
    </row>
    <row r="461" spans="1:4" x14ac:dyDescent="0.2">
      <c r="A461" t="str">
        <f t="shared" ca="1" si="7"/>
        <v xml:space="preserve">    авансы, уплаченные лизингодателю</v>
      </c>
      <c r="B461" t="s">
        <v>325</v>
      </c>
      <c r="C461" t="s">
        <v>1398</v>
      </c>
      <c r="D461" t="s">
        <v>1674</v>
      </c>
    </row>
    <row r="462" spans="1:4" x14ac:dyDescent="0.2">
      <c r="A462" t="str">
        <f t="shared" ca="1" si="7"/>
        <v xml:space="preserve">    арендованные основные средства </v>
      </c>
      <c r="B462" t="s">
        <v>336</v>
      </c>
      <c r="C462" t="s">
        <v>1399</v>
      </c>
      <c r="D462" t="s">
        <v>1675</v>
      </c>
    </row>
    <row r="463" spans="1:4" x14ac:dyDescent="0.2">
      <c r="A463" t="str">
        <f t="shared" ca="1" si="7"/>
        <v xml:space="preserve">    налогооблагаемое имущество</v>
      </c>
      <c r="B463" t="s">
        <v>327</v>
      </c>
      <c r="C463" t="s">
        <v>1400</v>
      </c>
      <c r="D463" t="s">
        <v>1676</v>
      </c>
    </row>
    <row r="464" spans="1:4" x14ac:dyDescent="0.2">
      <c r="A464" t="str">
        <f t="shared" ca="1" si="7"/>
        <v xml:space="preserve">    балансовая стоимость после выкупа</v>
      </c>
      <c r="B464" t="s">
        <v>329</v>
      </c>
      <c r="C464" t="s">
        <v>1402</v>
      </c>
      <c r="D464" t="s">
        <v>1678</v>
      </c>
    </row>
    <row r="465" spans="1:4" x14ac:dyDescent="0.2">
      <c r="A465" t="str">
        <f t="shared" ca="1" si="7"/>
        <v xml:space="preserve">    остаточная стоимость после выкупа</v>
      </c>
      <c r="B465" t="s">
        <v>330</v>
      </c>
      <c r="C465" t="s">
        <v>1403</v>
      </c>
      <c r="D465" t="s">
        <v>1679</v>
      </c>
    </row>
    <row r="466" spans="1:4" x14ac:dyDescent="0.2">
      <c r="A466" t="str">
        <f t="shared" ca="1" si="7"/>
        <v xml:space="preserve">    амортизация средств у лизингополучателя после выкупа</v>
      </c>
      <c r="B466" t="s">
        <v>331</v>
      </c>
      <c r="C466" t="s">
        <v>1404</v>
      </c>
      <c r="D466" t="s">
        <v>1680</v>
      </c>
    </row>
    <row r="467" spans="1:4" x14ac:dyDescent="0.2">
      <c r="A467" t="str">
        <f t="shared" ca="1" si="7"/>
        <v>с выкупом (учет на балансе лизингодателя)</v>
      </c>
      <c r="B467" t="s">
        <v>337</v>
      </c>
      <c r="C467" t="s">
        <v>1692</v>
      </c>
      <c r="D467" t="s">
        <v>1687</v>
      </c>
    </row>
    <row r="468" spans="1:4" x14ac:dyDescent="0.2">
      <c r="A468" t="str">
        <f t="shared" ca="1" si="7"/>
        <v>с выкупом (учет на балансе лизингополучателя)</v>
      </c>
      <c r="B468" t="s">
        <v>338</v>
      </c>
      <c r="C468" t="s">
        <v>1693</v>
      </c>
      <c r="D468" t="s">
        <v>1688</v>
      </c>
    </row>
    <row r="469" spans="1:4" x14ac:dyDescent="0.2">
      <c r="A469" t="str">
        <f t="shared" ca="1" si="7"/>
        <v>без выкупа (учет на балансе лизингодателя)</v>
      </c>
      <c r="B469" t="s">
        <v>2195</v>
      </c>
      <c r="C469" t="s">
        <v>1694</v>
      </c>
      <c r="D469" t="s">
        <v>1556</v>
      </c>
    </row>
    <row r="470" spans="1:4" x14ac:dyDescent="0.2">
      <c r="A470" t="str">
        <f t="shared" ca="1" si="7"/>
        <v>без выкупа (учет на балансе лизингополучателя)</v>
      </c>
      <c r="B470" t="s">
        <v>2196</v>
      </c>
      <c r="C470" t="s">
        <v>1695</v>
      </c>
      <c r="D470" t="s">
        <v>1557</v>
      </c>
    </row>
    <row r="471" spans="1:4" x14ac:dyDescent="0.2">
      <c r="A471" t="str">
        <f t="shared" ca="1" si="7"/>
        <v xml:space="preserve">         ОБОРОТНЫЙ КАПИТАЛ</v>
      </c>
      <c r="B471" t="s">
        <v>2576</v>
      </c>
      <c r="C471" t="s">
        <v>1696</v>
      </c>
      <c r="D471" t="s">
        <v>844</v>
      </c>
    </row>
    <row r="472" spans="1:4" x14ac:dyDescent="0.2">
      <c r="A472" t="str">
        <f t="shared" ca="1" si="7"/>
        <v>ЗАПАСЫ</v>
      </c>
      <c r="B472" t="s">
        <v>340</v>
      </c>
      <c r="C472" t="s">
        <v>1697</v>
      </c>
      <c r="D472" t="s">
        <v>1558</v>
      </c>
    </row>
    <row r="473" spans="1:4" x14ac:dyDescent="0.2">
      <c r="A473" t="str">
        <f t="shared" ca="1" si="7"/>
        <v>Запасы сырья и материалов</v>
      </c>
      <c r="B473" t="s">
        <v>2156</v>
      </c>
      <c r="C473" t="s">
        <v>591</v>
      </c>
      <c r="D473" t="s">
        <v>992</v>
      </c>
    </row>
    <row r="474" spans="1:4" x14ac:dyDescent="0.2">
      <c r="A474" t="str">
        <f t="shared" ca="1" si="7"/>
        <v xml:space="preserve">    среднее время хранения</v>
      </c>
      <c r="B474" t="s">
        <v>342</v>
      </c>
      <c r="C474" t="s">
        <v>1698</v>
      </c>
      <c r="D474" t="s">
        <v>1559</v>
      </c>
    </row>
    <row r="475" spans="1:4" x14ac:dyDescent="0.2">
      <c r="A475" t="str">
        <f t="shared" ca="1" si="7"/>
        <v>Незавершенное производство</v>
      </c>
      <c r="B475" t="s">
        <v>343</v>
      </c>
      <c r="C475" t="s">
        <v>592</v>
      </c>
      <c r="D475" t="s">
        <v>993</v>
      </c>
    </row>
    <row r="476" spans="1:4" x14ac:dyDescent="0.2">
      <c r="A476" t="str">
        <f t="shared" ca="1" si="7"/>
        <v xml:space="preserve">    длительность производственного цикла</v>
      </c>
      <c r="B476" t="s">
        <v>344</v>
      </c>
      <c r="C476" t="s">
        <v>1699</v>
      </c>
      <c r="D476" t="s">
        <v>1560</v>
      </c>
    </row>
    <row r="477" spans="1:4" x14ac:dyDescent="0.2">
      <c r="A477" t="str">
        <f t="shared" ca="1" si="7"/>
        <v>Запасы готовой продукции</v>
      </c>
      <c r="B477" t="s">
        <v>2157</v>
      </c>
      <c r="C477" t="s">
        <v>593</v>
      </c>
      <c r="D477" t="s">
        <v>994</v>
      </c>
    </row>
    <row r="478" spans="1:4" x14ac:dyDescent="0.2">
      <c r="A478" t="str">
        <f t="shared" ca="1" si="7"/>
        <v xml:space="preserve">    периодичность отгрузки</v>
      </c>
      <c r="B478" t="s">
        <v>345</v>
      </c>
      <c r="C478" t="s">
        <v>1700</v>
      </c>
      <c r="D478" t="s">
        <v>1561</v>
      </c>
    </row>
    <row r="479" spans="1:4" x14ac:dyDescent="0.2">
      <c r="A479" t="str">
        <f t="shared" ca="1" si="7"/>
        <v xml:space="preserve">    минимальные остатки на складе, на</v>
      </c>
      <c r="B479" t="s">
        <v>341</v>
      </c>
      <c r="C479" t="s">
        <v>1701</v>
      </c>
      <c r="D479" t="s">
        <v>1562</v>
      </c>
    </row>
    <row r="480" spans="1:4" x14ac:dyDescent="0.2">
      <c r="A480" t="str">
        <f t="shared" ca="1" si="7"/>
        <v xml:space="preserve">    среднее время хранения</v>
      </c>
      <c r="B480" t="s">
        <v>342</v>
      </c>
      <c r="C480" t="s">
        <v>1698</v>
      </c>
      <c r="D480" t="s">
        <v>1563</v>
      </c>
    </row>
    <row r="481" spans="1:4" x14ac:dyDescent="0.2">
      <c r="A481" t="str">
        <f t="shared" ca="1" si="7"/>
        <v>РАСЧЕТЫ С ПОКУПАТЕЛЯМИ</v>
      </c>
      <c r="B481" t="s">
        <v>346</v>
      </c>
      <c r="C481" t="s">
        <v>1702</v>
      </c>
      <c r="D481" t="s">
        <v>1564</v>
      </c>
    </row>
    <row r="482" spans="1:4" x14ac:dyDescent="0.2">
      <c r="A482" t="str">
        <f t="shared" ca="1" si="7"/>
        <v>Поступления денег от продаж:</v>
      </c>
      <c r="B482" t="s">
        <v>347</v>
      </c>
      <c r="C482" t="s">
        <v>1703</v>
      </c>
      <c r="D482" t="s">
        <v>1565</v>
      </c>
    </row>
    <row r="483" spans="1:4" x14ac:dyDescent="0.2">
      <c r="A483" t="str">
        <f t="shared" ca="1" si="7"/>
        <v xml:space="preserve">    немедленная оплата</v>
      </c>
      <c r="B483" t="s">
        <v>348</v>
      </c>
      <c r="C483" t="s">
        <v>1704</v>
      </c>
      <c r="D483" t="s">
        <v>1566</v>
      </c>
    </row>
    <row r="484" spans="1:4" x14ac:dyDescent="0.2">
      <c r="A484" t="str">
        <f t="shared" ca="1" si="7"/>
        <v xml:space="preserve">    продажи с предоплатой</v>
      </c>
      <c r="B484" t="s">
        <v>349</v>
      </c>
      <c r="C484" t="s">
        <v>1705</v>
      </c>
      <c r="D484" t="s">
        <v>1439</v>
      </c>
    </row>
    <row r="485" spans="1:4" x14ac:dyDescent="0.2">
      <c r="A485" t="str">
        <f t="shared" ca="1" si="7"/>
        <v xml:space="preserve">    продажи в кредит</v>
      </c>
      <c r="B485" t="s">
        <v>350</v>
      </c>
      <c r="C485" t="s">
        <v>1706</v>
      </c>
      <c r="D485" t="s">
        <v>1440</v>
      </c>
    </row>
    <row r="486" spans="1:4" x14ac:dyDescent="0.2">
      <c r="A486" t="str">
        <f t="shared" ca="1" si="7"/>
        <v>Сумма счетов к получению</v>
      </c>
      <c r="B486" t="s">
        <v>351</v>
      </c>
      <c r="C486" t="s">
        <v>1339</v>
      </c>
      <c r="D486" t="s">
        <v>995</v>
      </c>
    </row>
    <row r="487" spans="1:4" x14ac:dyDescent="0.2">
      <c r="A487" t="str">
        <f t="shared" ca="1" si="7"/>
        <v xml:space="preserve">    на основе циклов оборачиваемости</v>
      </c>
      <c r="B487" t="s">
        <v>352</v>
      </c>
      <c r="C487" t="s">
        <v>1707</v>
      </c>
      <c r="D487" t="s">
        <v>1441</v>
      </c>
    </row>
    <row r="488" spans="1:4" x14ac:dyDescent="0.2">
      <c r="A488" t="str">
        <f t="shared" ca="1" si="7"/>
        <v xml:space="preserve">    в соответствии с графиком оплаты продукции</v>
      </c>
      <c r="B488" t="s">
        <v>353</v>
      </c>
      <c r="C488" t="s">
        <v>1708</v>
      </c>
      <c r="D488" t="s">
        <v>1442</v>
      </c>
    </row>
    <row r="489" spans="1:4" x14ac:dyDescent="0.2">
      <c r="A489" t="str">
        <f t="shared" ca="1" si="7"/>
        <v>Сумма полученных авансов</v>
      </c>
      <c r="B489" t="s">
        <v>354</v>
      </c>
      <c r="C489" t="s">
        <v>608</v>
      </c>
      <c r="D489" t="s">
        <v>1443</v>
      </c>
    </row>
    <row r="490" spans="1:4" x14ac:dyDescent="0.2">
      <c r="A490" t="str">
        <f t="shared" ca="1" si="7"/>
        <v xml:space="preserve">    на основе циклов оборачиваемости (c НДС на аванс)</v>
      </c>
      <c r="B490" t="s">
        <v>22</v>
      </c>
      <c r="C490" t="s">
        <v>1707</v>
      </c>
      <c r="D490" t="s">
        <v>1441</v>
      </c>
    </row>
    <row r="491" spans="1:4" x14ac:dyDescent="0.2">
      <c r="A491" t="str">
        <f t="shared" ca="1" si="7"/>
        <v xml:space="preserve">    в соответствии с графиком оплаты продукции</v>
      </c>
      <c r="B491" t="s">
        <v>353</v>
      </c>
      <c r="C491" t="s">
        <v>1708</v>
      </c>
      <c r="D491" t="s">
        <v>1442</v>
      </c>
    </row>
    <row r="492" spans="1:4" x14ac:dyDescent="0.2">
      <c r="A492" t="str">
        <f t="shared" ca="1" si="7"/>
        <v>РАСЧЕТЫ С ПОСТАВЩИКАМИ</v>
      </c>
      <c r="B492" t="s">
        <v>355</v>
      </c>
      <c r="C492" t="s">
        <v>1709</v>
      </c>
      <c r="D492" t="s">
        <v>1444</v>
      </c>
    </row>
    <row r="493" spans="1:4" x14ac:dyDescent="0.2">
      <c r="A493" t="str">
        <f t="shared" ca="1" si="7"/>
        <v>Оплата материалов и комплектующих:</v>
      </c>
      <c r="B493" t="s">
        <v>356</v>
      </c>
      <c r="C493" t="s">
        <v>1710</v>
      </c>
      <c r="D493" t="s">
        <v>1445</v>
      </c>
    </row>
    <row r="494" spans="1:4" x14ac:dyDescent="0.2">
      <c r="A494" t="str">
        <f t="shared" ca="1" si="7"/>
        <v xml:space="preserve">    немедленная оплата</v>
      </c>
      <c r="B494" t="s">
        <v>348</v>
      </c>
      <c r="C494" t="s">
        <v>1711</v>
      </c>
      <c r="D494" t="s">
        <v>1446</v>
      </c>
    </row>
    <row r="495" spans="1:4" x14ac:dyDescent="0.2">
      <c r="A495" t="str">
        <f t="shared" ca="1" si="7"/>
        <v xml:space="preserve">    авансовая оплата</v>
      </c>
      <c r="B495" t="s">
        <v>357</v>
      </c>
      <c r="C495" t="s">
        <v>1369</v>
      </c>
      <c r="D495" t="s">
        <v>1447</v>
      </c>
    </row>
    <row r="496" spans="1:4" x14ac:dyDescent="0.2">
      <c r="A496" t="str">
        <f t="shared" ca="1" si="7"/>
        <v xml:space="preserve">    оплата в кредит</v>
      </c>
      <c r="B496" t="s">
        <v>358</v>
      </c>
      <c r="C496" t="s">
        <v>1712</v>
      </c>
      <c r="D496" t="s">
        <v>1448</v>
      </c>
    </row>
    <row r="497" spans="1:4" x14ac:dyDescent="0.2">
      <c r="A497" t="str">
        <f t="shared" ca="1" si="7"/>
        <v>Сумма счетов к оплате</v>
      </c>
      <c r="B497" t="s">
        <v>359</v>
      </c>
      <c r="C497" t="s">
        <v>1713</v>
      </c>
      <c r="D497" t="s">
        <v>1449</v>
      </c>
    </row>
    <row r="498" spans="1:4" x14ac:dyDescent="0.2">
      <c r="A498" t="str">
        <f t="shared" ca="1" si="7"/>
        <v xml:space="preserve">    на основе циклов оборачиваемости</v>
      </c>
      <c r="B498" t="s">
        <v>352</v>
      </c>
      <c r="C498" t="s">
        <v>1707</v>
      </c>
      <c r="D498" t="s">
        <v>1441</v>
      </c>
    </row>
    <row r="499" spans="1:4" x14ac:dyDescent="0.2">
      <c r="A499" t="str">
        <f t="shared" ca="1" si="7"/>
        <v xml:space="preserve">    в соответствии с графиком оплаты затрат</v>
      </c>
      <c r="B499" t="s">
        <v>2652</v>
      </c>
      <c r="C499" t="s">
        <v>1708</v>
      </c>
      <c r="D499" t="s">
        <v>1450</v>
      </c>
    </row>
    <row r="500" spans="1:4" x14ac:dyDescent="0.2">
      <c r="A500" t="str">
        <f t="shared" ca="1" si="7"/>
        <v>Сумма уплаченных авансов</v>
      </c>
      <c r="B500" t="s">
        <v>361</v>
      </c>
      <c r="C500" t="s">
        <v>1714</v>
      </c>
      <c r="D500" t="s">
        <v>1451</v>
      </c>
    </row>
    <row r="501" spans="1:4" x14ac:dyDescent="0.2">
      <c r="A501" t="str">
        <f t="shared" ca="1" si="7"/>
        <v xml:space="preserve">    на основе циклов оборачиваемости</v>
      </c>
      <c r="B501" t="s">
        <v>352</v>
      </c>
      <c r="C501" t="s">
        <v>1707</v>
      </c>
      <c r="D501" t="s">
        <v>1441</v>
      </c>
    </row>
    <row r="502" spans="1:4" x14ac:dyDescent="0.2">
      <c r="A502" t="str">
        <f t="shared" ca="1" si="7"/>
        <v xml:space="preserve">    в соответствии с графиком оплаты материалов</v>
      </c>
      <c r="B502" t="s">
        <v>360</v>
      </c>
      <c r="C502" t="s">
        <v>1708</v>
      </c>
      <c r="D502" t="s">
        <v>1450</v>
      </c>
    </row>
    <row r="503" spans="1:4" x14ac:dyDescent="0.2">
      <c r="A503" t="str">
        <f t="shared" ca="1" si="7"/>
        <v>РАСЧЕТЫ С БЮДЖЕТОМ</v>
      </c>
      <c r="B503" t="s">
        <v>362</v>
      </c>
      <c r="C503" t="s">
        <v>1715</v>
      </c>
      <c r="D503" t="s">
        <v>1452</v>
      </c>
    </row>
    <row r="504" spans="1:4" x14ac:dyDescent="0.2">
      <c r="A504" t="str">
        <f t="shared" ca="1" si="7"/>
        <v>По НДС</v>
      </c>
      <c r="B504" t="s">
        <v>363</v>
      </c>
      <c r="C504" t="s">
        <v>1436</v>
      </c>
      <c r="D504" t="s">
        <v>1453</v>
      </c>
    </row>
    <row r="505" spans="1:4" x14ac:dyDescent="0.2">
      <c r="A505" t="str">
        <f t="shared" ref="A505:A534" ca="1" si="8">OFFSET(A505,0,LanguageID)</f>
        <v>По акцизам и экспортным пошлинам</v>
      </c>
      <c r="B505" t="s">
        <v>364</v>
      </c>
      <c r="C505" t="s">
        <v>906</v>
      </c>
      <c r="D505" t="s">
        <v>1454</v>
      </c>
    </row>
    <row r="506" spans="1:4" x14ac:dyDescent="0.2">
      <c r="A506" t="str">
        <f t="shared" ca="1" si="8"/>
        <v>По импортным пошлинам</v>
      </c>
      <c r="B506" t="s">
        <v>365</v>
      </c>
      <c r="C506" t="s">
        <v>907</v>
      </c>
      <c r="D506" t="s">
        <v>1455</v>
      </c>
    </row>
    <row r="507" spans="1:4" x14ac:dyDescent="0.2">
      <c r="A507" t="str">
        <f t="shared" ca="1" si="8"/>
        <v>По налогу на прибыль</v>
      </c>
      <c r="B507" t="s">
        <v>366</v>
      </c>
      <c r="C507" t="s">
        <v>1437</v>
      </c>
      <c r="D507" t="s">
        <v>920</v>
      </c>
    </row>
    <row r="508" spans="1:4" x14ac:dyDescent="0.2">
      <c r="A508" t="str">
        <f t="shared" ca="1" si="8"/>
        <v>По прочим налогам и платежам</v>
      </c>
      <c r="B508" t="s">
        <v>367</v>
      </c>
      <c r="C508" t="s">
        <v>1438</v>
      </c>
      <c r="D508" t="s">
        <v>1456</v>
      </c>
    </row>
    <row r="509" spans="1:4" x14ac:dyDescent="0.2">
      <c r="A509" t="str">
        <f t="shared" ca="1" si="8"/>
        <v>РАСЧЕТЫ С ПЕРСОНАЛОМ</v>
      </c>
      <c r="B509" t="s">
        <v>368</v>
      </c>
      <c r="C509" t="s">
        <v>1139</v>
      </c>
      <c r="D509" t="s">
        <v>1457</v>
      </c>
    </row>
    <row r="510" spans="1:4" x14ac:dyDescent="0.2">
      <c r="A510" t="str">
        <f t="shared" ca="1" si="8"/>
        <v>Текущая задолженность по заработной плате</v>
      </c>
      <c r="B510" t="s">
        <v>369</v>
      </c>
      <c r="C510" t="s">
        <v>1140</v>
      </c>
      <c r="D510" t="s">
        <v>1458</v>
      </c>
    </row>
    <row r="511" spans="1:4" x14ac:dyDescent="0.2">
      <c r="A511" t="str">
        <f t="shared" ca="1" si="8"/>
        <v xml:space="preserve">    частота выплаты заработной платы</v>
      </c>
      <c r="B511" t="s">
        <v>370</v>
      </c>
      <c r="C511" t="s">
        <v>1141</v>
      </c>
      <c r="D511" t="s">
        <v>1459</v>
      </c>
    </row>
    <row r="512" spans="1:4" x14ac:dyDescent="0.2">
      <c r="A512" t="str">
        <f t="shared" ca="1" si="8"/>
        <v>РЕЗЕРВ ДЕНЕЖНЫХ СРЕДСТВ</v>
      </c>
      <c r="B512" t="s">
        <v>371</v>
      </c>
      <c r="C512" t="s">
        <v>1142</v>
      </c>
      <c r="D512" t="s">
        <v>1460</v>
      </c>
    </row>
    <row r="513" spans="1:4" x14ac:dyDescent="0.2">
      <c r="A513" t="str">
        <f t="shared" ca="1" si="8"/>
        <v>Резерв средств на обеспечение текущих расчетов</v>
      </c>
      <c r="B513" t="s">
        <v>372</v>
      </c>
      <c r="C513" t="s">
        <v>1143</v>
      </c>
      <c r="D513" t="s">
        <v>1211</v>
      </c>
    </row>
    <row r="514" spans="1:4" x14ac:dyDescent="0.2">
      <c r="A514" t="str">
        <f t="shared" ca="1" si="8"/>
        <v xml:space="preserve">    создавать?</v>
      </c>
      <c r="B514" t="s">
        <v>373</v>
      </c>
      <c r="C514" t="s">
        <v>1144</v>
      </c>
      <c r="D514" t="s">
        <v>1212</v>
      </c>
    </row>
    <row r="515" spans="1:4" x14ac:dyDescent="0.2">
      <c r="A515" t="str">
        <f t="shared" ca="1" si="8"/>
        <v xml:space="preserve">    покрытие потребности</v>
      </c>
      <c r="B515" t="s">
        <v>374</v>
      </c>
      <c r="C515" t="s">
        <v>1145</v>
      </c>
      <c r="D515" t="s">
        <v>1213</v>
      </c>
    </row>
    <row r="516" spans="1:4" x14ac:dyDescent="0.2">
      <c r="A516" t="str">
        <f t="shared" ca="1" si="8"/>
        <v>Итого текущих активов</v>
      </c>
      <c r="B516" t="s">
        <v>375</v>
      </c>
      <c r="C516" t="s">
        <v>1146</v>
      </c>
      <c r="D516" t="s">
        <v>1214</v>
      </c>
    </row>
    <row r="517" spans="1:4" x14ac:dyDescent="0.2">
      <c r="A517" t="str">
        <f t="shared" ca="1" si="8"/>
        <v>Итого текущих обязательств</v>
      </c>
      <c r="B517" t="s">
        <v>376</v>
      </c>
      <c r="C517" t="s">
        <v>1147</v>
      </c>
      <c r="D517" t="s">
        <v>1215</v>
      </c>
    </row>
    <row r="518" spans="1:4" x14ac:dyDescent="0.2">
      <c r="A518" t="str">
        <f t="shared" ca="1" si="8"/>
        <v>Оборотный капитал компании</v>
      </c>
      <c r="B518" t="s">
        <v>377</v>
      </c>
      <c r="C518" t="s">
        <v>1148</v>
      </c>
      <c r="D518" t="s">
        <v>1216</v>
      </c>
    </row>
    <row r="519" spans="1:4" x14ac:dyDescent="0.2">
      <c r="A519" t="str">
        <f t="shared" ca="1" si="8"/>
        <v>Изменение чистого оборотного капитала</v>
      </c>
      <c r="B519" t="s">
        <v>568</v>
      </c>
      <c r="C519" t="s">
        <v>1149</v>
      </c>
      <c r="D519" t="s">
        <v>1217</v>
      </c>
    </row>
    <row r="520" spans="1:4" x14ac:dyDescent="0.2">
      <c r="A520" t="str">
        <f t="shared" ca="1" si="8"/>
        <v>Прирост, учтенный в операционных денежных потоках</v>
      </c>
      <c r="B520" t="s">
        <v>378</v>
      </c>
      <c r="C520" t="s">
        <v>1409</v>
      </c>
      <c r="D520" t="s">
        <v>1616</v>
      </c>
    </row>
    <row r="521" spans="1:4" x14ac:dyDescent="0.2">
      <c r="A521" t="str">
        <f t="shared" ca="1" si="8"/>
        <v>Инвестиции в чистый оборотный капитал</v>
      </c>
      <c r="B521" t="s">
        <v>379</v>
      </c>
      <c r="C521" t="s">
        <v>1410</v>
      </c>
      <c r="D521" t="s">
        <v>1467</v>
      </c>
    </row>
    <row r="522" spans="1:4" x14ac:dyDescent="0.2">
      <c r="A522" t="str">
        <f t="shared" ca="1" si="8"/>
        <v>доля</v>
      </c>
      <c r="B522" t="s">
        <v>380</v>
      </c>
      <c r="C522" t="s">
        <v>1411</v>
      </c>
      <c r="D522" t="s">
        <v>1468</v>
      </c>
    </row>
    <row r="523" spans="1:4" x14ac:dyDescent="0.2">
      <c r="A523" t="str">
        <f t="shared" ca="1" si="8"/>
        <v>срок, дн.</v>
      </c>
      <c r="B523" t="s">
        <v>381</v>
      </c>
      <c r="C523" t="s">
        <v>1412</v>
      </c>
      <c r="D523" t="s">
        <v>1469</v>
      </c>
    </row>
    <row r="524" spans="1:4" x14ac:dyDescent="0.2">
      <c r="A524" t="str">
        <f t="shared" ca="1" si="8"/>
        <v>Создавать резерв</v>
      </c>
      <c r="B524" t="s">
        <v>383</v>
      </c>
      <c r="C524" t="s">
        <v>1413</v>
      </c>
      <c r="D524" t="s">
        <v>1470</v>
      </c>
    </row>
    <row r="525" spans="1:4" x14ac:dyDescent="0.2">
      <c r="A525" t="str">
        <f t="shared" ca="1" si="8"/>
        <v>Не создавать резерв</v>
      </c>
      <c r="B525" t="s">
        <v>444</v>
      </c>
      <c r="C525" t="s">
        <v>1414</v>
      </c>
      <c r="D525" t="s">
        <v>1471</v>
      </c>
    </row>
    <row r="526" spans="1:4" x14ac:dyDescent="0.2">
      <c r="A526" t="str">
        <f t="shared" ca="1" si="8"/>
        <v xml:space="preserve">         ПЛАН РЕАЛИЗАЦИИ</v>
      </c>
      <c r="B526" t="s">
        <v>2404</v>
      </c>
      <c r="C526" t="s">
        <v>1415</v>
      </c>
      <c r="D526" t="s">
        <v>845</v>
      </c>
    </row>
    <row r="527" spans="1:4" x14ac:dyDescent="0.2">
      <c r="A527" t="str">
        <f t="shared" ca="1" si="8"/>
        <v>Наименование продукта</v>
      </c>
      <c r="B527" t="s">
        <v>385</v>
      </c>
      <c r="C527" t="s">
        <v>1416</v>
      </c>
      <c r="D527" t="s">
        <v>1472</v>
      </c>
    </row>
    <row r="528" spans="1:4" x14ac:dyDescent="0.2">
      <c r="A528" t="str">
        <f t="shared" ca="1" si="8"/>
        <v>Номинальный объем</v>
      </c>
      <c r="B528" t="s">
        <v>386</v>
      </c>
      <c r="C528" t="s">
        <v>1417</v>
      </c>
      <c r="D528" t="s">
        <v>1473</v>
      </c>
    </row>
    <row r="529" spans="1:4" x14ac:dyDescent="0.2">
      <c r="A529" t="str">
        <f t="shared" ca="1" si="8"/>
        <v>ед.</v>
      </c>
      <c r="B529" t="s">
        <v>387</v>
      </c>
      <c r="C529" t="s">
        <v>1418</v>
      </c>
      <c r="D529" t="s">
        <v>1474</v>
      </c>
    </row>
    <row r="530" spans="1:4" x14ac:dyDescent="0.2">
      <c r="A530" t="str">
        <f t="shared" ca="1" si="8"/>
        <v>Средний коэффициент загрузки производства</v>
      </c>
      <c r="B530" t="s">
        <v>388</v>
      </c>
      <c r="C530" t="s">
        <v>1419</v>
      </c>
      <c r="D530" t="s">
        <v>1475</v>
      </c>
    </row>
    <row r="531" spans="1:4" x14ac:dyDescent="0.2">
      <c r="A531" t="str">
        <f t="shared" ca="1" si="8"/>
        <v xml:space="preserve">         ОБЪЕМЫ РЕАЛИЗАЦИИ (в единицах)</v>
      </c>
      <c r="B531" t="s">
        <v>2566</v>
      </c>
      <c r="C531" t="s">
        <v>1420</v>
      </c>
      <c r="D531" t="s">
        <v>847</v>
      </c>
    </row>
    <row r="532" spans="1:4" x14ac:dyDescent="0.2">
      <c r="A532" t="str">
        <f t="shared" ca="1" si="8"/>
        <v xml:space="preserve">         ЦЕНА РЕАЛИЗАЦИИ (за единицу, с НДС)</v>
      </c>
      <c r="B532" t="s">
        <v>2567</v>
      </c>
      <c r="C532" t="s">
        <v>1421</v>
      </c>
      <c r="D532" t="s">
        <v>848</v>
      </c>
    </row>
    <row r="533" spans="1:4" x14ac:dyDescent="0.2">
      <c r="A533" t="str">
        <f t="shared" ca="1" si="8"/>
        <v xml:space="preserve">    цена без НДС и акцизов</v>
      </c>
      <c r="B533" t="s">
        <v>389</v>
      </c>
      <c r="C533" t="s">
        <v>1422</v>
      </c>
      <c r="D533" t="s">
        <v>1476</v>
      </c>
    </row>
    <row r="534" spans="1:4" x14ac:dyDescent="0.2">
      <c r="A534" t="str">
        <f t="shared" ca="1" si="8"/>
        <v xml:space="preserve">    акцизы</v>
      </c>
      <c r="B534" t="s">
        <v>390</v>
      </c>
      <c r="C534" t="s">
        <v>1423</v>
      </c>
      <c r="D534" t="s">
        <v>1477</v>
      </c>
    </row>
    <row r="535" spans="1:4" x14ac:dyDescent="0.2">
      <c r="A535" t="str">
        <f t="shared" ref="A535:A614" ca="1" si="9">OFFSET(A535,0,LanguageID)</f>
        <v xml:space="preserve">    налог с продаж</v>
      </c>
      <c r="B535" t="s">
        <v>391</v>
      </c>
      <c r="C535" t="s">
        <v>1424</v>
      </c>
      <c r="D535" t="s">
        <v>1478</v>
      </c>
    </row>
    <row r="536" spans="1:4" x14ac:dyDescent="0.2">
      <c r="A536" t="str">
        <f t="shared" ca="1" si="9"/>
        <v xml:space="preserve">    НДС</v>
      </c>
      <c r="B536" t="s">
        <v>392</v>
      </c>
      <c r="C536" t="s">
        <v>1168</v>
      </c>
      <c r="D536" t="s">
        <v>1125</v>
      </c>
    </row>
    <row r="537" spans="1:4" x14ac:dyDescent="0.2">
      <c r="A537" t="str">
        <f t="shared" ca="1" si="9"/>
        <v>Адвалорные</v>
      </c>
      <c r="B537" t="s">
        <v>393</v>
      </c>
      <c r="C537" t="s">
        <v>1425</v>
      </c>
      <c r="D537" t="s">
        <v>1479</v>
      </c>
    </row>
    <row r="538" spans="1:4" x14ac:dyDescent="0.2">
      <c r="A538" t="str">
        <f t="shared" ca="1" si="9"/>
        <v>Твердые</v>
      </c>
      <c r="B538" t="s">
        <v>394</v>
      </c>
      <c r="C538" t="s">
        <v>1426</v>
      </c>
      <c r="D538" t="s">
        <v>1480</v>
      </c>
    </row>
    <row r="539" spans="1:4" x14ac:dyDescent="0.2">
      <c r="A539" t="str">
        <f t="shared" ca="1" si="9"/>
        <v xml:space="preserve">         ДОХОДЫ ОТ ПРОДАЖ</v>
      </c>
      <c r="B539" t="s">
        <v>2568</v>
      </c>
      <c r="C539" t="s">
        <v>1427</v>
      </c>
      <c r="D539" t="s">
        <v>846</v>
      </c>
    </row>
    <row r="540" spans="1:4" x14ac:dyDescent="0.2">
      <c r="A540" t="str">
        <f t="shared" ca="1" si="9"/>
        <v xml:space="preserve">    к оплате от покупателей (без НДС)</v>
      </c>
      <c r="B540" t="s">
        <v>395</v>
      </c>
      <c r="C540" t="s">
        <v>1428</v>
      </c>
      <c r="D540" t="s">
        <v>1490</v>
      </c>
    </row>
    <row r="541" spans="1:4" x14ac:dyDescent="0.2">
      <c r="A541" t="str">
        <f t="shared" ca="1" si="9"/>
        <v xml:space="preserve">    в т.ч. акцизов, налогов и пошлин</v>
      </c>
      <c r="B541" t="s">
        <v>396</v>
      </c>
      <c r="C541" t="s">
        <v>1429</v>
      </c>
      <c r="D541" t="s">
        <v>1491</v>
      </c>
    </row>
    <row r="542" spans="1:4" x14ac:dyDescent="0.2">
      <c r="A542" t="str">
        <f t="shared" ca="1" si="9"/>
        <v xml:space="preserve">    НДС на поставленную продукцию</v>
      </c>
      <c r="B542" t="s">
        <v>397</v>
      </c>
      <c r="C542" t="s">
        <v>1430</v>
      </c>
      <c r="D542" t="s">
        <v>1492</v>
      </c>
    </row>
    <row r="543" spans="1:4" x14ac:dyDescent="0.2">
      <c r="A543" t="str">
        <f t="shared" ca="1" si="9"/>
        <v xml:space="preserve">    график оплаты (без НДС)</v>
      </c>
      <c r="B543" t="s">
        <v>398</v>
      </c>
      <c r="C543" t="s">
        <v>1431</v>
      </c>
      <c r="D543" t="s">
        <v>1493</v>
      </c>
    </row>
    <row r="544" spans="1:4" x14ac:dyDescent="0.2">
      <c r="A544" t="str">
        <f t="shared" ca="1" si="9"/>
        <v xml:space="preserve">    полученный НДС</v>
      </c>
      <c r="B544" t="s">
        <v>399</v>
      </c>
      <c r="C544" t="s">
        <v>1432</v>
      </c>
      <c r="D544" t="s">
        <v>1494</v>
      </c>
    </row>
    <row r="545" spans="1:4" x14ac:dyDescent="0.2">
      <c r="A545" t="str">
        <f t="shared" ca="1" si="9"/>
        <v xml:space="preserve">    дебиторская задолженность</v>
      </c>
      <c r="B545" t="s">
        <v>400</v>
      </c>
      <c r="C545" t="s">
        <v>1433</v>
      </c>
      <c r="D545" t="s">
        <v>1495</v>
      </c>
    </row>
    <row r="546" spans="1:4" x14ac:dyDescent="0.2">
      <c r="A546" t="str">
        <f t="shared" ca="1" si="9"/>
        <v xml:space="preserve">    полученные авансы</v>
      </c>
      <c r="B546" t="s">
        <v>401</v>
      </c>
      <c r="C546" t="s">
        <v>1434</v>
      </c>
      <c r="D546" t="s">
        <v>1496</v>
      </c>
    </row>
    <row r="547" spans="1:4" x14ac:dyDescent="0.2">
      <c r="A547" t="str">
        <f t="shared" ca="1" si="9"/>
        <v xml:space="preserve"> = Итого</v>
      </c>
      <c r="B547" t="s">
        <v>402</v>
      </c>
      <c r="C547" t="s">
        <v>1435</v>
      </c>
      <c r="D547" t="s">
        <v>1497</v>
      </c>
    </row>
    <row r="548" spans="1:4" x14ac:dyDescent="0.2">
      <c r="A548" t="str">
        <f t="shared" ca="1" si="9"/>
        <v xml:space="preserve">         ОБЪЕМЫ ПРОИЗВОДСТВА (в единицах)</v>
      </c>
      <c r="B548" t="s">
        <v>2569</v>
      </c>
      <c r="C548" t="s">
        <v>1177</v>
      </c>
      <c r="D548" t="s">
        <v>676</v>
      </c>
    </row>
    <row r="549" spans="1:4" x14ac:dyDescent="0.2">
      <c r="A549" t="str">
        <f t="shared" ca="1" si="9"/>
        <v xml:space="preserve">    план производства</v>
      </c>
      <c r="B549" t="s">
        <v>2426</v>
      </c>
      <c r="C549" t="s">
        <v>1178</v>
      </c>
      <c r="D549" t="s">
        <v>1498</v>
      </c>
    </row>
    <row r="550" spans="1:4" x14ac:dyDescent="0.2">
      <c r="A550" t="str">
        <f t="shared" ca="1" si="9"/>
        <v xml:space="preserve">    план реализации</v>
      </c>
      <c r="B550" s="52" t="s">
        <v>2291</v>
      </c>
      <c r="C550" t="s">
        <v>1179</v>
      </c>
      <c r="D550" t="s">
        <v>1499</v>
      </c>
    </row>
    <row r="551" spans="1:4" x14ac:dyDescent="0.2">
      <c r="A551" t="str">
        <f t="shared" ca="1" si="9"/>
        <v xml:space="preserve">    склад готовой продукции</v>
      </c>
      <c r="B551" s="52" t="s">
        <v>2292</v>
      </c>
      <c r="C551" t="s">
        <v>1180</v>
      </c>
      <c r="D551" t="s">
        <v>1500</v>
      </c>
    </row>
    <row r="552" spans="1:4" x14ac:dyDescent="0.2">
      <c r="A552" t="str">
        <f t="shared" ca="1" si="9"/>
        <v xml:space="preserve">    незавершенное производство</v>
      </c>
      <c r="B552" s="52" t="s">
        <v>629</v>
      </c>
      <c r="C552" t="s">
        <v>1181</v>
      </c>
      <c r="D552" t="s">
        <v>1501</v>
      </c>
    </row>
    <row r="553" spans="1:4" x14ac:dyDescent="0.2">
      <c r="A553" t="str">
        <f t="shared" ca="1" si="9"/>
        <v>Мало!</v>
      </c>
      <c r="B553" s="52" t="s">
        <v>23</v>
      </c>
      <c r="C553" t="s">
        <v>24</v>
      </c>
      <c r="D553" t="s">
        <v>1502</v>
      </c>
    </row>
    <row r="554" spans="1:4" x14ac:dyDescent="0.2">
      <c r="A554" t="str">
        <f t="shared" ca="1" si="9"/>
        <v xml:space="preserve">         РАСХОД СЫРЬЯ И МАТЕРИАЛОВ (в единицах)</v>
      </c>
      <c r="B554" t="s">
        <v>2570</v>
      </c>
      <c r="C554" t="s">
        <v>1182</v>
      </c>
      <c r="D554" t="s">
        <v>677</v>
      </c>
    </row>
    <row r="555" spans="1:4" x14ac:dyDescent="0.2">
      <c r="A555" t="str">
        <f t="shared" ca="1" si="9"/>
        <v>Наименование материала</v>
      </c>
      <c r="B555" t="s">
        <v>2296</v>
      </c>
      <c r="C555" t="s">
        <v>2297</v>
      </c>
      <c r="D555" t="s">
        <v>1503</v>
      </c>
    </row>
    <row r="556" spans="1:4" x14ac:dyDescent="0.2">
      <c r="A556" t="str">
        <f t="shared" ca="1" si="9"/>
        <v>Плановый расход на единицу продукции</v>
      </c>
      <c r="B556" t="s">
        <v>2293</v>
      </c>
      <c r="C556" t="s">
        <v>1183</v>
      </c>
      <c r="D556" t="s">
        <v>1504</v>
      </c>
    </row>
    <row r="557" spans="1:4" x14ac:dyDescent="0.2">
      <c r="A557" t="str">
        <f t="shared" ca="1" si="9"/>
        <v xml:space="preserve">         ЦЕНА СЫРЬЯ И МАТЕРИАЛОВ (за единицу, с НДС)</v>
      </c>
      <c r="B557" t="s">
        <v>2571</v>
      </c>
      <c r="C557" t="s">
        <v>20</v>
      </c>
      <c r="D557" t="s">
        <v>21</v>
      </c>
    </row>
    <row r="558" spans="1:4" x14ac:dyDescent="0.2">
      <c r="A558" t="str">
        <f t="shared" ca="1" si="9"/>
        <v xml:space="preserve">    цена без НДС</v>
      </c>
      <c r="B558" t="s">
        <v>403</v>
      </c>
      <c r="C558" t="s">
        <v>1507</v>
      </c>
      <c r="D558" t="s">
        <v>1505</v>
      </c>
    </row>
    <row r="559" spans="1:4" x14ac:dyDescent="0.2">
      <c r="A559" t="str">
        <f t="shared" ca="1" si="9"/>
        <v xml:space="preserve">    в том числе импортная пошлина</v>
      </c>
      <c r="B559" t="s">
        <v>404</v>
      </c>
      <c r="C559" t="s">
        <v>1508</v>
      </c>
      <c r="D559" t="s">
        <v>1506</v>
      </c>
    </row>
    <row r="560" spans="1:4" x14ac:dyDescent="0.2">
      <c r="A560" t="str">
        <f t="shared" ca="1" si="9"/>
        <v xml:space="preserve">    НДС</v>
      </c>
      <c r="B560" t="s">
        <v>392</v>
      </c>
      <c r="C560" t="s">
        <v>1168</v>
      </c>
      <c r="D560" t="s">
        <v>1125</v>
      </c>
    </row>
    <row r="561" spans="1:4" x14ac:dyDescent="0.2">
      <c r="A561" t="str">
        <f t="shared" ca="1" si="9"/>
        <v xml:space="preserve">         ЗАТРАТЫ НА СЫРЬЕ И МАТЕРИАЛЫ</v>
      </c>
      <c r="B561" t="s">
        <v>2572</v>
      </c>
      <c r="C561" t="s">
        <v>1509</v>
      </c>
      <c r="D561" t="s">
        <v>678</v>
      </c>
    </row>
    <row r="562" spans="1:4" x14ac:dyDescent="0.2">
      <c r="A562" t="str">
        <f t="shared" ca="1" si="9"/>
        <v xml:space="preserve">    среднее время хранения</v>
      </c>
      <c r="B562" t="s">
        <v>342</v>
      </c>
      <c r="C562" t="s">
        <v>1698</v>
      </c>
      <c r="D562" t="s">
        <v>1559</v>
      </c>
    </row>
    <row r="563" spans="1:4" x14ac:dyDescent="0.2">
      <c r="A563" t="str">
        <f t="shared" ca="1" si="9"/>
        <v xml:space="preserve">    затраты на сырье и материалы без НДС</v>
      </c>
      <c r="B563" t="s">
        <v>405</v>
      </c>
      <c r="C563" t="s">
        <v>1167</v>
      </c>
      <c r="D563" t="s">
        <v>1505</v>
      </c>
    </row>
    <row r="564" spans="1:4" x14ac:dyDescent="0.2">
      <c r="A564" t="str">
        <f t="shared" ca="1" si="9"/>
        <v xml:space="preserve">    в том числе импортная пошлина</v>
      </c>
      <c r="B564" t="s">
        <v>404</v>
      </c>
      <c r="C564" t="s">
        <v>1508</v>
      </c>
      <c r="D564" t="s">
        <v>1506</v>
      </c>
    </row>
    <row r="565" spans="1:4" x14ac:dyDescent="0.2">
      <c r="A565" t="str">
        <f t="shared" ca="1" si="9"/>
        <v xml:space="preserve">    закуплено сырья и материалов на сумму (без НДС)</v>
      </c>
      <c r="B565" t="s">
        <v>406</v>
      </c>
      <c r="C565" t="s">
        <v>1510</v>
      </c>
      <c r="D565" t="s">
        <v>1824</v>
      </c>
    </row>
    <row r="566" spans="1:4" x14ac:dyDescent="0.2">
      <c r="A566" t="str">
        <f t="shared" ca="1" si="9"/>
        <v xml:space="preserve">    зачет НДС</v>
      </c>
      <c r="B566" t="s">
        <v>202</v>
      </c>
      <c r="C566" t="s">
        <v>1171</v>
      </c>
      <c r="D566" t="s">
        <v>1129</v>
      </c>
    </row>
    <row r="567" spans="1:4" x14ac:dyDescent="0.2">
      <c r="A567" t="str">
        <f t="shared" ca="1" si="9"/>
        <v xml:space="preserve">    запасы на основе периодов оборота</v>
      </c>
      <c r="B567" t="s">
        <v>582</v>
      </c>
      <c r="C567" t="s">
        <v>1511</v>
      </c>
      <c r="D567" t="s">
        <v>1825</v>
      </c>
    </row>
    <row r="568" spans="1:4" x14ac:dyDescent="0.2">
      <c r="A568" t="str">
        <f t="shared" ca="1" si="9"/>
        <v xml:space="preserve">    запасы на основе графика оплаты</v>
      </c>
      <c r="B568" t="s">
        <v>583</v>
      </c>
      <c r="C568" t="s">
        <v>1512</v>
      </c>
      <c r="D568" t="s">
        <v>1826</v>
      </c>
    </row>
    <row r="569" spans="1:4" x14ac:dyDescent="0.2">
      <c r="A569" t="str">
        <f t="shared" ca="1" si="9"/>
        <v xml:space="preserve">    оплачено сырья и материалов (без НДС)</v>
      </c>
      <c r="B569" t="s">
        <v>2200</v>
      </c>
      <c r="C569" t="s">
        <v>1513</v>
      </c>
      <c r="D569" t="s">
        <v>1827</v>
      </c>
    </row>
    <row r="570" spans="1:4" x14ac:dyDescent="0.2">
      <c r="A570" t="str">
        <f t="shared" ca="1" si="9"/>
        <v xml:space="preserve">    выплаченный НДС</v>
      </c>
      <c r="B570" t="s">
        <v>200</v>
      </c>
      <c r="C570" t="s">
        <v>1338</v>
      </c>
      <c r="D570" t="s">
        <v>1201</v>
      </c>
    </row>
    <row r="571" spans="1:4" x14ac:dyDescent="0.2">
      <c r="A571" t="str">
        <f t="shared" ca="1" si="9"/>
        <v xml:space="preserve">    кредиторская задолженность</v>
      </c>
      <c r="B571" t="s">
        <v>196</v>
      </c>
      <c r="C571" t="s">
        <v>1088</v>
      </c>
      <c r="D571" t="s">
        <v>1642</v>
      </c>
    </row>
    <row r="572" spans="1:4" x14ac:dyDescent="0.2">
      <c r="A572" t="str">
        <f t="shared" ca="1" si="9"/>
        <v xml:space="preserve">    выплаченные авансы</v>
      </c>
      <c r="B572" t="s">
        <v>2201</v>
      </c>
      <c r="C572" t="s">
        <v>1369</v>
      </c>
      <c r="D572" t="s">
        <v>1496</v>
      </c>
    </row>
    <row r="573" spans="1:4" x14ac:dyDescent="0.2">
      <c r="A573" t="str">
        <f t="shared" ca="1" si="9"/>
        <v xml:space="preserve">    списано затрат на реализованную продукцию</v>
      </c>
      <c r="B573" t="s">
        <v>2294</v>
      </c>
      <c r="C573" t="s">
        <v>1514</v>
      </c>
      <c r="D573" t="s">
        <v>1828</v>
      </c>
    </row>
    <row r="574" spans="1:4" x14ac:dyDescent="0.2">
      <c r="A574" t="str">
        <f t="shared" ca="1" si="9"/>
        <v xml:space="preserve">    остаток затрат на складе готовой продукции</v>
      </c>
      <c r="B574" t="s">
        <v>2295</v>
      </c>
      <c r="C574" t="s">
        <v>1515</v>
      </c>
      <c r="D574" t="s">
        <v>1829</v>
      </c>
    </row>
    <row r="575" spans="1:4" x14ac:dyDescent="0.2">
      <c r="A575" t="str">
        <f t="shared" ca="1" si="9"/>
        <v xml:space="preserve">    остаток затрат в незавершенном производстве</v>
      </c>
      <c r="B575" t="s">
        <v>2299</v>
      </c>
      <c r="C575" t="s">
        <v>1516</v>
      </c>
      <c r="D575" t="s">
        <v>1830</v>
      </c>
    </row>
    <row r="576" spans="1:4" x14ac:dyDescent="0.2">
      <c r="A576" t="str">
        <f t="shared" ca="1" si="9"/>
        <v xml:space="preserve">         ПРОЧИЕ ПЕРЕМЕННЫЕ ЗАТРАТЫ</v>
      </c>
      <c r="B576" t="s">
        <v>2573</v>
      </c>
      <c r="C576" t="s">
        <v>1517</v>
      </c>
      <c r="D576" t="s">
        <v>679</v>
      </c>
    </row>
    <row r="577" spans="1:4" x14ac:dyDescent="0.2">
      <c r="A577" t="str">
        <f t="shared" ca="1" si="9"/>
        <v>Наименование</v>
      </c>
      <c r="B577" t="s">
        <v>185</v>
      </c>
      <c r="C577" t="s">
        <v>2298</v>
      </c>
      <c r="D577" t="s">
        <v>1831</v>
      </c>
    </row>
    <row r="578" spans="1:4" x14ac:dyDescent="0.2">
      <c r="A578" t="str">
        <f t="shared" ca="1" si="9"/>
        <v xml:space="preserve">    затраты без НДС</v>
      </c>
      <c r="B578" t="s">
        <v>2280</v>
      </c>
      <c r="C578" t="s">
        <v>1518</v>
      </c>
      <c r="D578" t="s">
        <v>1832</v>
      </c>
    </row>
    <row r="579" spans="1:4" x14ac:dyDescent="0.2">
      <c r="A579" t="str">
        <f t="shared" ca="1" si="9"/>
        <v>Плановый расход на единицу продукции</v>
      </c>
      <c r="B579" s="52" t="s">
        <v>2293</v>
      </c>
      <c r="C579" t="s">
        <v>1183</v>
      </c>
      <c r="D579" t="s">
        <v>1833</v>
      </c>
    </row>
    <row r="580" spans="1:4" x14ac:dyDescent="0.2">
      <c r="A580" t="str">
        <f t="shared" ca="1" si="9"/>
        <v>Расход за период</v>
      </c>
      <c r="B580" s="52" t="s">
        <v>2544</v>
      </c>
      <c r="C580" t="s">
        <v>1519</v>
      </c>
      <c r="D580" t="s">
        <v>1834</v>
      </c>
    </row>
    <row r="581" spans="1:4" x14ac:dyDescent="0.2">
      <c r="A581" t="str">
        <f t="shared" ca="1" si="9"/>
        <v xml:space="preserve">    оплачено расходов (без НДС)</v>
      </c>
      <c r="B581" t="s">
        <v>2545</v>
      </c>
      <c r="C581" t="s">
        <v>1520</v>
      </c>
      <c r="D581" t="s">
        <v>1835</v>
      </c>
    </row>
    <row r="582" spans="1:4" x14ac:dyDescent="0.2">
      <c r="A582" t="str">
        <f t="shared" ca="1" si="9"/>
        <v xml:space="preserve">         ПЕРСОНАЛ И ЗАРАБОТНАЯ ПЛАТА</v>
      </c>
      <c r="B582" t="s">
        <v>2574</v>
      </c>
      <c r="C582" t="s">
        <v>1521</v>
      </c>
      <c r="D582" t="s">
        <v>680</v>
      </c>
    </row>
    <row r="583" spans="1:4" x14ac:dyDescent="0.2">
      <c r="A583" t="str">
        <f t="shared" ca="1" si="9"/>
        <v>Основной производственный персонал</v>
      </c>
      <c r="B583" t="s">
        <v>2202</v>
      </c>
      <c r="C583" t="s">
        <v>1522</v>
      </c>
      <c r="D583" t="s">
        <v>1836</v>
      </c>
    </row>
    <row r="584" spans="1:4" x14ac:dyDescent="0.2">
      <c r="A584" t="str">
        <f t="shared" ca="1" si="9"/>
        <v>Вспомогательный производственный персонал</v>
      </c>
      <c r="B584" t="s">
        <v>2203</v>
      </c>
      <c r="C584" t="s">
        <v>1523</v>
      </c>
      <c r="D584" t="s">
        <v>1837</v>
      </c>
    </row>
    <row r="585" spans="1:4" x14ac:dyDescent="0.2">
      <c r="A585" t="str">
        <f t="shared" ca="1" si="9"/>
        <v>Административный персонал</v>
      </c>
      <c r="B585" t="s">
        <v>2204</v>
      </c>
      <c r="C585" t="s">
        <v>1656</v>
      </c>
      <c r="D585" t="s">
        <v>1995</v>
      </c>
    </row>
    <row r="586" spans="1:4" x14ac:dyDescent="0.2">
      <c r="A586" t="str">
        <f t="shared" ca="1" si="9"/>
        <v>Коммерческий персонал</v>
      </c>
      <c r="B586" t="s">
        <v>2205</v>
      </c>
      <c r="C586" t="s">
        <v>1657</v>
      </c>
      <c r="D586" t="s">
        <v>1996</v>
      </c>
    </row>
    <row r="587" spans="1:4" x14ac:dyDescent="0.2">
      <c r="A587" t="str">
        <f t="shared" ca="1" si="9"/>
        <v>Общая численность персонала</v>
      </c>
      <c r="B587" t="s">
        <v>2206</v>
      </c>
      <c r="C587" t="s">
        <v>1658</v>
      </c>
      <c r="D587" t="s">
        <v>1997</v>
      </c>
    </row>
    <row r="588" spans="1:4" x14ac:dyDescent="0.2">
      <c r="A588" t="str">
        <f t="shared" ca="1" si="9"/>
        <v>Месячный оклад</v>
      </c>
      <c r="B588" t="s">
        <v>417</v>
      </c>
      <c r="C588" t="s">
        <v>1659</v>
      </c>
      <c r="D588" t="s">
        <v>1998</v>
      </c>
    </row>
    <row r="589" spans="1:4" x14ac:dyDescent="0.2">
      <c r="A589" t="str">
        <f t="shared" ca="1" si="9"/>
        <v>Количество</v>
      </c>
      <c r="B589" t="s">
        <v>418</v>
      </c>
      <c r="C589" t="s">
        <v>1660</v>
      </c>
      <c r="D589" t="s">
        <v>1999</v>
      </c>
    </row>
    <row r="590" spans="1:4" x14ac:dyDescent="0.2">
      <c r="A590" t="str">
        <f t="shared" ca="1" si="9"/>
        <v>Мес. оклад</v>
      </c>
      <c r="B590" t="s">
        <v>2207</v>
      </c>
      <c r="C590" t="s">
        <v>1659</v>
      </c>
      <c r="D590" t="s">
        <v>1998</v>
      </c>
    </row>
    <row r="591" spans="1:4" x14ac:dyDescent="0.2">
      <c r="A591" t="str">
        <f t="shared" ca="1" si="9"/>
        <v>чел.</v>
      </c>
      <c r="B591" t="s">
        <v>2208</v>
      </c>
      <c r="C591" t="s">
        <v>1661</v>
      </c>
      <c r="D591" t="s">
        <v>1526</v>
      </c>
    </row>
    <row r="592" spans="1:4" x14ac:dyDescent="0.2">
      <c r="A592" t="str">
        <f t="shared" ca="1" si="9"/>
        <v>Начисленный ЕСН и страхование</v>
      </c>
      <c r="B592" s="16" t="s">
        <v>419</v>
      </c>
      <c r="C592" s="16" t="s">
        <v>1528</v>
      </c>
      <c r="D592" t="s">
        <v>1527</v>
      </c>
    </row>
    <row r="593" spans="1:4" x14ac:dyDescent="0.2">
      <c r="A593" t="str">
        <f t="shared" ca="1" si="9"/>
        <v xml:space="preserve">    - на зарплату основного произв. персонала</v>
      </c>
      <c r="B593" s="16" t="s">
        <v>420</v>
      </c>
      <c r="C593" s="16" t="s">
        <v>1529</v>
      </c>
      <c r="D593" t="s">
        <v>1838</v>
      </c>
    </row>
    <row r="594" spans="1:4" x14ac:dyDescent="0.2">
      <c r="A594" t="str">
        <f t="shared" ca="1" si="9"/>
        <v xml:space="preserve">    - на зарплату вспомогательного произв. персонала</v>
      </c>
      <c r="B594" s="16" t="s">
        <v>421</v>
      </c>
      <c r="C594" s="16" t="s">
        <v>1530</v>
      </c>
      <c r="D594" t="s">
        <v>1839</v>
      </c>
    </row>
    <row r="595" spans="1:4" x14ac:dyDescent="0.2">
      <c r="A595" t="str">
        <f t="shared" ca="1" si="9"/>
        <v xml:space="preserve">    - на зарплату административного персонала</v>
      </c>
      <c r="B595" s="16" t="s">
        <v>317</v>
      </c>
      <c r="C595" s="16" t="s">
        <v>1531</v>
      </c>
      <c r="D595" t="s">
        <v>1840</v>
      </c>
    </row>
    <row r="596" spans="1:4" x14ac:dyDescent="0.2">
      <c r="A596" t="str">
        <f t="shared" ca="1" si="9"/>
        <v xml:space="preserve">    - на зарплату коммерческого персонала</v>
      </c>
      <c r="B596" s="16" t="s">
        <v>318</v>
      </c>
      <c r="C596" s="16" t="s">
        <v>1532</v>
      </c>
      <c r="D596" t="s">
        <v>1841</v>
      </c>
    </row>
    <row r="597" spans="1:4" x14ac:dyDescent="0.2">
      <c r="A597" t="str">
        <f t="shared" ca="1" si="9"/>
        <v>Расходы на зарплату с учетом ЕСН и страхования</v>
      </c>
      <c r="B597" s="16" t="s">
        <v>2213</v>
      </c>
      <c r="C597" s="16" t="s">
        <v>1533</v>
      </c>
      <c r="D597" t="s">
        <v>79</v>
      </c>
    </row>
    <row r="598" spans="1:4" x14ac:dyDescent="0.2">
      <c r="A598" t="str">
        <f t="shared" ca="1" si="9"/>
        <v xml:space="preserve">         ТЕКУЩИЕ ЗАТРАТЫ</v>
      </c>
      <c r="B598" s="16" t="s">
        <v>2575</v>
      </c>
      <c r="C598" t="s">
        <v>1534</v>
      </c>
      <c r="D598" t="s">
        <v>681</v>
      </c>
    </row>
    <row r="599" spans="1:4" x14ac:dyDescent="0.2">
      <c r="A599" t="str">
        <f t="shared" ca="1" si="9"/>
        <v>Прочие переменные затраты</v>
      </c>
      <c r="B599" s="16" t="s">
        <v>2281</v>
      </c>
      <c r="C599" s="16" t="s">
        <v>1535</v>
      </c>
      <c r="D599" t="s">
        <v>80</v>
      </c>
    </row>
    <row r="600" spans="1:4" x14ac:dyDescent="0.2">
      <c r="A600" t="str">
        <f t="shared" ca="1" si="9"/>
        <v>Прямые производственные расходы</v>
      </c>
      <c r="B600" t="s">
        <v>2214</v>
      </c>
      <c r="C600" t="s">
        <v>1536</v>
      </c>
      <c r="D600" t="s">
        <v>81</v>
      </c>
    </row>
    <row r="601" spans="1:4" x14ac:dyDescent="0.2">
      <c r="A601" t="str">
        <f t="shared" ca="1" si="9"/>
        <v>Общие производственные расходы</v>
      </c>
      <c r="B601" t="s">
        <v>2212</v>
      </c>
      <c r="C601" t="s">
        <v>1537</v>
      </c>
      <c r="D601" t="s">
        <v>82</v>
      </c>
    </row>
    <row r="602" spans="1:4" x14ac:dyDescent="0.2">
      <c r="A602" t="str">
        <f t="shared" ca="1" si="9"/>
        <v>Административные расходы</v>
      </c>
      <c r="B602" t="s">
        <v>431</v>
      </c>
      <c r="C602" t="s">
        <v>1538</v>
      </c>
      <c r="D602" t="s">
        <v>83</v>
      </c>
    </row>
    <row r="603" spans="1:4" x14ac:dyDescent="0.2">
      <c r="A603" t="str">
        <f t="shared" ca="1" si="9"/>
        <v>Коммерческие расходы</v>
      </c>
      <c r="B603" t="s">
        <v>432</v>
      </c>
      <c r="C603" t="s">
        <v>1539</v>
      </c>
      <c r="D603" t="s">
        <v>84</v>
      </c>
    </row>
    <row r="604" spans="1:4" x14ac:dyDescent="0.2">
      <c r="A604" t="str">
        <f t="shared" ca="1" si="9"/>
        <v>Коммерческие расходы как % от продаж</v>
      </c>
      <c r="B604" t="s">
        <v>433</v>
      </c>
      <c r="C604" t="s">
        <v>1540</v>
      </c>
      <c r="D604" t="s">
        <v>85</v>
      </c>
    </row>
    <row r="605" spans="1:4" x14ac:dyDescent="0.2">
      <c r="A605" t="str">
        <f t="shared" ca="1" si="9"/>
        <v xml:space="preserve">    Производственные расходы</v>
      </c>
      <c r="B605" t="s">
        <v>434</v>
      </c>
      <c r="C605" t="s">
        <v>1541</v>
      </c>
      <c r="D605" t="s">
        <v>86</v>
      </c>
    </row>
    <row r="606" spans="1:4" x14ac:dyDescent="0.2">
      <c r="A606" t="str">
        <f t="shared" ca="1" si="9"/>
        <v xml:space="preserve">        сумма без НДС</v>
      </c>
      <c r="B606" t="s">
        <v>435</v>
      </c>
      <c r="C606" t="s">
        <v>1542</v>
      </c>
      <c r="D606" t="s">
        <v>87</v>
      </c>
    </row>
    <row r="607" spans="1:4" x14ac:dyDescent="0.2">
      <c r="A607" t="str">
        <f t="shared" ca="1" si="9"/>
        <v xml:space="preserve">        НДС</v>
      </c>
      <c r="B607" t="s">
        <v>436</v>
      </c>
      <c r="C607" t="s">
        <v>1543</v>
      </c>
      <c r="D607" t="s">
        <v>88</v>
      </c>
    </row>
    <row r="608" spans="1:4" x14ac:dyDescent="0.2">
      <c r="A608" t="str">
        <f t="shared" ca="1" si="9"/>
        <v xml:space="preserve">    Административные расходы</v>
      </c>
      <c r="B608" t="s">
        <v>437</v>
      </c>
      <c r="C608" t="s">
        <v>1544</v>
      </c>
      <c r="D608" t="s">
        <v>89</v>
      </c>
    </row>
    <row r="609" spans="1:4" x14ac:dyDescent="0.2">
      <c r="A609" t="str">
        <f t="shared" ca="1" si="9"/>
        <v xml:space="preserve">    Коммерческие расходы</v>
      </c>
      <c r="B609" t="s">
        <v>438</v>
      </c>
      <c r="C609" t="s">
        <v>1545</v>
      </c>
      <c r="D609" t="s">
        <v>90</v>
      </c>
    </row>
    <row r="610" spans="1:4" x14ac:dyDescent="0.2">
      <c r="A610" t="str">
        <f t="shared" ca="1" si="9"/>
        <v>Расходы на материалы и комплектующие</v>
      </c>
      <c r="B610" t="s">
        <v>439</v>
      </c>
      <c r="C610" t="s">
        <v>1546</v>
      </c>
      <c r="D610" t="s">
        <v>91</v>
      </c>
    </row>
    <row r="611" spans="1:4" x14ac:dyDescent="0.2">
      <c r="A611" t="str">
        <f t="shared" ca="1" si="9"/>
        <v>Зарплата основного производственного персонала</v>
      </c>
      <c r="B611" s="16" t="s">
        <v>440</v>
      </c>
      <c r="C611" t="s">
        <v>1547</v>
      </c>
      <c r="D611" t="s">
        <v>92</v>
      </c>
    </row>
    <row r="612" spans="1:4" x14ac:dyDescent="0.2">
      <c r="A612" t="str">
        <f t="shared" ca="1" si="9"/>
        <v>ЕСН на зарплату основного произв. персонала</v>
      </c>
      <c r="B612" s="16" t="s">
        <v>441</v>
      </c>
      <c r="C612" t="s">
        <v>1548</v>
      </c>
      <c r="D612" t="s">
        <v>93</v>
      </c>
    </row>
    <row r="613" spans="1:4" x14ac:dyDescent="0.2">
      <c r="A613" t="str">
        <f t="shared" ca="1" si="9"/>
        <v>Зарплата вспомогательного произв. персонала</v>
      </c>
      <c r="B613" s="16" t="s">
        <v>2215</v>
      </c>
      <c r="C613" t="s">
        <v>1549</v>
      </c>
      <c r="D613" t="s">
        <v>94</v>
      </c>
    </row>
    <row r="614" spans="1:4" x14ac:dyDescent="0.2">
      <c r="A614" t="str">
        <f t="shared" ca="1" si="9"/>
        <v>ЕСН на зарплату вспомогательного произв. персонала</v>
      </c>
      <c r="B614" s="16" t="s">
        <v>2216</v>
      </c>
      <c r="C614" t="s">
        <v>1550</v>
      </c>
      <c r="D614" t="s">
        <v>95</v>
      </c>
    </row>
    <row r="615" spans="1:4" x14ac:dyDescent="0.2">
      <c r="A615" t="str">
        <f t="shared" ref="A615:A685" ca="1" si="10">OFFSET(A615,0,LanguageID)</f>
        <v>Зарплата коммерческого персонала</v>
      </c>
      <c r="B615" s="16" t="s">
        <v>2217</v>
      </c>
      <c r="C615" t="s">
        <v>1551</v>
      </c>
      <c r="D615" t="s">
        <v>96</v>
      </c>
    </row>
    <row r="616" spans="1:4" x14ac:dyDescent="0.2">
      <c r="A616" t="str">
        <f t="shared" ca="1" si="10"/>
        <v>ЕСН на зарплату коммерческого персонала</v>
      </c>
      <c r="B616" s="16" t="s">
        <v>2218</v>
      </c>
      <c r="C616" t="s">
        <v>1552</v>
      </c>
      <c r="D616" t="s">
        <v>1866</v>
      </c>
    </row>
    <row r="617" spans="1:4" x14ac:dyDescent="0.2">
      <c r="A617" t="str">
        <f t="shared" ca="1" si="10"/>
        <v>Зарплата административного персонала</v>
      </c>
      <c r="B617" s="16" t="s">
        <v>2219</v>
      </c>
      <c r="C617" t="s">
        <v>1553</v>
      </c>
      <c r="D617" t="s">
        <v>1867</v>
      </c>
    </row>
    <row r="618" spans="1:4" x14ac:dyDescent="0.2">
      <c r="A618" t="str">
        <f t="shared" ca="1" si="10"/>
        <v>ЕСН на зарплату административного персонала</v>
      </c>
      <c r="B618" s="16" t="s">
        <v>2220</v>
      </c>
      <c r="C618" t="s">
        <v>1554</v>
      </c>
      <c r="D618" t="s">
        <v>1868</v>
      </c>
    </row>
    <row r="619" spans="1:4" x14ac:dyDescent="0.2">
      <c r="A619" t="str">
        <f t="shared" ca="1" si="10"/>
        <v>в том числе НДС</v>
      </c>
      <c r="B619" s="16" t="s">
        <v>2221</v>
      </c>
      <c r="C619" t="s">
        <v>1555</v>
      </c>
      <c r="D619" t="s">
        <v>1869</v>
      </c>
    </row>
    <row r="620" spans="1:4" x14ac:dyDescent="0.2">
      <c r="A620" t="str">
        <f t="shared" ca="1" si="10"/>
        <v>Амортизация</v>
      </c>
      <c r="B620" s="16" t="s">
        <v>2222</v>
      </c>
      <c r="C620" t="s">
        <v>1842</v>
      </c>
      <c r="D620" t="s">
        <v>1870</v>
      </c>
    </row>
    <row r="621" spans="1:4" x14ac:dyDescent="0.2">
      <c r="A621" t="str">
        <f t="shared" ca="1" si="10"/>
        <v>Земельный и другие налоги, относимые на текущие затраты</v>
      </c>
      <c r="B621" s="16" t="s">
        <v>2223</v>
      </c>
      <c r="C621" t="s">
        <v>1843</v>
      </c>
      <c r="D621" t="s">
        <v>1585</v>
      </c>
    </row>
    <row r="622" spans="1:4" x14ac:dyDescent="0.2">
      <c r="A622" t="str">
        <f t="shared" ca="1" si="10"/>
        <v xml:space="preserve"> = Итого: затраты в отчете о прибылях и убытках</v>
      </c>
      <c r="B622" t="s">
        <v>2225</v>
      </c>
      <c r="C622" t="s">
        <v>1844</v>
      </c>
      <c r="D622" t="s">
        <v>1586</v>
      </c>
    </row>
    <row r="623" spans="1:4" x14ac:dyDescent="0.2">
      <c r="A623" t="str">
        <f t="shared" ca="1" si="10"/>
        <v xml:space="preserve">    материалы и комплектующие</v>
      </c>
      <c r="B623" t="s">
        <v>2226</v>
      </c>
      <c r="C623" t="s">
        <v>1845</v>
      </c>
      <c r="D623" t="s">
        <v>1587</v>
      </c>
    </row>
    <row r="624" spans="1:4" x14ac:dyDescent="0.2">
      <c r="A624" t="str">
        <f t="shared" ca="1" si="10"/>
        <v xml:space="preserve">    прочие переменные затраты</v>
      </c>
      <c r="B624" t="s">
        <v>2282</v>
      </c>
      <c r="C624" t="s">
        <v>1846</v>
      </c>
      <c r="D624" t="s">
        <v>1588</v>
      </c>
    </row>
    <row r="625" spans="1:4" x14ac:dyDescent="0.2">
      <c r="A625" t="str">
        <f t="shared" ca="1" si="10"/>
        <v xml:space="preserve">    оплата труда</v>
      </c>
      <c r="B625" t="s">
        <v>2227</v>
      </c>
      <c r="C625" t="s">
        <v>1847</v>
      </c>
      <c r="D625" t="s">
        <v>1589</v>
      </c>
    </row>
    <row r="626" spans="1:4" x14ac:dyDescent="0.2">
      <c r="A626" t="str">
        <f t="shared" ca="1" si="10"/>
        <v xml:space="preserve">    налоги, относимые на текущие затраты</v>
      </c>
      <c r="B626" t="s">
        <v>2228</v>
      </c>
      <c r="C626" t="s">
        <v>1848</v>
      </c>
      <c r="D626" t="s">
        <v>1888</v>
      </c>
    </row>
    <row r="627" spans="1:4" x14ac:dyDescent="0.2">
      <c r="A627" t="str">
        <f t="shared" ca="1" si="10"/>
        <v xml:space="preserve">    производственные расходы</v>
      </c>
      <c r="B627" t="s">
        <v>2229</v>
      </c>
      <c r="C627" t="s">
        <v>1849</v>
      </c>
      <c r="D627" t="s">
        <v>86</v>
      </c>
    </row>
    <row r="628" spans="1:4" x14ac:dyDescent="0.2">
      <c r="A628" t="str">
        <f t="shared" ca="1" si="10"/>
        <v xml:space="preserve">    начисленные лизинговые платежи</v>
      </c>
      <c r="B628" t="s">
        <v>2230</v>
      </c>
      <c r="C628" t="s">
        <v>1850</v>
      </c>
      <c r="D628" t="s">
        <v>1889</v>
      </c>
    </row>
    <row r="629" spans="1:4" x14ac:dyDescent="0.2">
      <c r="A629" t="str">
        <f t="shared" ca="1" si="10"/>
        <v xml:space="preserve">    амортизация</v>
      </c>
      <c r="B629" t="s">
        <v>2231</v>
      </c>
      <c r="C629" t="s">
        <v>1380</v>
      </c>
      <c r="D629" t="s">
        <v>1890</v>
      </c>
    </row>
    <row r="630" spans="1:4" x14ac:dyDescent="0.2">
      <c r="A630" t="str">
        <f t="shared" ca="1" si="10"/>
        <v xml:space="preserve">    коммерческие расходы</v>
      </c>
      <c r="B630" t="s">
        <v>2232</v>
      </c>
      <c r="C630" t="s">
        <v>1851</v>
      </c>
      <c r="D630" t="s">
        <v>1891</v>
      </c>
    </row>
    <row r="631" spans="1:4" x14ac:dyDescent="0.2">
      <c r="A631" t="str">
        <f t="shared" ca="1" si="10"/>
        <v xml:space="preserve">    административные расходы</v>
      </c>
      <c r="B631" t="s">
        <v>2235</v>
      </c>
      <c r="C631" t="s">
        <v>1852</v>
      </c>
      <c r="D631" t="s">
        <v>90</v>
      </c>
    </row>
    <row r="632" spans="1:4" x14ac:dyDescent="0.2">
      <c r="A632" t="str">
        <f t="shared" ca="1" si="10"/>
        <v xml:space="preserve"> = Итого: оплата текущих расходов</v>
      </c>
      <c r="B632" t="s">
        <v>2236</v>
      </c>
      <c r="C632" t="s">
        <v>1853</v>
      </c>
      <c r="D632" t="s">
        <v>1892</v>
      </c>
    </row>
    <row r="633" spans="1:4" x14ac:dyDescent="0.2">
      <c r="A633" t="str">
        <f t="shared" ca="1" si="10"/>
        <v xml:space="preserve">    Производственные расходы</v>
      </c>
      <c r="B633" t="s">
        <v>434</v>
      </c>
      <c r="C633" t="s">
        <v>1541</v>
      </c>
      <c r="D633" t="s">
        <v>86</v>
      </c>
    </row>
    <row r="634" spans="1:4" x14ac:dyDescent="0.2">
      <c r="A634" t="str">
        <f t="shared" ca="1" si="10"/>
        <v xml:space="preserve">        сумма без НДС</v>
      </c>
      <c r="B634" t="s">
        <v>435</v>
      </c>
      <c r="C634" t="s">
        <v>1542</v>
      </c>
      <c r="D634" t="s">
        <v>1893</v>
      </c>
    </row>
    <row r="635" spans="1:4" x14ac:dyDescent="0.2">
      <c r="A635" t="str">
        <f t="shared" ca="1" si="10"/>
        <v xml:space="preserve">        НДС</v>
      </c>
      <c r="B635" t="s">
        <v>436</v>
      </c>
      <c r="C635" t="s">
        <v>1543</v>
      </c>
      <c r="D635" t="s">
        <v>1894</v>
      </c>
    </row>
    <row r="636" spans="1:4" x14ac:dyDescent="0.2">
      <c r="A636" t="str">
        <f t="shared" ca="1" si="10"/>
        <v xml:space="preserve">    Административные расходы</v>
      </c>
      <c r="B636" t="s">
        <v>437</v>
      </c>
      <c r="C636" t="s">
        <v>1544</v>
      </c>
      <c r="D636" t="s">
        <v>1895</v>
      </c>
    </row>
    <row r="637" spans="1:4" x14ac:dyDescent="0.2">
      <c r="A637" t="str">
        <f t="shared" ca="1" si="10"/>
        <v xml:space="preserve">    Коммерческие расходы</v>
      </c>
      <c r="B637" t="s">
        <v>438</v>
      </c>
      <c r="C637" t="s">
        <v>1545</v>
      </c>
      <c r="D637" t="s">
        <v>1896</v>
      </c>
    </row>
    <row r="638" spans="1:4" x14ac:dyDescent="0.2">
      <c r="A638" t="str">
        <f t="shared" ca="1" si="10"/>
        <v xml:space="preserve">    Материалы и комплектующие</v>
      </c>
      <c r="B638" t="s">
        <v>2237</v>
      </c>
      <c r="C638" t="s">
        <v>1854</v>
      </c>
      <c r="D638" t="s">
        <v>1897</v>
      </c>
    </row>
    <row r="639" spans="1:4" x14ac:dyDescent="0.2">
      <c r="A639" t="str">
        <f t="shared" ca="1" si="10"/>
        <v xml:space="preserve">    Оплата труда (вкл. ЕСН и страхование)</v>
      </c>
      <c r="B639" t="s">
        <v>323</v>
      </c>
      <c r="C639" t="s">
        <v>1855</v>
      </c>
      <c r="D639" t="s">
        <v>1898</v>
      </c>
    </row>
    <row r="640" spans="1:4" x14ac:dyDescent="0.2">
      <c r="A640" t="str">
        <f t="shared" ca="1" si="10"/>
        <v xml:space="preserve">         СОБСТВЕННЫЙ КАПИТАЛ</v>
      </c>
      <c r="B640" s="16" t="s">
        <v>2577</v>
      </c>
      <c r="C640" s="16" t="s">
        <v>1856</v>
      </c>
      <c r="D640" t="s">
        <v>682</v>
      </c>
    </row>
    <row r="641" spans="1:4" x14ac:dyDescent="0.2">
      <c r="A641" t="str">
        <f t="shared" ca="1" si="10"/>
        <v>Средства собственников</v>
      </c>
      <c r="B641" t="s">
        <v>512</v>
      </c>
      <c r="C641" t="s">
        <v>1857</v>
      </c>
      <c r="D641" t="s">
        <v>1899</v>
      </c>
    </row>
    <row r="642" spans="1:4" x14ac:dyDescent="0.2">
      <c r="A642" t="str">
        <f t="shared" ca="1" si="10"/>
        <v>Собственник 1</v>
      </c>
      <c r="B642" t="s">
        <v>513</v>
      </c>
      <c r="C642" t="s">
        <v>1858</v>
      </c>
      <c r="D642" t="s">
        <v>1900</v>
      </c>
    </row>
    <row r="643" spans="1:4" x14ac:dyDescent="0.2">
      <c r="A643" t="str">
        <f t="shared" ca="1" si="10"/>
        <v>Собственник 2</v>
      </c>
      <c r="B643" t="s">
        <v>514</v>
      </c>
      <c r="C643" t="s">
        <v>1859</v>
      </c>
      <c r="D643" t="s">
        <v>1901</v>
      </c>
    </row>
    <row r="644" spans="1:4" x14ac:dyDescent="0.2">
      <c r="A644" t="str">
        <f t="shared" ca="1" si="10"/>
        <v>Собственник 3</v>
      </c>
      <c r="B644" t="s">
        <v>515</v>
      </c>
      <c r="C644" t="s">
        <v>1860</v>
      </c>
      <c r="D644" t="s">
        <v>1902</v>
      </c>
    </row>
    <row r="645" spans="1:4" x14ac:dyDescent="0.2">
      <c r="A645" t="str">
        <f t="shared" ca="1" si="10"/>
        <v>Собственник 4</v>
      </c>
      <c r="B645" t="s">
        <v>516</v>
      </c>
      <c r="C645" t="s">
        <v>1861</v>
      </c>
      <c r="D645" t="s">
        <v>1903</v>
      </c>
    </row>
    <row r="646" spans="1:4" x14ac:dyDescent="0.2">
      <c r="A646" t="str">
        <f t="shared" ca="1" si="10"/>
        <v>Собственник 5</v>
      </c>
      <c r="B646" t="s">
        <v>517</v>
      </c>
      <c r="C646" t="s">
        <v>1862</v>
      </c>
      <c r="D646" t="s">
        <v>1904</v>
      </c>
    </row>
    <row r="647" spans="1:4" x14ac:dyDescent="0.2">
      <c r="A647" t="str">
        <f t="shared" ca="1" si="10"/>
        <v>Средства от текущей деятельности</v>
      </c>
      <c r="B647" t="s">
        <v>2377</v>
      </c>
      <c r="C647" t="s">
        <v>1863</v>
      </c>
      <c r="D647" t="s">
        <v>1905</v>
      </c>
    </row>
    <row r="648" spans="1:4" x14ac:dyDescent="0.2">
      <c r="A648" t="str">
        <f t="shared" ca="1" si="10"/>
        <v xml:space="preserve">    то же, в основной валюте</v>
      </c>
      <c r="B648" t="s">
        <v>623</v>
      </c>
      <c r="C648" t="s">
        <v>1864</v>
      </c>
      <c r="D648" t="s">
        <v>1906</v>
      </c>
    </row>
    <row r="649" spans="1:4" x14ac:dyDescent="0.2">
      <c r="A649" t="str">
        <f t="shared" ca="1" si="10"/>
        <v>Целевое финансирование</v>
      </c>
      <c r="B649" t="s">
        <v>2016</v>
      </c>
      <c r="C649" t="s">
        <v>603</v>
      </c>
      <c r="D649" t="s">
        <v>1004</v>
      </c>
    </row>
    <row r="650" spans="1:4" x14ac:dyDescent="0.2">
      <c r="A650" t="str">
        <f t="shared" ca="1" si="10"/>
        <v>Средства от инвесторов строительства</v>
      </c>
      <c r="B650" t="s">
        <v>518</v>
      </c>
      <c r="C650" t="s">
        <v>1581</v>
      </c>
      <c r="D650" t="s">
        <v>1907</v>
      </c>
    </row>
    <row r="651" spans="1:4" x14ac:dyDescent="0.2">
      <c r="A651" t="str">
        <f t="shared" ca="1" si="10"/>
        <v>Справка: Остаток средств на счете (текущий проект)</v>
      </c>
      <c r="B651" t="s">
        <v>519</v>
      </c>
      <c r="C651" s="218" t="s">
        <v>1582</v>
      </c>
      <c r="D651" t="s">
        <v>1908</v>
      </c>
    </row>
    <row r="652" spans="1:4" x14ac:dyDescent="0.2">
      <c r="A652" t="str">
        <f t="shared" ca="1" si="10"/>
        <v>Справка: Остаток средств на счете (без учета операционной деятельности)</v>
      </c>
      <c r="B652" t="s">
        <v>1136</v>
      </c>
      <c r="C652" t="s">
        <v>1137</v>
      </c>
      <c r="D652" t="s">
        <v>1138</v>
      </c>
    </row>
    <row r="653" spans="1:4" x14ac:dyDescent="0.2">
      <c r="A653" t="str">
        <f t="shared" ca="1" si="10"/>
        <v>Справка: Остаток средств на счете (портфель проектов)</v>
      </c>
      <c r="B653" t="s">
        <v>520</v>
      </c>
      <c r="C653" s="218" t="s">
        <v>1583</v>
      </c>
      <c r="D653" t="s">
        <v>1909</v>
      </c>
    </row>
    <row r="654" spans="1:4" x14ac:dyDescent="0.2">
      <c r="A654" t="str">
        <f t="shared" ca="1" si="10"/>
        <v xml:space="preserve">         КРЕДИТЫ</v>
      </c>
      <c r="B654" s="16" t="s">
        <v>2578</v>
      </c>
      <c r="C654" s="16" t="s">
        <v>1584</v>
      </c>
      <c r="D654" t="s">
        <v>683</v>
      </c>
    </row>
    <row r="655" spans="1:4" x14ac:dyDescent="0.2">
      <c r="A655" t="str">
        <f t="shared" ca="1" si="10"/>
        <v>Тип кредита</v>
      </c>
      <c r="B655" t="s">
        <v>521</v>
      </c>
      <c r="C655" t="s">
        <v>1731</v>
      </c>
      <c r="D655" t="s">
        <v>1910</v>
      </c>
    </row>
    <row r="656" spans="1:4" x14ac:dyDescent="0.2">
      <c r="A656" t="str">
        <f t="shared" ca="1" si="10"/>
        <v>Валюта кредита</v>
      </c>
      <c r="B656" t="s">
        <v>522</v>
      </c>
      <c r="C656" t="s">
        <v>1732</v>
      </c>
      <c r="D656" t="s">
        <v>1612</v>
      </c>
    </row>
    <row r="657" spans="1:4" x14ac:dyDescent="0.2">
      <c r="A657" t="str">
        <f t="shared" ca="1" si="10"/>
        <v>Годовая процентная ставка</v>
      </c>
      <c r="B657" t="s">
        <v>407</v>
      </c>
      <c r="C657" t="s">
        <v>1733</v>
      </c>
      <c r="D657" t="s">
        <v>1613</v>
      </c>
    </row>
    <row r="658" spans="1:4" x14ac:dyDescent="0.2">
      <c r="A658" t="str">
        <f t="shared" ca="1" si="10"/>
        <v>Отсрочка выплаты процентов</v>
      </c>
      <c r="B658" t="s">
        <v>408</v>
      </c>
      <c r="C658" t="s">
        <v>1734</v>
      </c>
      <c r="D658" t="s">
        <v>1614</v>
      </c>
    </row>
    <row r="659" spans="1:4" x14ac:dyDescent="0.2">
      <c r="A659" t="str">
        <f t="shared" ca="1" si="10"/>
        <v>Поступление денег от кредита</v>
      </c>
      <c r="B659" t="s">
        <v>409</v>
      </c>
      <c r="C659" t="s">
        <v>1735</v>
      </c>
      <c r="D659" t="s">
        <v>1615</v>
      </c>
    </row>
    <row r="660" spans="1:4" x14ac:dyDescent="0.2">
      <c r="A660" t="str">
        <f t="shared" ca="1" si="10"/>
        <v>Погашение основного долга</v>
      </c>
      <c r="B660" t="s">
        <v>410</v>
      </c>
      <c r="C660" t="s">
        <v>1736</v>
      </c>
      <c r="D660" t="s">
        <v>0</v>
      </c>
    </row>
    <row r="661" spans="1:4" x14ac:dyDescent="0.2">
      <c r="A661" t="str">
        <f t="shared" ca="1" si="10"/>
        <v>Начисленные проценты</v>
      </c>
      <c r="B661" t="s">
        <v>2511</v>
      </c>
      <c r="C661" t="s">
        <v>1737</v>
      </c>
      <c r="D661" t="s">
        <v>1</v>
      </c>
    </row>
    <row r="662" spans="1:4" x14ac:dyDescent="0.2">
      <c r="A662" t="str">
        <f t="shared" ca="1" si="10"/>
        <v>Выплаченные проценты</v>
      </c>
      <c r="B662" t="s">
        <v>411</v>
      </c>
      <c r="C662" t="s">
        <v>1738</v>
      </c>
      <c r="D662" t="s">
        <v>2</v>
      </c>
    </row>
    <row r="663" spans="1:4" x14ac:dyDescent="0.2">
      <c r="A663" t="str">
        <f t="shared" ca="1" si="10"/>
        <v>Задолженность на начало текущего периода</v>
      </c>
      <c r="B663" t="s">
        <v>2519</v>
      </c>
      <c r="C663" t="s">
        <v>1739</v>
      </c>
      <c r="D663" t="s">
        <v>3</v>
      </c>
    </row>
    <row r="664" spans="1:4" x14ac:dyDescent="0.2">
      <c r="A664" t="str">
        <f t="shared" ca="1" si="10"/>
        <v>Задолженность на конец текущего периода</v>
      </c>
      <c r="B664" t="s">
        <v>412</v>
      </c>
      <c r="C664" t="s">
        <v>1590</v>
      </c>
      <c r="D664" t="s">
        <v>4</v>
      </c>
    </row>
    <row r="665" spans="1:4" x14ac:dyDescent="0.2">
      <c r="A665" t="str">
        <f t="shared" ca="1" si="10"/>
        <v xml:space="preserve">    в том числе по процентам</v>
      </c>
      <c r="B665" t="s">
        <v>2518</v>
      </c>
      <c r="C665" t="s">
        <v>1591</v>
      </c>
      <c r="D665" t="s">
        <v>5</v>
      </c>
    </row>
    <row r="666" spans="1:4" x14ac:dyDescent="0.2">
      <c r="A666" t="str">
        <f t="shared" ca="1" si="10"/>
        <v xml:space="preserve">    интервал, в котором впервые взят кредит</v>
      </c>
      <c r="B666" t="s">
        <v>2622</v>
      </c>
      <c r="C666" t="s">
        <v>1592</v>
      </c>
      <c r="D666" t="s">
        <v>6</v>
      </c>
    </row>
    <row r="667" spans="1:4" x14ac:dyDescent="0.2">
      <c r="A667" t="str">
        <f t="shared" ca="1" si="10"/>
        <v xml:space="preserve">    проценты, выплачиваемые из прибыли</v>
      </c>
      <c r="B667" t="s">
        <v>413</v>
      </c>
      <c r="C667" t="s">
        <v>1277</v>
      </c>
      <c r="D667" t="s">
        <v>1269</v>
      </c>
    </row>
    <row r="668" spans="1:4" x14ac:dyDescent="0.2">
      <c r="A668" t="str">
        <f t="shared" ca="1" si="10"/>
        <v xml:space="preserve">    проценты начисленные</v>
      </c>
      <c r="B668" t="s">
        <v>2510</v>
      </c>
      <c r="C668" t="s">
        <v>1593</v>
      </c>
      <c r="D668" t="s">
        <v>7</v>
      </c>
    </row>
    <row r="669" spans="1:4" x14ac:dyDescent="0.2">
      <c r="A669" t="str">
        <f t="shared" ca="1" si="10"/>
        <v xml:space="preserve"> = Итого: Поступления от кредитов</v>
      </c>
      <c r="B669" t="s">
        <v>414</v>
      </c>
      <c r="C669" t="s">
        <v>1594</v>
      </c>
      <c r="D669" t="s">
        <v>8</v>
      </c>
    </row>
    <row r="670" spans="1:4" x14ac:dyDescent="0.2">
      <c r="A670" t="str">
        <f t="shared" ca="1" si="10"/>
        <v xml:space="preserve"> = Итого: Погашение кредитов</v>
      </c>
      <c r="B670" t="s">
        <v>415</v>
      </c>
      <c r="C670" t="s">
        <v>1595</v>
      </c>
      <c r="D670" t="s">
        <v>9</v>
      </c>
    </row>
    <row r="671" spans="1:4" x14ac:dyDescent="0.2">
      <c r="A671" t="str">
        <f t="shared" ca="1" si="10"/>
        <v xml:space="preserve"> = Итого: Начисление процентов</v>
      </c>
      <c r="B671" t="s">
        <v>2361</v>
      </c>
      <c r="C671" t="s">
        <v>1596</v>
      </c>
      <c r="D671" t="s">
        <v>10</v>
      </c>
    </row>
    <row r="672" spans="1:4" x14ac:dyDescent="0.2">
      <c r="A672" t="str">
        <f t="shared" ca="1" si="10"/>
        <v xml:space="preserve"> = Итого: Выплата процентов</v>
      </c>
      <c r="B672" t="s">
        <v>416</v>
      </c>
      <c r="C672" t="s">
        <v>1597</v>
      </c>
      <c r="D672" t="s">
        <v>11</v>
      </c>
    </row>
    <row r="673" spans="1:4" x14ac:dyDescent="0.2">
      <c r="A673" t="str">
        <f t="shared" ca="1" si="10"/>
        <v xml:space="preserve">    проценты, выплачиваемые из прибыли</v>
      </c>
      <c r="B673" t="s">
        <v>413</v>
      </c>
      <c r="C673" t="s">
        <v>1277</v>
      </c>
      <c r="D673" t="s">
        <v>1269</v>
      </c>
    </row>
    <row r="674" spans="1:4" x14ac:dyDescent="0.2">
      <c r="A674" t="str">
        <f t="shared" ca="1" si="10"/>
        <v xml:space="preserve"> = Итого: Задолженность по кредитам</v>
      </c>
      <c r="B674" t="s">
        <v>2508</v>
      </c>
      <c r="C674" t="s">
        <v>1598</v>
      </c>
      <c r="D674" t="s">
        <v>12</v>
      </c>
    </row>
    <row r="675" spans="1:4" x14ac:dyDescent="0.2">
      <c r="A675" t="str">
        <f t="shared" ca="1" si="10"/>
        <v xml:space="preserve">    задолженность по кредитам на оборотный капитал</v>
      </c>
      <c r="B675" t="s">
        <v>2362</v>
      </c>
      <c r="C675" t="s">
        <v>1599</v>
      </c>
      <c r="D675" t="s">
        <v>13</v>
      </c>
    </row>
    <row r="676" spans="1:4" x14ac:dyDescent="0.2">
      <c r="A676" t="str">
        <f t="shared" ca="1" si="10"/>
        <v xml:space="preserve">    задолженность по инвестиционным кредитам</v>
      </c>
      <c r="B676" t="s">
        <v>2509</v>
      </c>
      <c r="C676" t="s">
        <v>1600</v>
      </c>
      <c r="D676" t="s">
        <v>14</v>
      </c>
    </row>
    <row r="677" spans="1:4" x14ac:dyDescent="0.2">
      <c r="A677" t="str">
        <f t="shared" ca="1" si="10"/>
        <v>Кредит на пополнение оборотных средств</v>
      </c>
      <c r="B677" t="s">
        <v>2515</v>
      </c>
      <c r="C677" t="s">
        <v>1601</v>
      </c>
      <c r="D677" t="s">
        <v>15</v>
      </c>
    </row>
    <row r="678" spans="1:4" x14ac:dyDescent="0.2">
      <c r="A678" t="str">
        <f t="shared" ca="1" si="10"/>
        <v>Инвестиционный кредит</v>
      </c>
      <c r="B678" t="s">
        <v>2516</v>
      </c>
      <c r="C678" t="s">
        <v>1602</v>
      </c>
      <c r="D678" t="s">
        <v>16</v>
      </c>
    </row>
    <row r="679" spans="1:4" x14ac:dyDescent="0.2">
      <c r="A679" t="str">
        <f t="shared" ca="1" si="10"/>
        <v>Инвестиционный кредит из федерального бюджета</v>
      </c>
      <c r="B679" t="s">
        <v>2513</v>
      </c>
      <c r="C679" t="s">
        <v>1603</v>
      </c>
      <c r="D679" t="s">
        <v>17</v>
      </c>
    </row>
    <row r="680" spans="1:4" x14ac:dyDescent="0.2">
      <c r="A680" t="str">
        <f t="shared" ca="1" si="10"/>
        <v>Инвестиционный кредит из регионального бюджета</v>
      </c>
      <c r="B680" t="s">
        <v>2514</v>
      </c>
      <c r="C680" t="s">
        <v>1604</v>
      </c>
      <c r="D680" t="s">
        <v>18</v>
      </c>
    </row>
    <row r="681" spans="1:4" x14ac:dyDescent="0.2">
      <c r="A681" t="str">
        <f t="shared" ca="1" si="10"/>
        <v>Общий коэффициент покрытия долга</v>
      </c>
      <c r="B681" t="s">
        <v>2363</v>
      </c>
      <c r="C681" t="s">
        <v>1605</v>
      </c>
      <c r="D681" t="s">
        <v>19</v>
      </c>
    </row>
    <row r="682" spans="1:4" x14ac:dyDescent="0.2">
      <c r="A682" t="str">
        <f t="shared" ca="1" si="10"/>
        <v>разы</v>
      </c>
      <c r="B682" t="s">
        <v>2364</v>
      </c>
      <c r="C682" t="s">
        <v>1284</v>
      </c>
      <c r="D682" t="s">
        <v>1307</v>
      </c>
    </row>
    <row r="683" spans="1:4" x14ac:dyDescent="0.2">
      <c r="A683" t="str">
        <f t="shared" ca="1" si="10"/>
        <v>Существующие кредиты</v>
      </c>
      <c r="B683" t="s">
        <v>2365</v>
      </c>
      <c r="C683" t="s">
        <v>1606</v>
      </c>
      <c r="D683" t="s">
        <v>1783</v>
      </c>
    </row>
    <row r="684" spans="1:4" x14ac:dyDescent="0.2">
      <c r="A684" t="str">
        <f t="shared" ca="1" si="10"/>
        <v>Новые кредиты</v>
      </c>
      <c r="B684" t="s">
        <v>2366</v>
      </c>
      <c r="C684" t="s">
        <v>1607</v>
      </c>
      <c r="D684" t="s">
        <v>1784</v>
      </c>
    </row>
    <row r="685" spans="1:4" x14ac:dyDescent="0.2">
      <c r="A685" t="str">
        <f t="shared" ca="1" si="10"/>
        <v xml:space="preserve">    проценты по новым инвестиционным кредитам</v>
      </c>
      <c r="B685" s="23" t="s">
        <v>2336</v>
      </c>
      <c r="C685" s="23" t="s">
        <v>1608</v>
      </c>
      <c r="D685" t="s">
        <v>1785</v>
      </c>
    </row>
    <row r="686" spans="1:4" x14ac:dyDescent="0.2">
      <c r="A686" t="str">
        <f ca="1">OFFSET(A686,0,LanguageID)</f>
        <v xml:space="preserve">         СВОДНЫЙ ОТЧЕТ ОБ ИНВЕСТИЦИЯХ В ПРОЕКТ</v>
      </c>
      <c r="B686" s="16" t="s">
        <v>2579</v>
      </c>
      <c r="C686" s="16" t="s">
        <v>1609</v>
      </c>
      <c r="D686" t="s">
        <v>684</v>
      </c>
    </row>
    <row r="687" spans="1:4" x14ac:dyDescent="0.2">
      <c r="A687" t="str">
        <f t="shared" ref="A687:A792" ca="1" si="11">OFFSET(A687,0,LanguageID)</f>
        <v>Потребность в инвестициях</v>
      </c>
      <c r="B687" s="23" t="s">
        <v>2372</v>
      </c>
      <c r="C687" t="s">
        <v>1610</v>
      </c>
      <c r="D687" s="52" t="s">
        <v>1018</v>
      </c>
    </row>
    <row r="688" spans="1:4" x14ac:dyDescent="0.2">
      <c r="A688" t="str">
        <f t="shared" ca="1" si="11"/>
        <v>Инвестиции в земельные участки</v>
      </c>
      <c r="B688" s="23" t="s">
        <v>2376</v>
      </c>
      <c r="C688" t="s">
        <v>1611</v>
      </c>
      <c r="D688" t="s">
        <v>1786</v>
      </c>
    </row>
    <row r="689" spans="1:4" x14ac:dyDescent="0.2">
      <c r="A689" t="str">
        <f t="shared" ca="1" si="11"/>
        <v>Инвестиции в нематериальные активы</v>
      </c>
      <c r="B689" s="23" t="s">
        <v>2373</v>
      </c>
      <c r="C689" t="s">
        <v>1567</v>
      </c>
      <c r="D689" t="s">
        <v>1787</v>
      </c>
    </row>
    <row r="690" spans="1:4" x14ac:dyDescent="0.2">
      <c r="A690" t="str">
        <f t="shared" ca="1" si="11"/>
        <v>Инвестиции в финансовые активы</v>
      </c>
      <c r="B690" s="23" t="s">
        <v>2422</v>
      </c>
      <c r="C690" t="s">
        <v>1568</v>
      </c>
      <c r="D690" t="s">
        <v>1788</v>
      </c>
    </row>
    <row r="691" spans="1:4" x14ac:dyDescent="0.2">
      <c r="A691" t="str">
        <f t="shared" ca="1" si="11"/>
        <v>Инвестиции в здания и сооружения</v>
      </c>
      <c r="B691" s="23" t="s">
        <v>2279</v>
      </c>
      <c r="C691" t="s">
        <v>1569</v>
      </c>
      <c r="D691" t="s">
        <v>1789</v>
      </c>
    </row>
    <row r="692" spans="1:4" x14ac:dyDescent="0.2">
      <c r="A692" t="str">
        <f t="shared" ca="1" si="11"/>
        <v>Инвестиции в оборудование и прочие активы</v>
      </c>
      <c r="B692" s="23" t="s">
        <v>2374</v>
      </c>
      <c r="C692" t="s">
        <v>1570</v>
      </c>
      <c r="D692" t="s">
        <v>1790</v>
      </c>
    </row>
    <row r="693" spans="1:4" x14ac:dyDescent="0.2">
      <c r="A693" t="str">
        <f t="shared" ca="1" si="11"/>
        <v>Инвестиции в финансовые активы</v>
      </c>
      <c r="B693" s="23" t="s">
        <v>2422</v>
      </c>
      <c r="C693" t="s">
        <v>1568</v>
      </c>
      <c r="D693" t="s">
        <v>1788</v>
      </c>
    </row>
    <row r="694" spans="1:4" x14ac:dyDescent="0.2">
      <c r="A694" t="str">
        <f t="shared" ca="1" si="11"/>
        <v>Оплата расходов будущих периодов</v>
      </c>
      <c r="B694" s="23" t="s">
        <v>1953</v>
      </c>
      <c r="C694" t="s">
        <v>1571</v>
      </c>
      <c r="D694" t="s">
        <v>1791</v>
      </c>
    </row>
    <row r="695" spans="1:4" x14ac:dyDescent="0.2">
      <c r="A695" t="str">
        <f t="shared" ca="1" si="11"/>
        <v>Прирост чистого оборотного капитала</v>
      </c>
      <c r="B695" s="23" t="s">
        <v>1911</v>
      </c>
      <c r="C695" t="s">
        <v>1410</v>
      </c>
      <c r="D695" t="s">
        <v>1467</v>
      </c>
    </row>
    <row r="696" spans="1:4" x14ac:dyDescent="0.2">
      <c r="A696" t="str">
        <f t="shared" ca="1" si="11"/>
        <v>Привлечение финансирования</v>
      </c>
      <c r="B696" s="23" t="s">
        <v>2546</v>
      </c>
      <c r="C696" t="s">
        <v>1572</v>
      </c>
      <c r="D696" t="s">
        <v>1792</v>
      </c>
    </row>
    <row r="697" spans="1:4" x14ac:dyDescent="0.2">
      <c r="A697" t="str">
        <f t="shared" ca="1" si="11"/>
        <v>Возврат финансирования</v>
      </c>
      <c r="B697" s="23" t="s">
        <v>2547</v>
      </c>
      <c r="C697" t="s">
        <v>1573</v>
      </c>
      <c r="D697" t="s">
        <v>1793</v>
      </c>
    </row>
    <row r="698" spans="1:4" x14ac:dyDescent="0.2">
      <c r="A698" t="str">
        <f t="shared" ca="1" si="11"/>
        <v>Дивиденды</v>
      </c>
      <c r="B698" s="23" t="s">
        <v>2378</v>
      </c>
      <c r="C698" t="s">
        <v>1574</v>
      </c>
      <c r="D698" t="s">
        <v>1794</v>
      </c>
    </row>
    <row r="699" spans="1:4" x14ac:dyDescent="0.2">
      <c r="A699" t="str">
        <f t="shared" ca="1" si="11"/>
        <v>Лизинговые платежи</v>
      </c>
      <c r="B699" s="23" t="s">
        <v>2379</v>
      </c>
      <c r="C699" t="s">
        <v>1575</v>
      </c>
      <c r="D699" t="s">
        <v>1795</v>
      </c>
    </row>
    <row r="700" spans="1:4" x14ac:dyDescent="0.2">
      <c r="A700" t="str">
        <f t="shared" ca="1" si="11"/>
        <v>Возврат кредитов</v>
      </c>
      <c r="B700" s="23" t="s">
        <v>2380</v>
      </c>
      <c r="C700" s="217" t="s">
        <v>1576</v>
      </c>
      <c r="D700" t="s">
        <v>0</v>
      </c>
    </row>
    <row r="701" spans="1:4" x14ac:dyDescent="0.2">
      <c r="A701" t="str">
        <f t="shared" ca="1" si="11"/>
        <v>Минимальный остаток средств на счете</v>
      </c>
      <c r="B701" s="23" t="s">
        <v>2381</v>
      </c>
      <c r="C701" t="s">
        <v>1577</v>
      </c>
      <c r="D701" t="s">
        <v>1796</v>
      </c>
    </row>
    <row r="702" spans="1:4" x14ac:dyDescent="0.2">
      <c r="A702" t="str">
        <f t="shared" ca="1" si="11"/>
        <v xml:space="preserve">         ОТЧЕТ О ПРИБЫЛЯХ И УБЫТКАХ</v>
      </c>
      <c r="B702" s="16" t="s">
        <v>686</v>
      </c>
      <c r="C702" s="16" t="s">
        <v>1578</v>
      </c>
      <c r="D702" t="s">
        <v>691</v>
      </c>
    </row>
    <row r="703" spans="1:4" x14ac:dyDescent="0.2">
      <c r="A703" t="str">
        <f t="shared" ca="1" si="11"/>
        <v>Выручка (нетто)</v>
      </c>
      <c r="B703" s="23" t="s">
        <v>2382</v>
      </c>
      <c r="C703" t="s">
        <v>1579</v>
      </c>
      <c r="D703" t="s">
        <v>1797</v>
      </c>
    </row>
    <row r="704" spans="1:4" x14ac:dyDescent="0.2">
      <c r="A704" t="str">
        <f t="shared" ca="1" si="11"/>
        <v>Себестоимость</v>
      </c>
      <c r="B704" s="23" t="s">
        <v>1926</v>
      </c>
      <c r="C704" t="s">
        <v>1927</v>
      </c>
      <c r="D704" s="48" t="s">
        <v>2639</v>
      </c>
    </row>
    <row r="705" spans="1:4" x14ac:dyDescent="0.2">
      <c r="A705" t="str">
        <f t="shared" ca="1" si="11"/>
        <v>в том числе</v>
      </c>
      <c r="B705" s="23" t="s">
        <v>2386</v>
      </c>
      <c r="C705" t="s">
        <v>1580</v>
      </c>
      <c r="D705" t="s">
        <v>1798</v>
      </c>
    </row>
    <row r="706" spans="1:4" x14ac:dyDescent="0.2">
      <c r="A706" t="str">
        <f t="shared" ca="1" si="11"/>
        <v xml:space="preserve">    Сырье и материалы</v>
      </c>
      <c r="B706" s="23" t="s">
        <v>1931</v>
      </c>
      <c r="C706" s="23" t="s">
        <v>1717</v>
      </c>
      <c r="D706" t="s">
        <v>1587</v>
      </c>
    </row>
    <row r="707" spans="1:4" x14ac:dyDescent="0.2">
      <c r="A707" t="str">
        <f t="shared" ca="1" si="11"/>
        <v xml:space="preserve">    Прочие переменные расходы</v>
      </c>
      <c r="B707" s="23" t="s">
        <v>1932</v>
      </c>
      <c r="C707" s="23" t="s">
        <v>1718</v>
      </c>
      <c r="D707" t="s">
        <v>1588</v>
      </c>
    </row>
    <row r="708" spans="1:4" x14ac:dyDescent="0.2">
      <c r="A708" t="str">
        <f t="shared" ca="1" si="11"/>
        <v xml:space="preserve">    Оплата производственного персонала</v>
      </c>
      <c r="B708" s="23" t="s">
        <v>1933</v>
      </c>
      <c r="C708" s="23" t="s">
        <v>1719</v>
      </c>
      <c r="D708" t="s">
        <v>59</v>
      </c>
    </row>
    <row r="709" spans="1:4" x14ac:dyDescent="0.2">
      <c r="A709" t="str">
        <f t="shared" ca="1" si="11"/>
        <v xml:space="preserve">    Лизинговые платежи</v>
      </c>
      <c r="B709" s="23" t="s">
        <v>1934</v>
      </c>
      <c r="C709" t="s">
        <v>1720</v>
      </c>
      <c r="D709" t="s">
        <v>1889</v>
      </c>
    </row>
    <row r="710" spans="1:4" x14ac:dyDescent="0.2">
      <c r="A710" t="str">
        <f t="shared" ca="1" si="11"/>
        <v xml:space="preserve">    Прочие производственные расходы</v>
      </c>
      <c r="B710" s="23" t="s">
        <v>1935</v>
      </c>
      <c r="C710" t="s">
        <v>1721</v>
      </c>
      <c r="D710" t="s">
        <v>60</v>
      </c>
    </row>
    <row r="711" spans="1:4" x14ac:dyDescent="0.2">
      <c r="A711" t="str">
        <f t="shared" ca="1" si="11"/>
        <v>Валовая прибыль</v>
      </c>
      <c r="B711" s="23" t="s">
        <v>2383</v>
      </c>
      <c r="C711" t="s">
        <v>1722</v>
      </c>
      <c r="D711" t="s">
        <v>61</v>
      </c>
    </row>
    <row r="712" spans="1:4" x14ac:dyDescent="0.2">
      <c r="A712" t="str">
        <f t="shared" ca="1" si="11"/>
        <v>Оплата административного и коммерческого персонала</v>
      </c>
      <c r="B712" s="23" t="s">
        <v>1929</v>
      </c>
      <c r="C712" s="23" t="s">
        <v>1723</v>
      </c>
      <c r="D712" t="s">
        <v>62</v>
      </c>
    </row>
    <row r="713" spans="1:4" x14ac:dyDescent="0.2">
      <c r="A713" t="str">
        <f t="shared" ca="1" si="11"/>
        <v>Административные расходы</v>
      </c>
      <c r="B713" s="23" t="s">
        <v>431</v>
      </c>
      <c r="C713" t="s">
        <v>1538</v>
      </c>
      <c r="D713" t="s">
        <v>83</v>
      </c>
    </row>
    <row r="714" spans="1:4" x14ac:dyDescent="0.2">
      <c r="A714" t="str">
        <f t="shared" ca="1" si="11"/>
        <v>Коммерческие расходы</v>
      </c>
      <c r="B714" s="23" t="s">
        <v>432</v>
      </c>
      <c r="C714" t="s">
        <v>1539</v>
      </c>
      <c r="D714" t="s">
        <v>84</v>
      </c>
    </row>
    <row r="715" spans="1:4" x14ac:dyDescent="0.2">
      <c r="A715" t="str">
        <f t="shared" ca="1" si="11"/>
        <v>Налоги, кроме налога на прибыль</v>
      </c>
      <c r="B715" s="23" t="s">
        <v>1939</v>
      </c>
      <c r="C715" t="s">
        <v>1940</v>
      </c>
      <c r="D715" s="48" t="s">
        <v>2640</v>
      </c>
    </row>
    <row r="716" spans="1:4" x14ac:dyDescent="0.2">
      <c r="A716" t="str">
        <f t="shared" ca="1" si="11"/>
        <v>Прибыль (убыток) от операционной деятельности</v>
      </c>
      <c r="B716" s="23" t="s">
        <v>1928</v>
      </c>
      <c r="C716" t="s">
        <v>1724</v>
      </c>
      <c r="D716" s="48" t="s">
        <v>2641</v>
      </c>
    </row>
    <row r="717" spans="1:4" x14ac:dyDescent="0.2">
      <c r="A717" t="str">
        <f t="shared" ca="1" si="11"/>
        <v>Налоги, относимые на финансовые результаты</v>
      </c>
      <c r="B717" s="23" t="s">
        <v>2389</v>
      </c>
      <c r="C717" t="s">
        <v>1725</v>
      </c>
      <c r="D717" t="s">
        <v>63</v>
      </c>
    </row>
    <row r="718" spans="1:4" x14ac:dyDescent="0.2">
      <c r="A718" t="str">
        <f t="shared" ca="1" si="11"/>
        <v>Прибыль / убыток от реализации внеоборотных активов</v>
      </c>
      <c r="B718" s="23" t="s">
        <v>2337</v>
      </c>
      <c r="C718" t="s">
        <v>1726</v>
      </c>
      <c r="D718" t="s">
        <v>64</v>
      </c>
    </row>
    <row r="719" spans="1:4" x14ac:dyDescent="0.2">
      <c r="A719" t="str">
        <f t="shared" ca="1" si="11"/>
        <v>Прибыль / убыток от строительной деятельности</v>
      </c>
      <c r="B719" s="23" t="s">
        <v>2605</v>
      </c>
      <c r="C719" t="s">
        <v>1727</v>
      </c>
      <c r="D719" t="s">
        <v>65</v>
      </c>
    </row>
    <row r="720" spans="1:4" x14ac:dyDescent="0.2">
      <c r="A720" t="str">
        <f t="shared" ca="1" si="11"/>
        <v>Курсовые разницы</v>
      </c>
      <c r="B720" s="23" t="s">
        <v>2300</v>
      </c>
      <c r="C720" t="s">
        <v>1728</v>
      </c>
      <c r="D720" t="s">
        <v>66</v>
      </c>
    </row>
    <row r="721" spans="1:4" x14ac:dyDescent="0.2">
      <c r="A721" t="str">
        <f t="shared" ca="1" si="11"/>
        <v>Прочие доходы</v>
      </c>
      <c r="B721" s="23" t="s">
        <v>2431</v>
      </c>
      <c r="C721" t="s">
        <v>1729</v>
      </c>
      <c r="D721" t="s">
        <v>67</v>
      </c>
    </row>
    <row r="722" spans="1:4" x14ac:dyDescent="0.2">
      <c r="A722" t="str">
        <f t="shared" ca="1" si="11"/>
        <v>Прочие расходы</v>
      </c>
      <c r="B722" s="23" t="s">
        <v>2432</v>
      </c>
      <c r="C722" t="s">
        <v>1730</v>
      </c>
      <c r="D722" t="s">
        <v>68</v>
      </c>
    </row>
    <row r="723" spans="1:4" x14ac:dyDescent="0.2">
      <c r="A723" t="str">
        <f t="shared" ca="1" si="11"/>
        <v>Прибыль до налога, процентов и амортизации (EBITDA)</v>
      </c>
      <c r="B723" s="23" t="s">
        <v>1937</v>
      </c>
      <c r="C723" t="s">
        <v>1461</v>
      </c>
      <c r="D723" t="s">
        <v>69</v>
      </c>
    </row>
    <row r="724" spans="1:4" x14ac:dyDescent="0.2">
      <c r="A724" t="str">
        <f t="shared" ca="1" si="11"/>
        <v xml:space="preserve">    Амортизация</v>
      </c>
      <c r="B724" s="23" t="s">
        <v>1936</v>
      </c>
      <c r="C724" t="s">
        <v>1842</v>
      </c>
      <c r="D724" t="s">
        <v>1870</v>
      </c>
    </row>
    <row r="725" spans="1:4" x14ac:dyDescent="0.2">
      <c r="A725" t="str">
        <f t="shared" ca="1" si="11"/>
        <v>Прибыль до процентов и налога (EBIT)</v>
      </c>
      <c r="B725" s="23" t="s">
        <v>1938</v>
      </c>
      <c r="C725" t="s">
        <v>1462</v>
      </c>
      <c r="D725" t="s">
        <v>70</v>
      </c>
    </row>
    <row r="726" spans="1:4" x14ac:dyDescent="0.2">
      <c r="A726" t="str">
        <f t="shared" ca="1" si="11"/>
        <v>Проценты</v>
      </c>
      <c r="B726" s="23" t="s">
        <v>2384</v>
      </c>
      <c r="C726" t="s">
        <v>1463</v>
      </c>
      <c r="D726" t="s">
        <v>71</v>
      </c>
    </row>
    <row r="727" spans="1:4" x14ac:dyDescent="0.2">
      <c r="A727" t="str">
        <f t="shared" ca="1" si="11"/>
        <v>Прибыль до налогообложения</v>
      </c>
      <c r="B727" s="23" t="s">
        <v>2492</v>
      </c>
      <c r="C727" t="s">
        <v>1464</v>
      </c>
      <c r="D727" t="s">
        <v>72</v>
      </c>
    </row>
    <row r="728" spans="1:4" x14ac:dyDescent="0.2">
      <c r="A728" t="str">
        <f t="shared" ca="1" si="11"/>
        <v>Налог на прибыль</v>
      </c>
      <c r="B728" s="23" t="s">
        <v>2385</v>
      </c>
      <c r="C728" t="s">
        <v>1437</v>
      </c>
      <c r="D728" t="s">
        <v>920</v>
      </c>
    </row>
    <row r="729" spans="1:4" x14ac:dyDescent="0.2">
      <c r="A729" t="str">
        <f t="shared" ca="1" si="11"/>
        <v>Чистая прибыль (убыток)</v>
      </c>
      <c r="B729" s="23" t="s">
        <v>2387</v>
      </c>
      <c r="C729" t="s">
        <v>1465</v>
      </c>
      <c r="D729" t="s">
        <v>73</v>
      </c>
    </row>
    <row r="730" spans="1:4" x14ac:dyDescent="0.2">
      <c r="A730" t="str">
        <f t="shared" ca="1" si="11"/>
        <v>График: Выручка</v>
      </c>
      <c r="B730" t="s">
        <v>1918</v>
      </c>
      <c r="C730" t="s">
        <v>1919</v>
      </c>
      <c r="D730" s="48" t="s">
        <v>2642</v>
      </c>
    </row>
    <row r="731" spans="1:4" x14ac:dyDescent="0.2">
      <c r="A731" t="str">
        <f t="shared" ca="1" si="11"/>
        <v>График: Чистая прибыль</v>
      </c>
      <c r="B731" t="s">
        <v>1920</v>
      </c>
      <c r="C731" t="s">
        <v>1921</v>
      </c>
      <c r="D731" t="s">
        <v>74</v>
      </c>
    </row>
    <row r="732" spans="1:4" x14ac:dyDescent="0.2">
      <c r="A732" t="str">
        <f t="shared" ca="1" si="11"/>
        <v xml:space="preserve">         ПРИЛОЖЕНИЕ К ОТЧЕТУ О ПРИБЫЛЯХ И УБЫТКАХ</v>
      </c>
      <c r="B732" s="16" t="s">
        <v>2430</v>
      </c>
      <c r="C732" s="16" t="s">
        <v>1466</v>
      </c>
      <c r="D732" t="s">
        <v>692</v>
      </c>
    </row>
    <row r="733" spans="1:4" x14ac:dyDescent="0.2">
      <c r="A733" t="str">
        <f t="shared" ca="1" si="11"/>
        <v>Прочие доходы (без НДС)</v>
      </c>
      <c r="B733" s="23" t="s">
        <v>2541</v>
      </c>
      <c r="C733" t="s">
        <v>1740</v>
      </c>
      <c r="D733" t="s">
        <v>75</v>
      </c>
    </row>
    <row r="734" spans="1:4" x14ac:dyDescent="0.2">
      <c r="A734" t="str">
        <f t="shared" ca="1" si="11"/>
        <v xml:space="preserve">   НДС</v>
      </c>
      <c r="B734" s="23" t="s">
        <v>526</v>
      </c>
      <c r="C734" s="23" t="s">
        <v>1741</v>
      </c>
      <c r="D734" t="s">
        <v>1125</v>
      </c>
    </row>
    <row r="735" spans="1:4" x14ac:dyDescent="0.2">
      <c r="A735" t="str">
        <f t="shared" ca="1" si="11"/>
        <v>Прочие расходы (без НДС)</v>
      </c>
      <c r="B735" s="23" t="s">
        <v>2542</v>
      </c>
      <c r="C735" t="s">
        <v>1742</v>
      </c>
      <c r="D735" t="s">
        <v>76</v>
      </c>
    </row>
    <row r="736" spans="1:4" x14ac:dyDescent="0.2">
      <c r="A736" t="str">
        <f t="shared" ca="1" si="11"/>
        <v>Курсовые разницы</v>
      </c>
      <c r="B736" s="23" t="s">
        <v>2300</v>
      </c>
      <c r="C736" t="s">
        <v>1728</v>
      </c>
      <c r="D736" t="s">
        <v>66</v>
      </c>
    </row>
    <row r="737" spans="1:4" x14ac:dyDescent="0.2">
      <c r="A737" t="str">
        <f t="shared" ca="1" si="11"/>
        <v>Дивиденды</v>
      </c>
      <c r="B737" s="23" t="s">
        <v>2378</v>
      </c>
      <c r="C737" t="s">
        <v>1574</v>
      </c>
      <c r="D737" t="s">
        <v>1794</v>
      </c>
    </row>
    <row r="738" spans="1:4" x14ac:dyDescent="0.2">
      <c r="A738" s="23" t="str">
        <f t="shared" ca="1" si="11"/>
        <v>Нераспределенная прибыль (за период)</v>
      </c>
      <c r="B738" s="23" t="s">
        <v>2608</v>
      </c>
      <c r="C738" s="217" t="s">
        <v>1743</v>
      </c>
      <c r="D738" t="s">
        <v>77</v>
      </c>
    </row>
    <row r="739" spans="1:4" x14ac:dyDescent="0.2">
      <c r="A739" s="23" t="str">
        <f t="shared" ca="1" si="11"/>
        <v>Нераспределенная прибыль (на начало периода, нарастающим итогом)</v>
      </c>
      <c r="B739" s="23" t="s">
        <v>2609</v>
      </c>
      <c r="C739" s="217" t="s">
        <v>1744</v>
      </c>
      <c r="D739" t="s">
        <v>78</v>
      </c>
    </row>
    <row r="740" spans="1:4" x14ac:dyDescent="0.2">
      <c r="A740" s="23" t="str">
        <f t="shared" ca="1" si="11"/>
        <v>Нераспределенная прибыль (на конец периода, нарастающим итогом)</v>
      </c>
      <c r="B740" s="23" t="s">
        <v>2610</v>
      </c>
      <c r="C740" s="217" t="s">
        <v>1745</v>
      </c>
      <c r="D740" t="s">
        <v>1985</v>
      </c>
    </row>
    <row r="741" spans="1:4" x14ac:dyDescent="0.2">
      <c r="A741" t="str">
        <f t="shared" ca="1" si="11"/>
        <v xml:space="preserve">         ОТЧЕТ О ДВИЖЕНИИ ДЕНЕЖНЫХ СРЕДСТВ</v>
      </c>
      <c r="B741" s="16" t="s">
        <v>2620</v>
      </c>
      <c r="C741" s="16" t="s">
        <v>1746</v>
      </c>
      <c r="D741" t="s">
        <v>693</v>
      </c>
    </row>
    <row r="742" spans="1:4" x14ac:dyDescent="0.2">
      <c r="A742" t="str">
        <f t="shared" ca="1" si="11"/>
        <v>Поступления от продаж</v>
      </c>
      <c r="B742" t="s">
        <v>2390</v>
      </c>
      <c r="C742" t="s">
        <v>1747</v>
      </c>
      <c r="D742" t="s">
        <v>1986</v>
      </c>
    </row>
    <row r="743" spans="1:4" x14ac:dyDescent="0.2">
      <c r="A743" t="str">
        <f t="shared" ca="1" si="11"/>
        <v>Затраты на материалы и комплектующие</v>
      </c>
      <c r="B743" t="s">
        <v>2391</v>
      </c>
      <c r="C743" t="s">
        <v>1748</v>
      </c>
      <c r="D743" t="s">
        <v>1987</v>
      </c>
    </row>
    <row r="744" spans="1:4" x14ac:dyDescent="0.2">
      <c r="A744" t="str">
        <f t="shared" ca="1" si="11"/>
        <v>Зарплата</v>
      </c>
      <c r="B744" t="s">
        <v>2392</v>
      </c>
      <c r="C744" t="s">
        <v>1749</v>
      </c>
      <c r="D744" t="s">
        <v>1988</v>
      </c>
    </row>
    <row r="745" spans="1:4" x14ac:dyDescent="0.2">
      <c r="A745" t="str">
        <f t="shared" ca="1" si="11"/>
        <v>Общие затраты</v>
      </c>
      <c r="B745" t="s">
        <v>2393</v>
      </c>
      <c r="C745" t="s">
        <v>1750</v>
      </c>
      <c r="D745" t="s">
        <v>1989</v>
      </c>
    </row>
    <row r="746" spans="1:4" x14ac:dyDescent="0.2">
      <c r="A746" t="str">
        <f t="shared" ca="1" si="11"/>
        <v>Налоги</v>
      </c>
      <c r="B746" t="s">
        <v>2394</v>
      </c>
      <c r="C746" t="s">
        <v>1751</v>
      </c>
      <c r="D746" t="s">
        <v>1990</v>
      </c>
    </row>
    <row r="747" spans="1:4" x14ac:dyDescent="0.2">
      <c r="A747" t="str">
        <f t="shared" ca="1" si="11"/>
        <v>Выплата процентов по кредитам</v>
      </c>
      <c r="B747" t="s">
        <v>2395</v>
      </c>
      <c r="C747" t="s">
        <v>1738</v>
      </c>
      <c r="D747" t="s">
        <v>2</v>
      </c>
    </row>
    <row r="748" spans="1:4" x14ac:dyDescent="0.2">
      <c r="A748" t="str">
        <f t="shared" ca="1" si="11"/>
        <v>Прочие поступления</v>
      </c>
      <c r="B748" t="s">
        <v>2396</v>
      </c>
      <c r="C748" t="s">
        <v>1752</v>
      </c>
      <c r="D748" t="s">
        <v>1991</v>
      </c>
    </row>
    <row r="749" spans="1:4" x14ac:dyDescent="0.2">
      <c r="A749" t="str">
        <f t="shared" ca="1" si="11"/>
        <v>Прочие затраты</v>
      </c>
      <c r="B749" t="s">
        <v>2397</v>
      </c>
      <c r="C749" t="s">
        <v>1753</v>
      </c>
      <c r="D749" t="s">
        <v>1992</v>
      </c>
    </row>
    <row r="750" spans="1:4" x14ac:dyDescent="0.2">
      <c r="A750" t="str">
        <f t="shared" ca="1" si="11"/>
        <v>Денежные потоки от операционной деятельности</v>
      </c>
      <c r="B750" t="s">
        <v>2398</v>
      </c>
      <c r="C750" t="s">
        <v>1754</v>
      </c>
      <c r="D750" t="s">
        <v>1993</v>
      </c>
    </row>
    <row r="751" spans="1:4" x14ac:dyDescent="0.2">
      <c r="A751" t="str">
        <f t="shared" ca="1" si="11"/>
        <v>Выручка от реализации активов</v>
      </c>
      <c r="B751" t="s">
        <v>2399</v>
      </c>
      <c r="C751" t="s">
        <v>1755</v>
      </c>
      <c r="D751" t="s">
        <v>1994</v>
      </c>
    </row>
    <row r="752" spans="1:4" x14ac:dyDescent="0.2">
      <c r="A752" t="str">
        <f t="shared" ca="1" si="11"/>
        <v>Денежные потоки от инвестиционной деятельности</v>
      </c>
      <c r="B752" t="s">
        <v>2400</v>
      </c>
      <c r="C752" t="s">
        <v>1756</v>
      </c>
      <c r="D752" t="s">
        <v>2000</v>
      </c>
    </row>
    <row r="753" spans="1:4" x14ac:dyDescent="0.2">
      <c r="A753" t="str">
        <f t="shared" ca="1" si="11"/>
        <v>Поступления собственного капитала</v>
      </c>
      <c r="B753" t="s">
        <v>2239</v>
      </c>
      <c r="C753" t="s">
        <v>1757</v>
      </c>
      <c r="D753" t="s">
        <v>2001</v>
      </c>
    </row>
    <row r="754" spans="1:4" x14ac:dyDescent="0.2">
      <c r="A754" t="str">
        <f t="shared" ca="1" si="11"/>
        <v>Целевое финансирование</v>
      </c>
      <c r="B754" t="s">
        <v>2016</v>
      </c>
      <c r="C754" t="s">
        <v>603</v>
      </c>
      <c r="D754" t="s">
        <v>1004</v>
      </c>
    </row>
    <row r="755" spans="1:4" x14ac:dyDescent="0.2">
      <c r="A755" t="str">
        <f t="shared" ca="1" si="11"/>
        <v>Поступления кредитов</v>
      </c>
      <c r="B755" t="s">
        <v>2401</v>
      </c>
      <c r="C755" s="217" t="s">
        <v>1758</v>
      </c>
      <c r="D755" t="s">
        <v>2002</v>
      </c>
    </row>
    <row r="756" spans="1:4" x14ac:dyDescent="0.2">
      <c r="A756" t="str">
        <f t="shared" ca="1" si="11"/>
        <v>Возврат кредитов</v>
      </c>
      <c r="B756" t="s">
        <v>2380</v>
      </c>
      <c r="C756" s="217" t="s">
        <v>1576</v>
      </c>
      <c r="D756" t="s">
        <v>1871</v>
      </c>
    </row>
    <row r="757" spans="1:4" x14ac:dyDescent="0.2">
      <c r="A757" t="str">
        <f t="shared" ca="1" si="11"/>
        <v>Лизинговые платежи</v>
      </c>
      <c r="B757" t="s">
        <v>2379</v>
      </c>
      <c r="C757" t="s">
        <v>1575</v>
      </c>
      <c r="D757" t="s">
        <v>1872</v>
      </c>
    </row>
    <row r="758" spans="1:4" x14ac:dyDescent="0.2">
      <c r="A758" t="str">
        <f t="shared" ca="1" si="11"/>
        <v>Выплата дивидендов</v>
      </c>
      <c r="B758" t="s">
        <v>2402</v>
      </c>
      <c r="C758" t="s">
        <v>1759</v>
      </c>
      <c r="D758" t="s">
        <v>1873</v>
      </c>
    </row>
    <row r="759" spans="1:4" x14ac:dyDescent="0.2">
      <c r="A759" t="str">
        <f t="shared" ca="1" si="11"/>
        <v>Денежные потоки от финансовой деятельности</v>
      </c>
      <c r="B759" t="s">
        <v>573</v>
      </c>
      <c r="C759" s="217" t="s">
        <v>1760</v>
      </c>
      <c r="D759" t="s">
        <v>1874</v>
      </c>
    </row>
    <row r="760" spans="1:4" x14ac:dyDescent="0.2">
      <c r="A760" t="str">
        <f t="shared" ca="1" si="11"/>
        <v>Суммарный денежный поток за период</v>
      </c>
      <c r="B760" t="s">
        <v>574</v>
      </c>
      <c r="C760" s="217" t="s">
        <v>1761</v>
      </c>
      <c r="D760" t="s">
        <v>1875</v>
      </c>
    </row>
    <row r="761" spans="1:4" x14ac:dyDescent="0.2">
      <c r="A761" t="str">
        <f t="shared" ca="1" si="11"/>
        <v>Денежные средства на начало периода</v>
      </c>
      <c r="B761" t="s">
        <v>2338</v>
      </c>
      <c r="C761" s="217" t="s">
        <v>1762</v>
      </c>
      <c r="D761" t="s">
        <v>1876</v>
      </c>
    </row>
    <row r="762" spans="1:4" x14ac:dyDescent="0.2">
      <c r="A762" t="str">
        <f t="shared" ca="1" si="11"/>
        <v>Денежные средства на конец периода</v>
      </c>
      <c r="B762" t="s">
        <v>2238</v>
      </c>
      <c r="C762" s="217" t="s">
        <v>1763</v>
      </c>
      <c r="D762" t="s">
        <v>1877</v>
      </c>
    </row>
    <row r="763" spans="1:4" x14ac:dyDescent="0.2">
      <c r="A763" t="str">
        <f t="shared" ca="1" si="11"/>
        <v>График: Движение денежных средств</v>
      </c>
      <c r="B763" t="s">
        <v>2520</v>
      </c>
      <c r="C763" s="217" t="s">
        <v>1764</v>
      </c>
      <c r="D763" t="s">
        <v>1878</v>
      </c>
    </row>
    <row r="764" spans="1:4" x14ac:dyDescent="0.2">
      <c r="A764" t="str">
        <f t="shared" ca="1" si="11"/>
        <v>График: Остаток денежных средств</v>
      </c>
      <c r="B764" t="s">
        <v>2521</v>
      </c>
      <c r="C764" s="217" t="s">
        <v>1765</v>
      </c>
      <c r="D764" t="s">
        <v>1879</v>
      </c>
    </row>
    <row r="765" spans="1:4" x14ac:dyDescent="0.2">
      <c r="A765" t="str">
        <f t="shared" ca="1" si="11"/>
        <v xml:space="preserve">         БАЛАНС</v>
      </c>
      <c r="B765" s="16" t="s">
        <v>2580</v>
      </c>
      <c r="C765" s="16" t="s">
        <v>1766</v>
      </c>
      <c r="D765" t="s">
        <v>694</v>
      </c>
    </row>
    <row r="766" spans="1:4" x14ac:dyDescent="0.2">
      <c r="A766" t="str">
        <f t="shared" ca="1" si="11"/>
        <v>Денежные средства</v>
      </c>
      <c r="B766" t="s">
        <v>2092</v>
      </c>
      <c r="C766" s="217" t="s">
        <v>599</v>
      </c>
      <c r="D766" t="s">
        <v>1880</v>
      </c>
    </row>
    <row r="767" spans="1:4" x14ac:dyDescent="0.2">
      <c r="A767" t="str">
        <f t="shared" ca="1" si="11"/>
        <v>Дебиторская задолженность</v>
      </c>
      <c r="B767" t="s">
        <v>2240</v>
      </c>
      <c r="C767" s="217" t="s">
        <v>1339</v>
      </c>
      <c r="D767" t="s">
        <v>995</v>
      </c>
    </row>
    <row r="768" spans="1:4" x14ac:dyDescent="0.2">
      <c r="A768" t="str">
        <f t="shared" ca="1" si="11"/>
        <v>Авансы уплаченные</v>
      </c>
      <c r="B768" t="s">
        <v>2241</v>
      </c>
      <c r="C768" s="217" t="s">
        <v>1714</v>
      </c>
      <c r="D768" t="s">
        <v>1451</v>
      </c>
    </row>
    <row r="769" spans="1:4" x14ac:dyDescent="0.2">
      <c r="A769" t="str">
        <f t="shared" ca="1" si="11"/>
        <v>Готовая продукция</v>
      </c>
      <c r="B769" t="s">
        <v>2242</v>
      </c>
      <c r="C769" s="217" t="s">
        <v>593</v>
      </c>
      <c r="D769" t="s">
        <v>994</v>
      </c>
    </row>
    <row r="770" spans="1:4" x14ac:dyDescent="0.2">
      <c r="A770" t="str">
        <f t="shared" ca="1" si="11"/>
        <v>Незавершенное производство</v>
      </c>
      <c r="B770" t="s">
        <v>343</v>
      </c>
      <c r="C770" s="217" t="s">
        <v>592</v>
      </c>
      <c r="D770" t="s">
        <v>993</v>
      </c>
    </row>
    <row r="771" spans="1:4" x14ac:dyDescent="0.2">
      <c r="A771" t="str">
        <f t="shared" ca="1" si="11"/>
        <v>Материалы и комплектующие</v>
      </c>
      <c r="B771" t="s">
        <v>2243</v>
      </c>
      <c r="C771" s="217" t="s">
        <v>591</v>
      </c>
      <c r="D771" t="s">
        <v>992</v>
      </c>
    </row>
    <row r="772" spans="1:4" x14ac:dyDescent="0.2">
      <c r="A772" t="str">
        <f t="shared" ca="1" si="11"/>
        <v>НДС на приобретенные товары</v>
      </c>
      <c r="B772" t="s">
        <v>2244</v>
      </c>
      <c r="C772" s="217" t="s">
        <v>758</v>
      </c>
      <c r="D772" t="s">
        <v>1881</v>
      </c>
    </row>
    <row r="773" spans="1:4" x14ac:dyDescent="0.2">
      <c r="A773" t="str">
        <f t="shared" ca="1" si="11"/>
        <v>Расходы будущих периодов</v>
      </c>
      <c r="B773" t="s">
        <v>184</v>
      </c>
      <c r="C773" s="217" t="s">
        <v>596</v>
      </c>
      <c r="D773" t="s">
        <v>1624</v>
      </c>
    </row>
    <row r="774" spans="1:4" x14ac:dyDescent="0.2">
      <c r="A774" t="str">
        <f t="shared" ca="1" si="11"/>
        <v>Прочие оборотные активы</v>
      </c>
      <c r="B774" t="s">
        <v>2245</v>
      </c>
      <c r="C774" s="217" t="s">
        <v>1767</v>
      </c>
      <c r="D774" t="s">
        <v>1882</v>
      </c>
    </row>
    <row r="775" spans="1:4" x14ac:dyDescent="0.2">
      <c r="A775" t="str">
        <f t="shared" ca="1" si="11"/>
        <v>Суммарные оборотные активы</v>
      </c>
      <c r="B775" t="s">
        <v>2246</v>
      </c>
      <c r="C775" s="217" t="s">
        <v>1146</v>
      </c>
      <c r="D775" t="s">
        <v>1214</v>
      </c>
    </row>
    <row r="776" spans="1:4" x14ac:dyDescent="0.2">
      <c r="A776" t="str">
        <f t="shared" ca="1" si="11"/>
        <v>Внеоборотные активы</v>
      </c>
      <c r="B776" t="s">
        <v>2155</v>
      </c>
      <c r="C776" s="217" t="s">
        <v>746</v>
      </c>
      <c r="D776" t="s">
        <v>984</v>
      </c>
    </row>
    <row r="777" spans="1:4" x14ac:dyDescent="0.2">
      <c r="A777" t="str">
        <f t="shared" ca="1" si="11"/>
        <v xml:space="preserve">    земельные участки</v>
      </c>
      <c r="B777" t="s">
        <v>424</v>
      </c>
      <c r="C777" t="s">
        <v>1768</v>
      </c>
      <c r="D777" t="s">
        <v>1883</v>
      </c>
    </row>
    <row r="778" spans="1:4" x14ac:dyDescent="0.2">
      <c r="A778" t="str">
        <f t="shared" ca="1" si="11"/>
        <v xml:space="preserve">    здания и сооружения</v>
      </c>
      <c r="B778" t="s">
        <v>2247</v>
      </c>
      <c r="C778" t="s">
        <v>1769</v>
      </c>
      <c r="D778" t="s">
        <v>1884</v>
      </c>
    </row>
    <row r="779" spans="1:4" x14ac:dyDescent="0.2">
      <c r="A779" t="str">
        <f t="shared" ca="1" si="11"/>
        <v xml:space="preserve">    нематериальные активы</v>
      </c>
      <c r="B779" t="s">
        <v>425</v>
      </c>
      <c r="C779" t="s">
        <v>1770</v>
      </c>
      <c r="D779" t="s">
        <v>1885</v>
      </c>
    </row>
    <row r="780" spans="1:4" x14ac:dyDescent="0.2">
      <c r="A780" t="str">
        <f t="shared" ca="1" si="11"/>
        <v xml:space="preserve">    оборудование и прочие активы</v>
      </c>
      <c r="B780" t="s">
        <v>2248</v>
      </c>
      <c r="C780" t="s">
        <v>1771</v>
      </c>
      <c r="D780" t="s">
        <v>1886</v>
      </c>
    </row>
    <row r="781" spans="1:4" x14ac:dyDescent="0.2">
      <c r="A781" t="str">
        <f t="shared" ca="1" si="11"/>
        <v>Финансовые вложения</v>
      </c>
      <c r="B781" t="s">
        <v>428</v>
      </c>
      <c r="C781" t="s">
        <v>1367</v>
      </c>
      <c r="D781" t="s">
        <v>1625</v>
      </c>
    </row>
    <row r="782" spans="1:4" x14ac:dyDescent="0.2">
      <c r="A782" t="str">
        <f t="shared" ca="1" si="11"/>
        <v>Незавершенные капиталовложения</v>
      </c>
      <c r="B782" t="s">
        <v>2249</v>
      </c>
      <c r="C782" s="217" t="s">
        <v>1292</v>
      </c>
      <c r="D782" t="s">
        <v>990</v>
      </c>
    </row>
    <row r="783" spans="1:4" x14ac:dyDescent="0.2">
      <c r="A783" t="str">
        <f t="shared" ca="1" si="11"/>
        <v>Суммарные внеоборотные активы</v>
      </c>
      <c r="B783" t="s">
        <v>2250</v>
      </c>
      <c r="C783" s="217" t="s">
        <v>1772</v>
      </c>
      <c r="D783" t="s">
        <v>1887</v>
      </c>
    </row>
    <row r="784" spans="1:4" x14ac:dyDescent="0.2">
      <c r="A784" t="str">
        <f t="shared" ca="1" si="11"/>
        <v xml:space="preserve"> = ИТОГО АКТИВОВ</v>
      </c>
      <c r="B784" t="s">
        <v>2251</v>
      </c>
      <c r="C784" s="217" t="s">
        <v>1773</v>
      </c>
      <c r="D784" t="s">
        <v>100</v>
      </c>
    </row>
    <row r="785" spans="1:4" x14ac:dyDescent="0.2">
      <c r="A785" t="str">
        <f t="shared" ca="1" si="11"/>
        <v>Кредиторская задолженность</v>
      </c>
      <c r="B785" t="s">
        <v>2252</v>
      </c>
      <c r="C785" s="217" t="s">
        <v>1713</v>
      </c>
      <c r="D785" t="s">
        <v>1449</v>
      </c>
    </row>
    <row r="786" spans="1:4" x14ac:dyDescent="0.2">
      <c r="A786" t="str">
        <f t="shared" ca="1" si="11"/>
        <v xml:space="preserve">    за поставленные товары</v>
      </c>
      <c r="B786" t="s">
        <v>2253</v>
      </c>
      <c r="C786" s="217" t="s">
        <v>1774</v>
      </c>
      <c r="D786" t="s">
        <v>101</v>
      </c>
    </row>
    <row r="787" spans="1:4" x14ac:dyDescent="0.2">
      <c r="A787" t="str">
        <f t="shared" ca="1" si="11"/>
        <v xml:space="preserve">    за внеоборотные активы</v>
      </c>
      <c r="B787" t="s">
        <v>426</v>
      </c>
      <c r="C787" s="217" t="s">
        <v>1775</v>
      </c>
      <c r="D787" t="s">
        <v>102</v>
      </c>
    </row>
    <row r="788" spans="1:4" x14ac:dyDescent="0.2">
      <c r="A788" t="str">
        <f t="shared" ca="1" si="11"/>
        <v>Расчеты с бюджетом</v>
      </c>
      <c r="B788" t="s">
        <v>2254</v>
      </c>
      <c r="C788" s="217" t="s">
        <v>1776</v>
      </c>
      <c r="D788" t="s">
        <v>103</v>
      </c>
    </row>
    <row r="789" spans="1:4" x14ac:dyDescent="0.2">
      <c r="A789" t="str">
        <f t="shared" ca="1" si="11"/>
        <v>Расчеты с персоналом</v>
      </c>
      <c r="B789" t="s">
        <v>2255</v>
      </c>
      <c r="C789" s="217" t="s">
        <v>1140</v>
      </c>
      <c r="D789" t="s">
        <v>1458</v>
      </c>
    </row>
    <row r="790" spans="1:4" x14ac:dyDescent="0.2">
      <c r="A790" t="str">
        <f t="shared" ca="1" si="11"/>
        <v>Авансы покупателей</v>
      </c>
      <c r="B790" t="s">
        <v>2256</v>
      </c>
      <c r="C790" s="217" t="s">
        <v>608</v>
      </c>
      <c r="D790" t="s">
        <v>1443</v>
      </c>
    </row>
    <row r="791" spans="1:4" x14ac:dyDescent="0.2">
      <c r="A791" t="str">
        <f t="shared" ca="1" si="11"/>
        <v>Краткосрочные кредиты</v>
      </c>
      <c r="B791" t="s">
        <v>2257</v>
      </c>
      <c r="C791" s="217" t="s">
        <v>1777</v>
      </c>
      <c r="D791" t="s">
        <v>104</v>
      </c>
    </row>
    <row r="792" spans="1:4" x14ac:dyDescent="0.2">
      <c r="A792" t="str">
        <f t="shared" ca="1" si="11"/>
        <v>Прочие краткосрочные обязательства</v>
      </c>
      <c r="B792" t="s">
        <v>2258</v>
      </c>
      <c r="C792" s="217" t="s">
        <v>1778</v>
      </c>
      <c r="D792" t="s">
        <v>105</v>
      </c>
    </row>
    <row r="793" spans="1:4" x14ac:dyDescent="0.2">
      <c r="A793" t="str">
        <f t="shared" ref="A793:A966" ca="1" si="12">OFFSET(A793,0,LanguageID)</f>
        <v>Суммарные краткосрочные обязательства</v>
      </c>
      <c r="B793" t="s">
        <v>2405</v>
      </c>
      <c r="C793" s="217" t="s">
        <v>1488</v>
      </c>
      <c r="D793" t="s">
        <v>1215</v>
      </c>
    </row>
    <row r="794" spans="1:4" x14ac:dyDescent="0.2">
      <c r="A794" t="str">
        <f t="shared" ca="1" si="12"/>
        <v>Долгосрочные обязательства</v>
      </c>
      <c r="B794" t="s">
        <v>2406</v>
      </c>
      <c r="C794" s="217" t="s">
        <v>1489</v>
      </c>
      <c r="D794" t="s">
        <v>106</v>
      </c>
    </row>
    <row r="795" spans="1:4" x14ac:dyDescent="0.2">
      <c r="A795" t="str">
        <f t="shared" ca="1" si="12"/>
        <v>Средства собственников</v>
      </c>
      <c r="B795" t="s">
        <v>512</v>
      </c>
      <c r="C795" s="217" t="s">
        <v>1799</v>
      </c>
      <c r="D795" t="s">
        <v>107</v>
      </c>
    </row>
    <row r="796" spans="1:4" x14ac:dyDescent="0.2">
      <c r="A796" t="str">
        <f t="shared" ca="1" si="12"/>
        <v>Нераспределенная прибыль</v>
      </c>
      <c r="B796" t="s">
        <v>2388</v>
      </c>
      <c r="C796" s="217" t="s">
        <v>1800</v>
      </c>
      <c r="D796" t="s">
        <v>108</v>
      </c>
    </row>
    <row r="797" spans="1:4" x14ac:dyDescent="0.2">
      <c r="A797" t="str">
        <f t="shared" ca="1" si="12"/>
        <v>Прочие источники финансирования</v>
      </c>
      <c r="B797" t="s">
        <v>2407</v>
      </c>
      <c r="C797" s="217" t="s">
        <v>1801</v>
      </c>
      <c r="D797" t="s">
        <v>109</v>
      </c>
    </row>
    <row r="798" spans="1:4" x14ac:dyDescent="0.2">
      <c r="A798" t="str">
        <f t="shared" ca="1" si="12"/>
        <v>Суммарный собственный капитал</v>
      </c>
      <c r="B798" t="s">
        <v>2408</v>
      </c>
      <c r="C798" s="217" t="s">
        <v>1802</v>
      </c>
      <c r="D798" t="s">
        <v>110</v>
      </c>
    </row>
    <row r="799" spans="1:4" x14ac:dyDescent="0.2">
      <c r="A799" t="str">
        <f t="shared" ca="1" si="12"/>
        <v xml:space="preserve"> = ИТОГО ПАССИВОВ</v>
      </c>
      <c r="B799" t="s">
        <v>422</v>
      </c>
      <c r="C799" s="217" t="s">
        <v>1803</v>
      </c>
      <c r="D799" t="s">
        <v>111</v>
      </c>
    </row>
    <row r="800" spans="1:4" x14ac:dyDescent="0.2">
      <c r="A800" t="str">
        <f t="shared" ca="1" si="12"/>
        <v>Контроль сходимости баланса</v>
      </c>
      <c r="B800" t="s">
        <v>423</v>
      </c>
      <c r="C800" s="217" t="s">
        <v>611</v>
      </c>
      <c r="D800" t="s">
        <v>112</v>
      </c>
    </row>
    <row r="801" spans="1:4" x14ac:dyDescent="0.2">
      <c r="A801" t="str">
        <f t="shared" ca="1" si="12"/>
        <v>Внимание! Баланс не сходится!</v>
      </c>
      <c r="B801" t="s">
        <v>578</v>
      </c>
      <c r="C801" s="217" t="s">
        <v>1804</v>
      </c>
      <c r="D801" t="s">
        <v>113</v>
      </c>
    </row>
    <row r="802" spans="1:4" x14ac:dyDescent="0.2">
      <c r="A802" t="str">
        <f t="shared" ca="1" si="12"/>
        <v>График: Активы проекта</v>
      </c>
      <c r="B802" t="s">
        <v>2522</v>
      </c>
      <c r="C802" s="217" t="s">
        <v>1805</v>
      </c>
      <c r="D802" t="s">
        <v>114</v>
      </c>
    </row>
    <row r="803" spans="1:4" x14ac:dyDescent="0.2">
      <c r="A803" t="str">
        <f t="shared" ca="1" si="12"/>
        <v>График: Пассивы проекта</v>
      </c>
      <c r="B803" t="s">
        <v>2523</v>
      </c>
      <c r="C803" s="217" t="s">
        <v>1806</v>
      </c>
      <c r="D803" t="s">
        <v>115</v>
      </c>
    </row>
    <row r="804" spans="1:4" x14ac:dyDescent="0.2">
      <c r="A804" t="str">
        <f t="shared" ca="1" si="12"/>
        <v xml:space="preserve">         ПОКАЗАТЕЛИ ФИНАНСОВОЙ СОСТОЯТЕЛЬНОСТИ</v>
      </c>
      <c r="B804" s="16" t="s">
        <v>2581</v>
      </c>
      <c r="C804" s="16" t="s">
        <v>1807</v>
      </c>
      <c r="D804" t="s">
        <v>695</v>
      </c>
    </row>
    <row r="805" spans="1:4" x14ac:dyDescent="0.2">
      <c r="A805" t="str">
        <f t="shared" ca="1" si="12"/>
        <v>Рентабельность активов</v>
      </c>
      <c r="B805" t="s">
        <v>2359</v>
      </c>
      <c r="C805" s="217" t="s">
        <v>1808</v>
      </c>
      <c r="D805" t="s">
        <v>116</v>
      </c>
    </row>
    <row r="806" spans="1:4" x14ac:dyDescent="0.2">
      <c r="A806" t="str">
        <f t="shared" ca="1" si="12"/>
        <v>Рентабельность собственного капитала</v>
      </c>
      <c r="B806" t="s">
        <v>2360</v>
      </c>
      <c r="C806" s="217" t="s">
        <v>1809</v>
      </c>
      <c r="D806" t="s">
        <v>117</v>
      </c>
    </row>
    <row r="807" spans="1:4" x14ac:dyDescent="0.2">
      <c r="A807" t="str">
        <f t="shared" ca="1" si="12"/>
        <v>Рентабельность внеоборотных активов</v>
      </c>
      <c r="B807" t="s">
        <v>567</v>
      </c>
      <c r="C807" s="217" t="s">
        <v>1810</v>
      </c>
      <c r="D807" t="s">
        <v>118</v>
      </c>
    </row>
    <row r="808" spans="1:4" x14ac:dyDescent="0.2">
      <c r="A808" t="str">
        <f t="shared" ca="1" si="12"/>
        <v>Прямые расходы к выручке от реализации</v>
      </c>
      <c r="B808" t="s">
        <v>2486</v>
      </c>
      <c r="C808" s="217" t="s">
        <v>1811</v>
      </c>
      <c r="D808" t="s">
        <v>119</v>
      </c>
    </row>
    <row r="809" spans="1:4" x14ac:dyDescent="0.2">
      <c r="A809" t="str">
        <f t="shared" ca="1" si="12"/>
        <v>Прибыльность продаж</v>
      </c>
      <c r="B809" t="s">
        <v>556</v>
      </c>
      <c r="C809" s="217" t="s">
        <v>1812</v>
      </c>
      <c r="D809" t="s">
        <v>120</v>
      </c>
    </row>
    <row r="810" spans="1:4" x14ac:dyDescent="0.2">
      <c r="A810" t="str">
        <f t="shared" ca="1" si="12"/>
        <v>Доля постоянных  затрат</v>
      </c>
      <c r="B810" s="119" t="s">
        <v>557</v>
      </c>
      <c r="C810" s="219" t="s">
        <v>1813</v>
      </c>
      <c r="D810" t="s">
        <v>121</v>
      </c>
    </row>
    <row r="811" spans="1:4" x14ac:dyDescent="0.2">
      <c r="A811" t="str">
        <f t="shared" ca="1" si="12"/>
        <v>Точка безубыточности</v>
      </c>
      <c r="B811" t="s">
        <v>558</v>
      </c>
      <c r="C811" s="219" t="s">
        <v>1814</v>
      </c>
      <c r="D811" t="s">
        <v>122</v>
      </c>
    </row>
    <row r="812" spans="1:4" x14ac:dyDescent="0.2">
      <c r="A812" t="str">
        <f t="shared" ca="1" si="12"/>
        <v>"Запас прочности"</v>
      </c>
      <c r="B812" t="s">
        <v>559</v>
      </c>
      <c r="C812" s="219" t="s">
        <v>1815</v>
      </c>
      <c r="D812" t="s">
        <v>123</v>
      </c>
    </row>
    <row r="813" spans="1:4" x14ac:dyDescent="0.2">
      <c r="A813" t="str">
        <f t="shared" ca="1" si="12"/>
        <v>Рентабельность по EBITDA</v>
      </c>
      <c r="B813" t="s">
        <v>2487</v>
      </c>
      <c r="C813" s="220" t="s">
        <v>1816</v>
      </c>
      <c r="D813" t="s">
        <v>124</v>
      </c>
    </row>
    <row r="814" spans="1:4" x14ac:dyDescent="0.2">
      <c r="A814" t="str">
        <f t="shared" ca="1" si="12"/>
        <v>Рентабельность по EBIT</v>
      </c>
      <c r="B814" t="s">
        <v>2488</v>
      </c>
      <c r="C814" s="220" t="s">
        <v>1817</v>
      </c>
      <c r="D814" t="s">
        <v>125</v>
      </c>
    </row>
    <row r="815" spans="1:4" x14ac:dyDescent="0.2">
      <c r="A815" t="str">
        <f t="shared" ca="1" si="12"/>
        <v xml:space="preserve">Рентабельность по чистой прибыли </v>
      </c>
      <c r="B815" t="s">
        <v>560</v>
      </c>
      <c r="C815" s="217" t="s">
        <v>1818</v>
      </c>
      <c r="D815" t="s">
        <v>126</v>
      </c>
    </row>
    <row r="816" spans="1:4" x14ac:dyDescent="0.2">
      <c r="A816" t="str">
        <f t="shared" ca="1" si="12"/>
        <v>Эффективная ставка налога на прибыль</v>
      </c>
      <c r="B816" t="s">
        <v>2588</v>
      </c>
      <c r="C816" s="220" t="s">
        <v>1819</v>
      </c>
      <c r="D816" t="s">
        <v>127</v>
      </c>
    </row>
    <row r="817" spans="1:4" x14ac:dyDescent="0.2">
      <c r="A817" t="str">
        <f t="shared" ca="1" si="12"/>
        <v>Коэффициент общей ликвидности</v>
      </c>
      <c r="B817" t="s">
        <v>561</v>
      </c>
      <c r="C817" t="s">
        <v>1820</v>
      </c>
      <c r="D817" t="s">
        <v>128</v>
      </c>
    </row>
    <row r="818" spans="1:4" x14ac:dyDescent="0.2">
      <c r="A818" t="str">
        <f t="shared" ca="1" si="12"/>
        <v>Чистый оборотный капитал</v>
      </c>
      <c r="B818" t="s">
        <v>562</v>
      </c>
      <c r="C818" t="s">
        <v>1148</v>
      </c>
      <c r="D818" t="s">
        <v>129</v>
      </c>
    </row>
    <row r="819" spans="1:4" x14ac:dyDescent="0.2">
      <c r="A819" t="str">
        <f t="shared" ca="1" si="12"/>
        <v>Коэффициент общей платежеспособности</v>
      </c>
      <c r="B819" t="s">
        <v>563</v>
      </c>
      <c r="C819" t="s">
        <v>1821</v>
      </c>
      <c r="D819" t="s">
        <v>130</v>
      </c>
    </row>
    <row r="820" spans="1:4" x14ac:dyDescent="0.2">
      <c r="A820" t="str">
        <f t="shared" ca="1" si="12"/>
        <v>Коэффициент автономии</v>
      </c>
      <c r="B820" t="s">
        <v>564</v>
      </c>
      <c r="C820" t="s">
        <v>1822</v>
      </c>
      <c r="D820" t="s">
        <v>131</v>
      </c>
    </row>
    <row r="821" spans="1:4" x14ac:dyDescent="0.2">
      <c r="A821" t="str">
        <f t="shared" ca="1" si="12"/>
        <v>Доля долгосрочных кредитов в валюте баланса</v>
      </c>
      <c r="B821" t="s">
        <v>565</v>
      </c>
      <c r="C821" t="s">
        <v>1823</v>
      </c>
      <c r="D821" t="s">
        <v>2041</v>
      </c>
    </row>
    <row r="822" spans="1:4" x14ac:dyDescent="0.2">
      <c r="A822" t="str">
        <f t="shared" ca="1" si="12"/>
        <v>Общий коэффициент покрытия долга</v>
      </c>
      <c r="B822" t="s">
        <v>2363</v>
      </c>
      <c r="C822" t="s">
        <v>1605</v>
      </c>
      <c r="D822" t="s">
        <v>19</v>
      </c>
    </row>
    <row r="823" spans="1:4" x14ac:dyDescent="0.2">
      <c r="A823" t="str">
        <f t="shared" ca="1" si="12"/>
        <v>Покрытие процентов по кредитам</v>
      </c>
      <c r="B823" t="s">
        <v>566</v>
      </c>
      <c r="C823" t="s">
        <v>132</v>
      </c>
      <c r="D823" t="s">
        <v>2042</v>
      </c>
    </row>
    <row r="824" spans="1:4" x14ac:dyDescent="0.2">
      <c r="A824" t="str">
        <f t="shared" ca="1" si="12"/>
        <v>График: Рентабельность активов</v>
      </c>
      <c r="B824" t="s">
        <v>2489</v>
      </c>
      <c r="C824" t="s">
        <v>133</v>
      </c>
      <c r="D824" t="s">
        <v>2043</v>
      </c>
    </row>
    <row r="825" spans="1:4" x14ac:dyDescent="0.2">
      <c r="A825" t="str">
        <f t="shared" ca="1" si="12"/>
        <v>График: Прибыльность продаж</v>
      </c>
      <c r="B825" t="s">
        <v>2490</v>
      </c>
      <c r="C825" s="217" t="s">
        <v>134</v>
      </c>
      <c r="D825" t="s">
        <v>2044</v>
      </c>
    </row>
    <row r="826" spans="1:4" x14ac:dyDescent="0.2">
      <c r="A826" t="str">
        <f t="shared" ca="1" si="12"/>
        <v>График: Рентабельность по EBITDA</v>
      </c>
      <c r="B826" t="s">
        <v>2491</v>
      </c>
      <c r="C826" s="220" t="s">
        <v>135</v>
      </c>
      <c r="D826" t="s">
        <v>2045</v>
      </c>
    </row>
    <row r="827" spans="1:4" x14ac:dyDescent="0.2">
      <c r="A827" t="str">
        <f t="shared" ca="1" si="12"/>
        <v xml:space="preserve">         ЭФФЕКТИВНОСТЬ ПОЛНЫХ ИНВЕСТИЦИОННЫХ ЗАТРАТ</v>
      </c>
      <c r="B827" s="16" t="s">
        <v>2584</v>
      </c>
      <c r="C827" s="16" t="s">
        <v>136</v>
      </c>
      <c r="D827" t="s">
        <v>696</v>
      </c>
    </row>
    <row r="828" spans="1:4" x14ac:dyDescent="0.2">
      <c r="A828" t="str">
        <f t="shared" ca="1" si="12"/>
        <v>Да</v>
      </c>
      <c r="B828" t="s">
        <v>2152</v>
      </c>
      <c r="C828" t="s">
        <v>736</v>
      </c>
      <c r="D828" t="s">
        <v>975</v>
      </c>
    </row>
    <row r="829" spans="1:4" x14ac:dyDescent="0.2">
      <c r="A829" t="str">
        <f t="shared" ca="1" si="12"/>
        <v>Нет</v>
      </c>
      <c r="B829" t="s">
        <v>2153</v>
      </c>
      <c r="C829" t="s">
        <v>737</v>
      </c>
      <c r="D829" t="s">
        <v>976</v>
      </c>
    </row>
    <row r="830" spans="1:4" x14ac:dyDescent="0.2">
      <c r="A830" t="str">
        <f t="shared" ca="1" si="12"/>
        <v>года</v>
      </c>
      <c r="B830" t="s">
        <v>2524</v>
      </c>
      <c r="C830" t="s">
        <v>1165</v>
      </c>
      <c r="D830" t="s">
        <v>2046</v>
      </c>
    </row>
    <row r="831" spans="1:4" x14ac:dyDescent="0.2">
      <c r="A831" t="str">
        <f t="shared" ca="1" si="12"/>
        <v>(реальная - без учета инфляции)</v>
      </c>
      <c r="B831" s="74" t="s">
        <v>2525</v>
      </c>
      <c r="C831" t="s">
        <v>137</v>
      </c>
      <c r="D831" t="s">
        <v>2047</v>
      </c>
    </row>
    <row r="832" spans="1:4" x14ac:dyDescent="0.2">
      <c r="A832" t="str">
        <f t="shared" ca="1" si="12"/>
        <v>(номинальная - с учетом инфляции)</v>
      </c>
      <c r="B832" s="74" t="s">
        <v>2526</v>
      </c>
      <c r="C832" t="s">
        <v>138</v>
      </c>
      <c r="D832" t="s">
        <v>2048</v>
      </c>
    </row>
    <row r="833" spans="1:4" x14ac:dyDescent="0.2">
      <c r="A833" t="str">
        <f t="shared" ca="1" si="12"/>
        <v>Учитывать ранее осуществленные инвестиции</v>
      </c>
      <c r="B833" s="128" t="s">
        <v>2327</v>
      </c>
      <c r="C833" t="s">
        <v>139</v>
      </c>
      <c r="D833" t="s">
        <v>2049</v>
      </c>
    </row>
    <row r="834" spans="1:4" x14ac:dyDescent="0.2">
      <c r="A834" t="str">
        <f t="shared" ca="1" si="12"/>
        <v>Учитывать остаточную стоимость проекта</v>
      </c>
      <c r="B834" s="128" t="s">
        <v>2301</v>
      </c>
      <c r="C834" t="s">
        <v>140</v>
      </c>
      <c r="D834" t="s">
        <v>2050</v>
      </c>
    </row>
    <row r="835" spans="1:4" x14ac:dyDescent="0.2">
      <c r="A835" t="str">
        <f t="shared" ca="1" si="12"/>
        <v>Валюта расчетов:</v>
      </c>
      <c r="B835" s="128" t="s">
        <v>2302</v>
      </c>
      <c r="C835" t="s">
        <v>141</v>
      </c>
      <c r="D835" t="s">
        <v>2051</v>
      </c>
    </row>
    <row r="836" spans="1:4" x14ac:dyDescent="0.2">
      <c r="A836" t="str">
        <f t="shared" ca="1" si="12"/>
        <v>Годовая ставка дисконтирования:</v>
      </c>
      <c r="B836" s="128" t="s">
        <v>2303</v>
      </c>
      <c r="C836" t="s">
        <v>142</v>
      </c>
      <c r="D836" t="s">
        <v>2052</v>
      </c>
    </row>
    <row r="837" spans="1:4" x14ac:dyDescent="0.2">
      <c r="A837" t="str">
        <f t="shared" ca="1" si="12"/>
        <v xml:space="preserve">    ставка дисконтирования на расчетный период</v>
      </c>
      <c r="B837" s="128" t="s">
        <v>2304</v>
      </c>
      <c r="C837" t="s">
        <v>143</v>
      </c>
      <c r="D837" t="s">
        <v>2053</v>
      </c>
    </row>
    <row r="838" spans="1:4" x14ac:dyDescent="0.2">
      <c r="A838" t="str">
        <f t="shared" ca="1" si="12"/>
        <v xml:space="preserve">    коэффициент дисконта для потока на начало периода</v>
      </c>
      <c r="B838" s="128" t="s">
        <v>669</v>
      </c>
      <c r="C838" t="s">
        <v>144</v>
      </c>
      <c r="D838" t="s">
        <v>2054</v>
      </c>
    </row>
    <row r="839" spans="1:4" x14ac:dyDescent="0.2">
      <c r="A839" t="str">
        <f t="shared" ca="1" si="12"/>
        <v xml:space="preserve">    коэффициент дисконта для потока на конец периода</v>
      </c>
      <c r="B839" s="128" t="s">
        <v>668</v>
      </c>
      <c r="C839" t="s">
        <v>145</v>
      </c>
      <c r="D839" t="s">
        <v>2055</v>
      </c>
    </row>
    <row r="840" spans="1:4" x14ac:dyDescent="0.2">
      <c r="A840" t="str">
        <f t="shared" ca="1" si="12"/>
        <v>Учитываемые денежные потоки проекта:</v>
      </c>
      <c r="B840" s="128" t="s">
        <v>2306</v>
      </c>
      <c r="C840" t="s">
        <v>146</v>
      </c>
      <c r="D840" t="s">
        <v>2056</v>
      </c>
    </row>
    <row r="841" spans="1:4" x14ac:dyDescent="0.2">
      <c r="A841" t="str">
        <f t="shared" ca="1" si="12"/>
        <v>Денежные потоки от операционной деятельности</v>
      </c>
      <c r="B841" s="128" t="s">
        <v>2398</v>
      </c>
      <c r="C841" t="s">
        <v>1754</v>
      </c>
      <c r="D841" t="s">
        <v>2057</v>
      </c>
    </row>
    <row r="842" spans="1:4" x14ac:dyDescent="0.2">
      <c r="A842" t="str">
        <f t="shared" ca="1" si="12"/>
        <v xml:space="preserve">    за исключением процентов по кредитам</v>
      </c>
      <c r="B842" s="128" t="s">
        <v>2307</v>
      </c>
      <c r="C842" t="s">
        <v>147</v>
      </c>
      <c r="D842" t="s">
        <v>2058</v>
      </c>
    </row>
    <row r="843" spans="1:4" x14ac:dyDescent="0.2">
      <c r="A843" t="str">
        <f t="shared" ca="1" si="12"/>
        <v>Денежные потоки от инвестиционной деятельности</v>
      </c>
      <c r="B843" s="128" t="s">
        <v>2400</v>
      </c>
      <c r="C843" t="s">
        <v>1756</v>
      </c>
      <c r="D843" t="s">
        <v>2000</v>
      </c>
    </row>
    <row r="844" spans="1:4" x14ac:dyDescent="0.2">
      <c r="A844" t="str">
        <f t="shared" ca="1" si="12"/>
        <v>Поступления собственного капитала</v>
      </c>
      <c r="B844" s="128" t="s">
        <v>2239</v>
      </c>
      <c r="C844" t="s">
        <v>1757</v>
      </c>
      <c r="D844" t="s">
        <v>2001</v>
      </c>
    </row>
    <row r="845" spans="1:4" x14ac:dyDescent="0.2">
      <c r="A845" t="str">
        <f t="shared" ca="1" si="12"/>
        <v>Поступления целевого финансирования</v>
      </c>
      <c r="B845" s="128" t="s">
        <v>2308</v>
      </c>
      <c r="C845" t="s">
        <v>603</v>
      </c>
      <c r="D845" t="s">
        <v>1004</v>
      </c>
    </row>
    <row r="846" spans="1:4" x14ac:dyDescent="0.2">
      <c r="A846" t="str">
        <f t="shared" ca="1" si="12"/>
        <v>Поступления кредитов</v>
      </c>
      <c r="B846" s="128" t="s">
        <v>2401</v>
      </c>
      <c r="C846" s="217" t="s">
        <v>1758</v>
      </c>
      <c r="D846" t="s">
        <v>2002</v>
      </c>
    </row>
    <row r="847" spans="1:4" x14ac:dyDescent="0.2">
      <c r="A847" t="str">
        <f t="shared" ca="1" si="12"/>
        <v>Возврат кредитов</v>
      </c>
      <c r="B847" s="128" t="s">
        <v>2380</v>
      </c>
      <c r="C847" s="217" t="s">
        <v>1576</v>
      </c>
      <c r="D847" t="s">
        <v>1871</v>
      </c>
    </row>
    <row r="848" spans="1:4" x14ac:dyDescent="0.2">
      <c r="A848" t="str">
        <f t="shared" ca="1" si="12"/>
        <v>Лизинговые платежи</v>
      </c>
      <c r="B848" s="128" t="s">
        <v>2379</v>
      </c>
      <c r="C848" t="s">
        <v>1575</v>
      </c>
      <c r="D848" t="s">
        <v>1872</v>
      </c>
    </row>
    <row r="849" spans="1:4" x14ac:dyDescent="0.2">
      <c r="A849" t="str">
        <f t="shared" ca="1" si="12"/>
        <v>Выплата дивидендов</v>
      </c>
      <c r="B849" s="128" t="s">
        <v>2402</v>
      </c>
      <c r="C849" t="s">
        <v>1759</v>
      </c>
      <c r="D849" t="s">
        <v>1873</v>
      </c>
    </row>
    <row r="850" spans="1:4" x14ac:dyDescent="0.2">
      <c r="A850" t="str">
        <f t="shared" ca="1" si="12"/>
        <v>Ранее осуществленные инвестиции</v>
      </c>
      <c r="B850" s="128" t="s">
        <v>2309</v>
      </c>
      <c r="C850" t="s">
        <v>690</v>
      </c>
      <c r="D850" t="s">
        <v>2059</v>
      </c>
    </row>
    <row r="851" spans="1:4" ht="12" customHeight="1" x14ac:dyDescent="0.2">
      <c r="A851" t="str">
        <f t="shared" ca="1" si="12"/>
        <v>Остаточная стоимость проекта</v>
      </c>
      <c r="B851" s="128" t="s">
        <v>2310</v>
      </c>
      <c r="C851" t="s">
        <v>148</v>
      </c>
      <c r="D851" t="s">
        <v>2060</v>
      </c>
    </row>
    <row r="852" spans="1:4" x14ac:dyDescent="0.2">
      <c r="A852" t="str">
        <f t="shared" ca="1" si="12"/>
        <v>Чистый денежный поток</v>
      </c>
      <c r="B852" s="128" t="s">
        <v>2311</v>
      </c>
      <c r="C852" t="s">
        <v>149</v>
      </c>
      <c r="D852" t="s">
        <v>2061</v>
      </c>
    </row>
    <row r="853" spans="1:4" x14ac:dyDescent="0.2">
      <c r="A853" t="str">
        <f t="shared" ca="1" si="12"/>
        <v>Дисконтированный чистый денежный поток</v>
      </c>
      <c r="B853" s="128" t="s">
        <v>2312</v>
      </c>
      <c r="C853" t="s">
        <v>150</v>
      </c>
      <c r="D853" t="s">
        <v>2062</v>
      </c>
    </row>
    <row r="854" spans="1:4" x14ac:dyDescent="0.2">
      <c r="A854" t="str">
        <f t="shared" ca="1" si="12"/>
        <v>Дисконтированный поток нарастающим итогом</v>
      </c>
      <c r="B854" s="128" t="s">
        <v>2313</v>
      </c>
      <c r="C854" t="s">
        <v>151</v>
      </c>
      <c r="D854" t="s">
        <v>2063</v>
      </c>
    </row>
    <row r="855" spans="1:4" x14ac:dyDescent="0.2">
      <c r="A855" t="str">
        <f t="shared" ca="1" si="12"/>
        <v>Простой срок окупаемости</v>
      </c>
      <c r="B855" s="128" t="s">
        <v>2314</v>
      </c>
      <c r="C855" t="s">
        <v>152</v>
      </c>
      <c r="D855" t="s">
        <v>2064</v>
      </c>
    </row>
    <row r="856" spans="1:4" x14ac:dyDescent="0.2">
      <c r="A856" t="str">
        <f t="shared" ca="1" si="12"/>
        <v xml:space="preserve">    недисконтированный поток нарастающим итогом</v>
      </c>
      <c r="B856" s="128" t="s">
        <v>2315</v>
      </c>
      <c r="C856" t="s">
        <v>153</v>
      </c>
      <c r="D856" t="s">
        <v>2065</v>
      </c>
    </row>
    <row r="857" spans="1:4" x14ac:dyDescent="0.2">
      <c r="A857" t="str">
        <f t="shared" ca="1" si="12"/>
        <v xml:space="preserve">    знак остатка денежных средств</v>
      </c>
      <c r="B857" s="128" t="s">
        <v>2316</v>
      </c>
      <c r="C857" t="s">
        <v>154</v>
      </c>
      <c r="D857" t="s">
        <v>2066</v>
      </c>
    </row>
    <row r="858" spans="1:4" x14ac:dyDescent="0.2">
      <c r="A858" t="str">
        <f t="shared" ca="1" si="12"/>
        <v xml:space="preserve">    знак остатка денежных средств (с конца)</v>
      </c>
      <c r="B858" s="128" t="s">
        <v>2317</v>
      </c>
      <c r="C858" t="s">
        <v>154</v>
      </c>
      <c r="D858" t="s">
        <v>2067</v>
      </c>
    </row>
    <row r="859" spans="1:4" x14ac:dyDescent="0.2">
      <c r="A859" t="str">
        <f t="shared" ca="1" si="12"/>
        <v>Чистая приведенная стоимость (NPV)</v>
      </c>
      <c r="B859" s="128" t="s">
        <v>2318</v>
      </c>
      <c r="C859" t="s">
        <v>155</v>
      </c>
      <c r="D859" t="s">
        <v>2068</v>
      </c>
    </row>
    <row r="860" spans="1:4" x14ac:dyDescent="0.2">
      <c r="A860" t="str">
        <f t="shared" ca="1" si="12"/>
        <v>Дисконтированный срок окупаемости (PBP)</v>
      </c>
      <c r="B860" s="128" t="s">
        <v>2319</v>
      </c>
      <c r="C860" t="s">
        <v>156</v>
      </c>
      <c r="D860" t="s">
        <v>2069</v>
      </c>
    </row>
    <row r="861" spans="1:4" x14ac:dyDescent="0.2">
      <c r="A861" t="str">
        <f t="shared" ca="1" si="12"/>
        <v xml:space="preserve">    знак остатка дисконтированных денежных средств</v>
      </c>
      <c r="B861" s="128" t="s">
        <v>2320</v>
      </c>
      <c r="C861" t="s">
        <v>157</v>
      </c>
      <c r="D861" t="s">
        <v>2070</v>
      </c>
    </row>
    <row r="862" spans="1:4" x14ac:dyDescent="0.2">
      <c r="A862" t="str">
        <f t="shared" ca="1" si="12"/>
        <v xml:space="preserve">    знак остатка дисконтированных денежных средств (с конца)</v>
      </c>
      <c r="B862" s="128" t="s">
        <v>2321</v>
      </c>
      <c r="C862" t="s">
        <v>157</v>
      </c>
      <c r="D862" t="s">
        <v>2071</v>
      </c>
    </row>
    <row r="863" spans="1:4" x14ac:dyDescent="0.2">
      <c r="A863" t="str">
        <f t="shared" ca="1" si="12"/>
        <v>Внутренняя норма рентабельности (IRR)</v>
      </c>
      <c r="B863" s="128" t="s">
        <v>2322</v>
      </c>
      <c r="C863" t="s">
        <v>158</v>
      </c>
      <c r="D863" t="s">
        <v>2072</v>
      </c>
    </row>
    <row r="864" spans="1:4" x14ac:dyDescent="0.2">
      <c r="A864" t="str">
        <f t="shared" ca="1" si="12"/>
        <v>Норма доходности дисконтированных затрат (PI)</v>
      </c>
      <c r="B864" s="128" t="s">
        <v>2527</v>
      </c>
      <c r="C864" t="s">
        <v>159</v>
      </c>
      <c r="D864" t="s">
        <v>2073</v>
      </c>
    </row>
    <row r="865" spans="1:4" x14ac:dyDescent="0.2">
      <c r="A865" t="str">
        <f t="shared" ca="1" si="12"/>
        <v xml:space="preserve">    притоки</v>
      </c>
      <c r="B865" s="128" t="s">
        <v>2528</v>
      </c>
      <c r="C865" t="s">
        <v>160</v>
      </c>
      <c r="D865" t="s">
        <v>2074</v>
      </c>
    </row>
    <row r="866" spans="1:4" x14ac:dyDescent="0.2">
      <c r="A866" t="str">
        <f t="shared" ca="1" si="12"/>
        <v xml:space="preserve">    дисконтированные притоки</v>
      </c>
      <c r="B866" s="128" t="s">
        <v>2529</v>
      </c>
      <c r="C866" t="s">
        <v>161</v>
      </c>
      <c r="D866" t="s">
        <v>2075</v>
      </c>
    </row>
    <row r="867" spans="1:4" x14ac:dyDescent="0.2">
      <c r="A867" t="str">
        <f t="shared" ca="1" si="12"/>
        <v xml:space="preserve">    оттоки</v>
      </c>
      <c r="B867" s="128" t="s">
        <v>2530</v>
      </c>
      <c r="C867" t="s">
        <v>2436</v>
      </c>
      <c r="D867" t="s">
        <v>2076</v>
      </c>
    </row>
    <row r="868" spans="1:4" x14ac:dyDescent="0.2">
      <c r="A868" t="str">
        <f t="shared" ca="1" si="12"/>
        <v xml:space="preserve">    дисконтированные оттоки</v>
      </c>
      <c r="B868" s="128" t="s">
        <v>2531</v>
      </c>
      <c r="C868" t="s">
        <v>2437</v>
      </c>
      <c r="D868" t="s">
        <v>2077</v>
      </c>
    </row>
    <row r="869" spans="1:4" x14ac:dyDescent="0.2">
      <c r="A869" t="str">
        <f t="shared" ca="1" si="12"/>
        <v>Модифицированная IRR (MIRR)</v>
      </c>
      <c r="B869" s="128" t="s">
        <v>2323</v>
      </c>
      <c r="C869" t="s">
        <v>162</v>
      </c>
      <c r="D869" t="s">
        <v>2078</v>
      </c>
    </row>
    <row r="870" spans="1:4" x14ac:dyDescent="0.2">
      <c r="A870" t="str">
        <f t="shared" ca="1" si="12"/>
        <v>Ставка реинвестирования доходов</v>
      </c>
      <c r="B870" s="128" t="s">
        <v>2324</v>
      </c>
      <c r="C870" s="48" t="s">
        <v>163</v>
      </c>
      <c r="D870" t="s">
        <v>2079</v>
      </c>
    </row>
    <row r="871" spans="1:4" x14ac:dyDescent="0.2">
      <c r="A871" t="str">
        <f t="shared" ca="1" si="12"/>
        <v>Ставка дисконтирования инвестиционных затрат</v>
      </c>
      <c r="B871" s="128" t="s">
        <v>2326</v>
      </c>
      <c r="C871" t="s">
        <v>164</v>
      </c>
      <c r="D871" t="s">
        <v>2080</v>
      </c>
    </row>
    <row r="872" spans="1:4" x14ac:dyDescent="0.2">
      <c r="A872" t="str">
        <f t="shared" ca="1" si="12"/>
        <v>График: Окупаемость проекта (для полных инвестиционных затрат)</v>
      </c>
      <c r="B872" s="74" t="s">
        <v>620</v>
      </c>
      <c r="C872" t="s">
        <v>165</v>
      </c>
      <c r="D872" t="s">
        <v>2081</v>
      </c>
    </row>
    <row r="873" spans="1:4" x14ac:dyDescent="0.2">
      <c r="A873" t="str">
        <f t="shared" ca="1" si="12"/>
        <v xml:space="preserve">         ЭФФЕКТИВНОСТЬ ДЛЯ СОБСТВЕННОГО КАПИТАЛА</v>
      </c>
      <c r="B873" s="16" t="s">
        <v>2585</v>
      </c>
      <c r="C873" t="s">
        <v>166</v>
      </c>
      <c r="D873" t="s">
        <v>697</v>
      </c>
    </row>
    <row r="874" spans="1:4" x14ac:dyDescent="0.2">
      <c r="A874" t="str">
        <f t="shared" ca="1" si="12"/>
        <v>График: Окупаемость проекта (для собственного капитала)</v>
      </c>
      <c r="B874" s="16" t="s">
        <v>621</v>
      </c>
      <c r="C874" t="s">
        <v>167</v>
      </c>
      <c r="D874" t="s">
        <v>2082</v>
      </c>
    </row>
    <row r="875" spans="1:4" x14ac:dyDescent="0.2">
      <c r="A875" t="str">
        <f t="shared" ca="1" si="12"/>
        <v xml:space="preserve">         ЭФФЕКТИВНОСТЬ ДЛЯ БАНКА</v>
      </c>
      <c r="B875" s="16" t="s">
        <v>2586</v>
      </c>
      <c r="C875" t="s">
        <v>1941</v>
      </c>
      <c r="D875" t="s">
        <v>698</v>
      </c>
    </row>
    <row r="876" spans="1:4" x14ac:dyDescent="0.2">
      <c r="A876" t="str">
        <f t="shared" ca="1" si="12"/>
        <v>График: Окупаемость проекта (для банка)</v>
      </c>
      <c r="B876" s="16" t="s">
        <v>622</v>
      </c>
      <c r="C876" t="s">
        <v>1942</v>
      </c>
      <c r="D876" t="s">
        <v>1958</v>
      </c>
    </row>
    <row r="877" spans="1:4" x14ac:dyDescent="0.2">
      <c r="A877" t="str">
        <f t="shared" ca="1" si="12"/>
        <v xml:space="preserve">         ОЦЕНКА БИЗНЕСА</v>
      </c>
      <c r="B877" s="16" t="s">
        <v>2587</v>
      </c>
      <c r="C877" t="s">
        <v>1943</v>
      </c>
      <c r="D877" t="s">
        <v>699</v>
      </c>
    </row>
    <row r="878" spans="1:4" x14ac:dyDescent="0.2">
      <c r="A878" t="str">
        <f t="shared" ca="1" si="12"/>
        <v xml:space="preserve">    коэффициент дисконта на середину периода</v>
      </c>
      <c r="B878" t="s">
        <v>2611</v>
      </c>
      <c r="C878" t="s">
        <v>1944</v>
      </c>
      <c r="D878" t="s">
        <v>1959</v>
      </c>
    </row>
    <row r="879" spans="1:4" x14ac:dyDescent="0.2">
      <c r="A879" t="str">
        <f t="shared" ca="1" si="12"/>
        <v>Долгосрочные темпы роста в постпрогнозный период</v>
      </c>
      <c r="B879" s="23" t="s">
        <v>625</v>
      </c>
      <c r="C879" t="s">
        <v>1945</v>
      </c>
      <c r="D879" t="s">
        <v>1960</v>
      </c>
    </row>
    <row r="880" spans="1:4" ht="12.75" customHeight="1" x14ac:dyDescent="0.2">
      <c r="A880" t="str">
        <f t="shared" ca="1" si="12"/>
        <v xml:space="preserve">    в пересчете на период, равный шагу проекта</v>
      </c>
      <c r="B880" s="23" t="s">
        <v>2328</v>
      </c>
      <c r="C880" t="s">
        <v>1946</v>
      </c>
      <c r="D880" t="s">
        <v>1961</v>
      </c>
    </row>
    <row r="881" spans="1:4" x14ac:dyDescent="0.2">
      <c r="A881" t="str">
        <f t="shared" ca="1" si="12"/>
        <v>Денежный поток для собственного капитала</v>
      </c>
      <c r="B881" s="23" t="s">
        <v>624</v>
      </c>
      <c r="C881" t="s">
        <v>1947</v>
      </c>
      <c r="D881" t="s">
        <v>1962</v>
      </c>
    </row>
    <row r="882" spans="1:4" x14ac:dyDescent="0.2">
      <c r="A882" t="str">
        <f t="shared" ca="1" si="12"/>
        <v>Чистая прибыль</v>
      </c>
      <c r="B882" s="23" t="s">
        <v>626</v>
      </c>
      <c r="C882" t="s">
        <v>1948</v>
      </c>
      <c r="D882" t="s">
        <v>1963</v>
      </c>
    </row>
    <row r="883" spans="1:4" x14ac:dyDescent="0.2">
      <c r="A883" t="str">
        <f t="shared" ca="1" si="12"/>
        <v>Амортизация</v>
      </c>
      <c r="B883" s="23" t="s">
        <v>2222</v>
      </c>
      <c r="C883" t="s">
        <v>1842</v>
      </c>
      <c r="D883" t="s">
        <v>1870</v>
      </c>
    </row>
    <row r="884" spans="1:4" x14ac:dyDescent="0.2">
      <c r="A884" t="str">
        <f t="shared" ca="1" si="12"/>
        <v>Изменение чистого оборотного капитала</v>
      </c>
      <c r="B884" s="23" t="s">
        <v>568</v>
      </c>
      <c r="C884" t="s">
        <v>1149</v>
      </c>
      <c r="D884" t="s">
        <v>1217</v>
      </c>
    </row>
    <row r="885" spans="1:4" x14ac:dyDescent="0.2">
      <c r="A885" t="str">
        <f t="shared" ca="1" si="12"/>
        <v>Инвестиции</v>
      </c>
      <c r="B885" s="23" t="s">
        <v>627</v>
      </c>
      <c r="C885" t="s">
        <v>1949</v>
      </c>
      <c r="D885" t="s">
        <v>1467</v>
      </c>
    </row>
    <row r="886" spans="1:4" x14ac:dyDescent="0.2">
      <c r="A886" t="str">
        <f t="shared" ca="1" si="12"/>
        <v>Изменение долгосрочной задолженности</v>
      </c>
      <c r="B886" s="23" t="s">
        <v>628</v>
      </c>
      <c r="C886" t="s">
        <v>1950</v>
      </c>
      <c r="D886" t="s">
        <v>1964</v>
      </c>
    </row>
    <row r="887" spans="1:4" x14ac:dyDescent="0.2">
      <c r="A887" t="str">
        <f t="shared" ca="1" si="12"/>
        <v>Дисконтированный денежный поток</v>
      </c>
      <c r="B887" s="23" t="s">
        <v>670</v>
      </c>
      <c r="C887" t="s">
        <v>1951</v>
      </c>
      <c r="D887" t="s">
        <v>1965</v>
      </c>
    </row>
    <row r="888" spans="1:4" x14ac:dyDescent="0.2">
      <c r="A888" t="str">
        <f t="shared" ca="1" si="12"/>
        <v>Продленная стоимость проекта</v>
      </c>
      <c r="B888" s="23" t="s">
        <v>671</v>
      </c>
      <c r="C888" t="s">
        <v>1952</v>
      </c>
      <c r="D888" t="s">
        <v>1966</v>
      </c>
    </row>
    <row r="889" spans="1:4" x14ac:dyDescent="0.2">
      <c r="A889" t="str">
        <f t="shared" ca="1" si="12"/>
        <v>Посленалоговая операционная прибыль (NOPLAT)</v>
      </c>
      <c r="B889" s="23" t="s">
        <v>674</v>
      </c>
      <c r="C889" t="s">
        <v>32</v>
      </c>
      <c r="D889" t="s">
        <v>1967</v>
      </c>
    </row>
    <row r="890" spans="1:4" x14ac:dyDescent="0.2">
      <c r="A890" t="str">
        <f t="shared" ca="1" si="12"/>
        <v>Дисконтированная продленная стоимость</v>
      </c>
      <c r="B890" s="23" t="s">
        <v>672</v>
      </c>
      <c r="C890" t="s">
        <v>33</v>
      </c>
      <c r="D890" t="s">
        <v>1968</v>
      </c>
    </row>
    <row r="891" spans="1:4" x14ac:dyDescent="0.2">
      <c r="A891" t="str">
        <f t="shared" ca="1" si="12"/>
        <v>Итого стоимость бизнеса</v>
      </c>
      <c r="B891" s="23" t="s">
        <v>673</v>
      </c>
      <c r="C891" t="s">
        <v>34</v>
      </c>
      <c r="D891" t="s">
        <v>1969</v>
      </c>
    </row>
    <row r="892" spans="1:4" x14ac:dyDescent="0.2">
      <c r="A892" t="str">
        <f t="shared" ca="1" si="12"/>
        <v xml:space="preserve">         БЮДЖЕТНАЯ ЭФФЕКТИВНОСТЬ</v>
      </c>
      <c r="B892" s="16" t="s">
        <v>2428</v>
      </c>
      <c r="C892" t="s">
        <v>35</v>
      </c>
      <c r="D892" t="s">
        <v>700</v>
      </c>
    </row>
    <row r="893" spans="1:4" x14ac:dyDescent="0.2">
      <c r="A893" t="str">
        <f t="shared" ca="1" si="12"/>
        <v>федеральный</v>
      </c>
      <c r="B893" t="s">
        <v>631</v>
      </c>
      <c r="C893" t="s">
        <v>36</v>
      </c>
      <c r="D893" t="s">
        <v>1970</v>
      </c>
    </row>
    <row r="894" spans="1:4" x14ac:dyDescent="0.2">
      <c r="A894" t="str">
        <f t="shared" ca="1" si="12"/>
        <v>территории</v>
      </c>
      <c r="B894" t="s">
        <v>632</v>
      </c>
      <c r="C894" t="s">
        <v>37</v>
      </c>
      <c r="D894" t="s">
        <v>1971</v>
      </c>
    </row>
    <row r="895" spans="1:4" x14ac:dyDescent="0.2">
      <c r="A895" t="str">
        <f t="shared" ca="1" si="12"/>
        <v>Доли налоговых поступлений в бюджеты разных уровней</v>
      </c>
      <c r="B895" s="23" t="s">
        <v>630</v>
      </c>
      <c r="C895" s="217" t="s">
        <v>38</v>
      </c>
      <c r="D895" t="s">
        <v>1972</v>
      </c>
    </row>
    <row r="896" spans="1:4" x14ac:dyDescent="0.2">
      <c r="A896" t="str">
        <f t="shared" ca="1" si="12"/>
        <v>Налог на добавленную стоимость</v>
      </c>
      <c r="B896" s="23" t="s">
        <v>633</v>
      </c>
      <c r="C896" s="217" t="s">
        <v>39</v>
      </c>
      <c r="D896" t="s">
        <v>1453</v>
      </c>
    </row>
    <row r="897" spans="1:4" x14ac:dyDescent="0.2">
      <c r="A897" t="str">
        <f t="shared" ca="1" si="12"/>
        <v>Налог на прибыль</v>
      </c>
      <c r="B897" s="23" t="s">
        <v>2385</v>
      </c>
      <c r="C897" s="217" t="s">
        <v>1437</v>
      </c>
      <c r="D897" t="s">
        <v>920</v>
      </c>
    </row>
    <row r="898" spans="1:4" x14ac:dyDescent="0.2">
      <c r="A898" t="str">
        <f t="shared" ca="1" si="12"/>
        <v xml:space="preserve">Начисления на заработную плату </v>
      </c>
      <c r="B898" s="23" t="s">
        <v>634</v>
      </c>
      <c r="C898" s="217" t="s">
        <v>772</v>
      </c>
      <c r="D898" t="s">
        <v>1973</v>
      </c>
    </row>
    <row r="899" spans="1:4" x14ac:dyDescent="0.2">
      <c r="A899" t="str">
        <f t="shared" ca="1" si="12"/>
        <v>Акцизы и экспортные пошлины</v>
      </c>
      <c r="B899" s="23" t="s">
        <v>2283</v>
      </c>
      <c r="C899" s="217" t="s">
        <v>906</v>
      </c>
      <c r="D899" t="s">
        <v>923</v>
      </c>
    </row>
    <row r="900" spans="1:4" x14ac:dyDescent="0.2">
      <c r="A900" t="str">
        <f t="shared" ca="1" si="12"/>
        <v>Импортная пошлина</v>
      </c>
      <c r="B900" s="23" t="s">
        <v>635</v>
      </c>
      <c r="C900" s="217" t="s">
        <v>907</v>
      </c>
      <c r="D900" t="s">
        <v>924</v>
      </c>
    </row>
    <row r="901" spans="1:4" x14ac:dyDescent="0.2">
      <c r="A901" t="str">
        <f t="shared" ca="1" si="12"/>
        <v>Подоходный налог</v>
      </c>
      <c r="B901" s="23" t="s">
        <v>636</v>
      </c>
      <c r="C901" s="217" t="s">
        <v>40</v>
      </c>
      <c r="D901" t="s">
        <v>1974</v>
      </c>
    </row>
    <row r="902" spans="1:4" x14ac:dyDescent="0.2">
      <c r="A902" t="str">
        <f t="shared" ca="1" si="12"/>
        <v>Земельный налог</v>
      </c>
      <c r="B902" s="23" t="s">
        <v>482</v>
      </c>
      <c r="C902" s="217" t="s">
        <v>778</v>
      </c>
      <c r="D902" t="s">
        <v>954</v>
      </c>
    </row>
    <row r="903" spans="1:4" x14ac:dyDescent="0.2">
      <c r="A903" t="str">
        <f t="shared" ca="1" si="12"/>
        <v>Налог на имущество</v>
      </c>
      <c r="B903" s="23" t="s">
        <v>488</v>
      </c>
      <c r="C903" s="217" t="s">
        <v>789</v>
      </c>
      <c r="D903" t="s">
        <v>1975</v>
      </c>
    </row>
    <row r="904" spans="1:4" x14ac:dyDescent="0.2">
      <c r="A904" t="str">
        <f t="shared" ca="1" si="12"/>
        <v>Единый налог на вмененный доход</v>
      </c>
      <c r="B904" s="23" t="s">
        <v>823</v>
      </c>
      <c r="C904" s="217" t="s">
        <v>41</v>
      </c>
      <c r="D904" t="s">
        <v>1976</v>
      </c>
    </row>
    <row r="905" spans="1:4" x14ac:dyDescent="0.2">
      <c r="A905" t="str">
        <f t="shared" ca="1" si="12"/>
        <v>Упрощенная система налогообложения</v>
      </c>
      <c r="B905" s="23" t="s">
        <v>824</v>
      </c>
      <c r="C905" s="217" t="s">
        <v>42</v>
      </c>
      <c r="D905" t="s">
        <v>1319</v>
      </c>
    </row>
    <row r="906" spans="1:4" x14ac:dyDescent="0.2">
      <c r="A906" t="str">
        <f t="shared" ca="1" si="12"/>
        <v>Ставка налога на доходы физических лиц</v>
      </c>
      <c r="B906" s="23" t="s">
        <v>637</v>
      </c>
      <c r="C906" s="217" t="s">
        <v>43</v>
      </c>
      <c r="D906" t="s">
        <v>1977</v>
      </c>
    </row>
    <row r="907" spans="1:4" x14ac:dyDescent="0.2">
      <c r="A907" t="str">
        <f t="shared" ca="1" si="12"/>
        <v>Налоговые поступления в федеральный бюджет</v>
      </c>
      <c r="B907" s="23" t="s">
        <v>638</v>
      </c>
      <c r="C907" s="217" t="s">
        <v>44</v>
      </c>
      <c r="D907" t="s">
        <v>1978</v>
      </c>
    </row>
    <row r="908" spans="1:4" x14ac:dyDescent="0.2">
      <c r="A908" t="str">
        <f t="shared" ca="1" si="12"/>
        <v>Налоговые поступления в территориальный бюджет</v>
      </c>
      <c r="B908" s="23" t="s">
        <v>639</v>
      </c>
      <c r="C908" s="217" t="s">
        <v>45</v>
      </c>
      <c r="D908" t="s">
        <v>1979</v>
      </c>
    </row>
    <row r="909" spans="1:4" x14ac:dyDescent="0.2">
      <c r="A909" t="str">
        <f t="shared" ca="1" si="12"/>
        <v>Бюджетное финансирование</v>
      </c>
      <c r="B909" s="23" t="s">
        <v>640</v>
      </c>
      <c r="C909" s="217" t="s">
        <v>46</v>
      </c>
      <c r="D909" t="s">
        <v>1980</v>
      </c>
    </row>
    <row r="910" spans="1:4" x14ac:dyDescent="0.2">
      <c r="A910" t="str">
        <f t="shared" ca="1" si="12"/>
        <v>Федеральный бюджет</v>
      </c>
      <c r="B910" s="11" t="s">
        <v>641</v>
      </c>
      <c r="C910" s="221" t="s">
        <v>47</v>
      </c>
      <c r="D910" t="s">
        <v>1981</v>
      </c>
    </row>
    <row r="911" spans="1:4" x14ac:dyDescent="0.2">
      <c r="A911" t="str">
        <f t="shared" ca="1" si="12"/>
        <v xml:space="preserve">    целевое финансирование</v>
      </c>
      <c r="B911" s="116" t="s">
        <v>642</v>
      </c>
      <c r="C911" s="217" t="s">
        <v>48</v>
      </c>
      <c r="D911" t="s">
        <v>1982</v>
      </c>
    </row>
    <row r="912" spans="1:4" x14ac:dyDescent="0.2">
      <c r="A912" t="str">
        <f t="shared" ca="1" si="12"/>
        <v xml:space="preserve">    кредиты выданные</v>
      </c>
      <c r="B912" s="116" t="s">
        <v>643</v>
      </c>
      <c r="C912" s="217" t="s">
        <v>49</v>
      </c>
      <c r="D912" t="s">
        <v>1983</v>
      </c>
    </row>
    <row r="913" spans="1:4" x14ac:dyDescent="0.2">
      <c r="A913" t="str">
        <f t="shared" ca="1" si="12"/>
        <v xml:space="preserve">    возврат кредитов</v>
      </c>
      <c r="B913" s="116" t="s">
        <v>817</v>
      </c>
      <c r="C913" s="217" t="s">
        <v>50</v>
      </c>
      <c r="D913" t="s">
        <v>1984</v>
      </c>
    </row>
    <row r="914" spans="1:4" x14ac:dyDescent="0.2">
      <c r="A914" t="str">
        <f t="shared" ca="1" si="12"/>
        <v xml:space="preserve">    проценты по выданным кредитам</v>
      </c>
      <c r="B914" s="116" t="s">
        <v>818</v>
      </c>
      <c r="C914" s="217" t="s">
        <v>51</v>
      </c>
      <c r="D914" t="s">
        <v>219</v>
      </c>
    </row>
    <row r="915" spans="1:4" x14ac:dyDescent="0.2">
      <c r="A915" t="str">
        <f t="shared" ca="1" si="12"/>
        <v>Территориальный бюджет</v>
      </c>
      <c r="B915" s="181" t="s">
        <v>819</v>
      </c>
      <c r="C915" s="221" t="s">
        <v>52</v>
      </c>
      <c r="D915" t="s">
        <v>220</v>
      </c>
    </row>
    <row r="916" spans="1:4" x14ac:dyDescent="0.2">
      <c r="A916" t="str">
        <f t="shared" ca="1" si="12"/>
        <v>Доходы бюджетов</v>
      </c>
      <c r="B916" s="208" t="s">
        <v>820</v>
      </c>
      <c r="C916" s="217" t="s">
        <v>38</v>
      </c>
      <c r="D916" t="s">
        <v>218</v>
      </c>
    </row>
    <row r="917" spans="1:4" x14ac:dyDescent="0.2">
      <c r="A917" t="str">
        <f t="shared" ca="1" si="12"/>
        <v>Суммарные денежные потоки федерального бюджета</v>
      </c>
      <c r="B917" s="208" t="s">
        <v>821</v>
      </c>
      <c r="C917" s="217" t="s">
        <v>53</v>
      </c>
      <c r="D917" t="s">
        <v>2158</v>
      </c>
    </row>
    <row r="918" spans="1:4" x14ac:dyDescent="0.2">
      <c r="A918" t="str">
        <f t="shared" ca="1" si="12"/>
        <v>Суммарные денежные потоки территориального бюджета</v>
      </c>
      <c r="B918" s="208" t="s">
        <v>822</v>
      </c>
      <c r="C918" s="217" t="s">
        <v>54</v>
      </c>
      <c r="D918" t="s">
        <v>2159</v>
      </c>
    </row>
    <row r="919" spans="1:4" x14ac:dyDescent="0.2">
      <c r="A919" t="str">
        <f t="shared" ca="1" si="12"/>
        <v>Годовая ставка дисконтирования:</v>
      </c>
      <c r="B919" s="208" t="s">
        <v>2303</v>
      </c>
      <c r="C919" s="217" t="s">
        <v>55</v>
      </c>
      <c r="D919" t="s">
        <v>2160</v>
      </c>
    </row>
    <row r="920" spans="1:4" x14ac:dyDescent="0.2">
      <c r="A920" t="str">
        <f t="shared" ca="1" si="12"/>
        <v xml:space="preserve">    ставка дисконтирования на расчетный период</v>
      </c>
      <c r="B920" s="208" t="s">
        <v>2304</v>
      </c>
      <c r="C920" t="s">
        <v>143</v>
      </c>
      <c r="D920" t="s">
        <v>2053</v>
      </c>
    </row>
    <row r="921" spans="1:4" x14ac:dyDescent="0.2">
      <c r="A921" t="str">
        <f t="shared" ca="1" si="12"/>
        <v xml:space="preserve">    коэффициент дисконта</v>
      </c>
      <c r="B921" s="208" t="s">
        <v>2305</v>
      </c>
      <c r="C921" t="s">
        <v>56</v>
      </c>
      <c r="D921" t="s">
        <v>239</v>
      </c>
    </row>
    <row r="922" spans="1:4" x14ac:dyDescent="0.2">
      <c r="A922" t="str">
        <f t="shared" ca="1" si="12"/>
        <v>Дисконтированные потоки федерального бюджета</v>
      </c>
      <c r="B922" s="208" t="s">
        <v>825</v>
      </c>
      <c r="C922" s="217" t="s">
        <v>57</v>
      </c>
      <c r="D922" t="s">
        <v>2161</v>
      </c>
    </row>
    <row r="923" spans="1:4" x14ac:dyDescent="0.2">
      <c r="A923" t="str">
        <f t="shared" ca="1" si="12"/>
        <v>Дисконтированные потоки территориального бюджета</v>
      </c>
      <c r="B923" s="208" t="s">
        <v>826</v>
      </c>
      <c r="C923" s="217" t="s">
        <v>58</v>
      </c>
      <c r="D923" t="s">
        <v>2162</v>
      </c>
    </row>
    <row r="924" spans="1:4" x14ac:dyDescent="0.2">
      <c r="A924" t="str">
        <f t="shared" ca="1" si="12"/>
        <v>NPV федерального бюджета</v>
      </c>
      <c r="B924" s="23" t="s">
        <v>25</v>
      </c>
      <c r="C924" s="217" t="s">
        <v>27</v>
      </c>
      <c r="D924" t="s">
        <v>2163</v>
      </c>
    </row>
    <row r="925" spans="1:4" x14ac:dyDescent="0.2">
      <c r="A925" t="str">
        <f t="shared" ca="1" si="12"/>
        <v>NPV территориального бюджета</v>
      </c>
      <c r="B925" s="298" t="s">
        <v>26</v>
      </c>
      <c r="C925" s="217" t="s">
        <v>28</v>
      </c>
      <c r="D925" t="s">
        <v>2164</v>
      </c>
    </row>
    <row r="926" spans="1:4" x14ac:dyDescent="0.2">
      <c r="A926" t="str">
        <f t="shared" ca="1" si="12"/>
        <v xml:space="preserve">         ОСНОВНЫЕ ПОКАЗАТЕЛИ ПРОЕКТА</v>
      </c>
      <c r="B926" s="16" t="s">
        <v>2429</v>
      </c>
      <c r="C926" t="s">
        <v>221</v>
      </c>
      <c r="D926" t="s">
        <v>2165</v>
      </c>
    </row>
    <row r="927" spans="1:4" x14ac:dyDescent="0.2">
      <c r="A927" t="str">
        <f t="shared" ca="1" si="12"/>
        <v>Выручка от реализации (без НДС)</v>
      </c>
      <c r="B927" t="s">
        <v>827</v>
      </c>
      <c r="C927" t="s">
        <v>222</v>
      </c>
      <c r="D927" t="s">
        <v>2166</v>
      </c>
    </row>
    <row r="928" spans="1:4" x14ac:dyDescent="0.2">
      <c r="A928" t="str">
        <f t="shared" ca="1" si="12"/>
        <v>Затраты на производство (без НДС)</v>
      </c>
      <c r="B928" t="s">
        <v>828</v>
      </c>
      <c r="C928" t="s">
        <v>223</v>
      </c>
      <c r="D928" t="s">
        <v>2167</v>
      </c>
    </row>
    <row r="929" spans="1:4" x14ac:dyDescent="0.2">
      <c r="A929" t="str">
        <f t="shared" ca="1" si="12"/>
        <v>Инвестции во внеоборотные активы</v>
      </c>
      <c r="B929" s="19" t="s">
        <v>829</v>
      </c>
      <c r="C929" t="s">
        <v>224</v>
      </c>
      <c r="D929" t="s">
        <v>2168</v>
      </c>
    </row>
    <row r="930" spans="1:4" x14ac:dyDescent="0.2">
      <c r="A930" t="str">
        <f t="shared" ca="1" si="12"/>
        <v>Инвестиции в оборотный капитал</v>
      </c>
      <c r="B930" s="19" t="s">
        <v>2375</v>
      </c>
      <c r="C930" t="s">
        <v>1410</v>
      </c>
      <c r="D930" t="s">
        <v>1467</v>
      </c>
    </row>
    <row r="931" spans="1:4" x14ac:dyDescent="0.2">
      <c r="A931" t="str">
        <f t="shared" ca="1" si="12"/>
        <v>Собственные средства и целевое финансирование</v>
      </c>
      <c r="B931" s="19" t="s">
        <v>830</v>
      </c>
      <c r="C931" t="s">
        <v>225</v>
      </c>
      <c r="D931" t="s">
        <v>2169</v>
      </c>
    </row>
    <row r="932" spans="1:4" x14ac:dyDescent="0.2">
      <c r="A932" t="str">
        <f t="shared" ca="1" si="12"/>
        <v>Привлечение кредитов</v>
      </c>
      <c r="B932" t="s">
        <v>831</v>
      </c>
      <c r="C932" s="217" t="s">
        <v>226</v>
      </c>
      <c r="D932" t="s">
        <v>2174</v>
      </c>
    </row>
    <row r="933" spans="1:4" x14ac:dyDescent="0.2">
      <c r="A933" t="str">
        <f t="shared" ca="1" si="12"/>
        <v>Погашение кредитов</v>
      </c>
      <c r="B933" t="s">
        <v>832</v>
      </c>
      <c r="C933" s="217" t="s">
        <v>227</v>
      </c>
      <c r="D933" t="s">
        <v>1871</v>
      </c>
    </row>
    <row r="934" spans="1:4" x14ac:dyDescent="0.2">
      <c r="A934" t="str">
        <f t="shared" ca="1" si="12"/>
        <v>Выплата процентов по кредитам</v>
      </c>
      <c r="B934" t="s">
        <v>2395</v>
      </c>
      <c r="C934" s="217" t="s">
        <v>1463</v>
      </c>
      <c r="D934" t="s">
        <v>71</v>
      </c>
    </row>
    <row r="935" spans="1:4" x14ac:dyDescent="0.2">
      <c r="A935" t="str">
        <f t="shared" ca="1" si="12"/>
        <v>Эффективность полных инвестиционных затрат</v>
      </c>
      <c r="B935" s="24" t="s">
        <v>833</v>
      </c>
      <c r="C935" s="217" t="s">
        <v>228</v>
      </c>
      <c r="D935" t="s">
        <v>2175</v>
      </c>
    </row>
    <row r="936" spans="1:4" x14ac:dyDescent="0.2">
      <c r="A936" t="str">
        <f t="shared" ca="1" si="12"/>
        <v>Эффективность для собственного капитала</v>
      </c>
      <c r="B936" s="23" t="s">
        <v>834</v>
      </c>
      <c r="C936" s="217" t="s">
        <v>1809</v>
      </c>
      <c r="D936" t="s">
        <v>2176</v>
      </c>
    </row>
    <row r="937" spans="1:4" x14ac:dyDescent="0.2">
      <c r="A937" t="str">
        <f t="shared" ca="1" si="12"/>
        <v>Эффективность для банка</v>
      </c>
      <c r="B937" s="23" t="s">
        <v>835</v>
      </c>
      <c r="C937" s="217" t="s">
        <v>229</v>
      </c>
      <c r="D937" t="s">
        <v>2177</v>
      </c>
    </row>
    <row r="938" spans="1:4" x14ac:dyDescent="0.2">
      <c r="A938" t="str">
        <f t="shared" ca="1" si="12"/>
        <v xml:space="preserve">         АНАЛИЗ ЧУВСТВИТЕЛЬНОСТИ</v>
      </c>
      <c r="B938" s="16" t="s">
        <v>1377</v>
      </c>
      <c r="C938" t="s">
        <v>230</v>
      </c>
      <c r="D938" t="s">
        <v>701</v>
      </c>
    </row>
    <row r="939" spans="1:4" x14ac:dyDescent="0.2">
      <c r="A939" t="str">
        <f t="shared" ca="1" si="12"/>
        <v>Портфель проектов компании</v>
      </c>
      <c r="B939" s="16" t="s">
        <v>2589</v>
      </c>
      <c r="C939" t="s">
        <v>231</v>
      </c>
      <c r="D939" t="s">
        <v>2178</v>
      </c>
    </row>
    <row r="940" spans="1:4" x14ac:dyDescent="0.2">
      <c r="A940" t="str">
        <f t="shared" ca="1" si="12"/>
        <v xml:space="preserve">         СОСТАВ ПОРТФЕЛЯ</v>
      </c>
      <c r="B940" s="16" t="s">
        <v>2602</v>
      </c>
      <c r="C940" s="16" t="s">
        <v>232</v>
      </c>
      <c r="D940" t="s">
        <v>702</v>
      </c>
    </row>
    <row r="941" spans="1:4" x14ac:dyDescent="0.2">
      <c r="A941" t="str">
        <f t="shared" ca="1" si="12"/>
        <v>Название компании:</v>
      </c>
      <c r="B941" s="52" t="s">
        <v>644</v>
      </c>
      <c r="C941" t="s">
        <v>233</v>
      </c>
      <c r="D941" t="s">
        <v>2179</v>
      </c>
    </row>
    <row r="942" spans="1:4" x14ac:dyDescent="0.2">
      <c r="A942" t="str">
        <f t="shared" ca="1" si="12"/>
        <v>Компания без названия</v>
      </c>
      <c r="B942" s="52" t="s">
        <v>645</v>
      </c>
      <c r="C942" t="s">
        <v>234</v>
      </c>
      <c r="D942" t="s">
        <v>2180</v>
      </c>
    </row>
    <row r="943" spans="1:4" x14ac:dyDescent="0.2">
      <c r="A943" t="str">
        <f t="shared" ca="1" si="12"/>
        <v>Список проектов</v>
      </c>
      <c r="B943" s="52" t="s">
        <v>2564</v>
      </c>
      <c r="C943" t="s">
        <v>2565</v>
      </c>
      <c r="D943" t="s">
        <v>2181</v>
      </c>
    </row>
    <row r="944" spans="1:4" x14ac:dyDescent="0.2">
      <c r="A944" t="str">
        <f t="shared" ca="1" si="12"/>
        <v>Учитывать?</v>
      </c>
      <c r="B944" s="16" t="s">
        <v>2590</v>
      </c>
      <c r="C944" t="s">
        <v>235</v>
      </c>
      <c r="D944" t="s">
        <v>2182</v>
      </c>
    </row>
    <row r="945" spans="1:4" x14ac:dyDescent="0.2">
      <c r="A945" t="str">
        <f t="shared" ca="1" si="12"/>
        <v>Источник</v>
      </c>
      <c r="B945" s="16" t="s">
        <v>2601</v>
      </c>
      <c r="C945" t="s">
        <v>236</v>
      </c>
      <c r="D945" t="s">
        <v>2183</v>
      </c>
    </row>
    <row r="946" spans="1:4" x14ac:dyDescent="0.2">
      <c r="A946" t="str">
        <f t="shared" ca="1" si="12"/>
        <v>Последнее обновление проектов из внешних книг:</v>
      </c>
      <c r="B946" s="222" t="s">
        <v>2591</v>
      </c>
      <c r="C946" t="s">
        <v>237</v>
      </c>
      <c r="D946" t="s">
        <v>2184</v>
      </c>
    </row>
    <row r="947" spans="1:4" x14ac:dyDescent="0.2">
      <c r="A947" t="str">
        <f t="shared" ca="1" si="12"/>
        <v>Параметры бюджета портфеля проектов</v>
      </c>
      <c r="B947" s="222" t="s">
        <v>2592</v>
      </c>
      <c r="C947" t="s">
        <v>238</v>
      </c>
      <c r="D947" t="s">
        <v>2185</v>
      </c>
    </row>
    <row r="948" spans="1:4" x14ac:dyDescent="0.2">
      <c r="A948" t="str">
        <f t="shared" ca="1" si="12"/>
        <v>Дата начала первого периода</v>
      </c>
      <c r="B948" s="222" t="s">
        <v>2593</v>
      </c>
      <c r="C948" t="s">
        <v>2003</v>
      </c>
      <c r="D948" t="s">
        <v>2186</v>
      </c>
    </row>
    <row r="949" spans="1:4" x14ac:dyDescent="0.2">
      <c r="A949" t="str">
        <f t="shared" ca="1" si="12"/>
        <v>Длительность</v>
      </c>
      <c r="B949" s="222" t="s">
        <v>2594</v>
      </c>
      <c r="C949" t="s">
        <v>2004</v>
      </c>
      <c r="D949" t="s">
        <v>2187</v>
      </c>
    </row>
    <row r="950" spans="1:4" x14ac:dyDescent="0.2">
      <c r="A950" t="str">
        <f t="shared" ca="1" si="12"/>
        <v>Шаг планирования</v>
      </c>
      <c r="B950" s="222" t="s">
        <v>2112</v>
      </c>
      <c r="C950" t="s">
        <v>2499</v>
      </c>
      <c r="D950" t="s">
        <v>2188</v>
      </c>
    </row>
    <row r="951" spans="1:4" x14ac:dyDescent="0.2">
      <c r="A951" t="str">
        <f t="shared" ca="1" si="12"/>
        <v>Валюта для отображения результатов</v>
      </c>
      <c r="B951" s="222" t="s">
        <v>2116</v>
      </c>
      <c r="C951" t="s">
        <v>2503</v>
      </c>
      <c r="D951" t="s">
        <v>801</v>
      </c>
    </row>
    <row r="952" spans="1:4" x14ac:dyDescent="0.2">
      <c r="A952" t="str">
        <f t="shared" ca="1" si="12"/>
        <v>Периоды осуществления проектов</v>
      </c>
      <c r="B952" s="222" t="s">
        <v>2595</v>
      </c>
      <c r="C952" t="s">
        <v>2005</v>
      </c>
      <c r="D952" t="s">
        <v>2189</v>
      </c>
    </row>
    <row r="953" spans="1:4" x14ac:dyDescent="0.2">
      <c r="A953" t="str">
        <f t="shared" ca="1" si="12"/>
        <v>с периода</v>
      </c>
      <c r="B953" s="222" t="s">
        <v>2596</v>
      </c>
      <c r="C953" t="s">
        <v>2006</v>
      </c>
      <c r="D953" t="s">
        <v>2190</v>
      </c>
    </row>
    <row r="954" spans="1:4" x14ac:dyDescent="0.2">
      <c r="A954" t="str">
        <f t="shared" ca="1" si="12"/>
        <v>по период</v>
      </c>
      <c r="B954" s="16" t="s">
        <v>2597</v>
      </c>
      <c r="C954" t="s">
        <v>2007</v>
      </c>
      <c r="D954" t="s">
        <v>2191</v>
      </c>
    </row>
    <row r="955" spans="1:4" x14ac:dyDescent="0.2">
      <c r="A955" t="str">
        <f t="shared" ca="1" si="12"/>
        <v>Год начала бюджета</v>
      </c>
      <c r="B955" t="s">
        <v>2598</v>
      </c>
      <c r="C955" t="s">
        <v>2008</v>
      </c>
      <c r="D955" t="s">
        <v>2192</v>
      </c>
    </row>
    <row r="956" spans="1:4" x14ac:dyDescent="0.2">
      <c r="A956" t="str">
        <f t="shared" ca="1" si="12"/>
        <v>Месяц начала бюджета</v>
      </c>
      <c r="B956" t="s">
        <v>2599</v>
      </c>
      <c r="C956" t="s">
        <v>240</v>
      </c>
      <c r="D956" t="s">
        <v>2193</v>
      </c>
    </row>
    <row r="957" spans="1:4" x14ac:dyDescent="0.2">
      <c r="A957" t="str">
        <f t="shared" ca="1" si="12"/>
        <v>Номера периодов</v>
      </c>
      <c r="B957" t="s">
        <v>2125</v>
      </c>
      <c r="C957" t="s">
        <v>740</v>
      </c>
      <c r="D957" t="s">
        <v>2194</v>
      </c>
    </row>
    <row r="958" spans="1:4" x14ac:dyDescent="0.2">
      <c r="A958" t="str">
        <f t="shared" ca="1" si="12"/>
        <v>Наименования периодов без учета дат</v>
      </c>
      <c r="B958" t="s">
        <v>2126</v>
      </c>
      <c r="C958" t="s">
        <v>741</v>
      </c>
      <c r="D958" t="s">
        <v>256</v>
      </c>
    </row>
    <row r="959" spans="1:4" x14ac:dyDescent="0.2">
      <c r="A959" t="str">
        <f t="shared" ca="1" si="12"/>
        <v>Дата начала периода</v>
      </c>
      <c r="B959" t="s">
        <v>2127</v>
      </c>
      <c r="C959" t="s">
        <v>742</v>
      </c>
      <c r="D959" t="s">
        <v>257</v>
      </c>
    </row>
    <row r="960" spans="1:4" x14ac:dyDescent="0.2">
      <c r="A960" t="str">
        <f t="shared" ca="1" si="12"/>
        <v>Наименования периодов с учетом дат</v>
      </c>
      <c r="B960" t="s">
        <v>2128</v>
      </c>
      <c r="C960" t="s">
        <v>743</v>
      </c>
      <c r="D960" t="s">
        <v>258</v>
      </c>
    </row>
    <row r="961" spans="1:4" x14ac:dyDescent="0.2">
      <c r="A961" t="str">
        <f t="shared" ca="1" si="12"/>
        <v xml:space="preserve">         ПЕРЕСЧЕТ НАЛОГА НА ПРИБЫЛЬ</v>
      </c>
      <c r="B961" t="s">
        <v>685</v>
      </c>
      <c r="C961" t="s">
        <v>241</v>
      </c>
      <c r="D961" t="s">
        <v>703</v>
      </c>
    </row>
    <row r="962" spans="1:4" x14ac:dyDescent="0.2">
      <c r="A962" t="str">
        <f t="shared" ca="1" si="12"/>
        <v>Пересчитать налог</v>
      </c>
      <c r="B962" s="16" t="s">
        <v>785</v>
      </c>
      <c r="C962" t="s">
        <v>242</v>
      </c>
      <c r="D962" t="s">
        <v>259</v>
      </c>
    </row>
    <row r="963" spans="1:4" x14ac:dyDescent="0.2">
      <c r="A963" t="str">
        <f t="shared" ca="1" si="12"/>
        <v>Не пересчитывать налог</v>
      </c>
      <c r="B963" s="16" t="s">
        <v>2433</v>
      </c>
      <c r="C963" t="s">
        <v>243</v>
      </c>
      <c r="D963" t="s">
        <v>260</v>
      </c>
    </row>
    <row r="964" spans="1:4" x14ac:dyDescent="0.2">
      <c r="A964" t="str">
        <f t="shared" ca="1" si="12"/>
        <v>График: Суммарная выручка проектов</v>
      </c>
      <c r="B964" t="s">
        <v>1924</v>
      </c>
      <c r="C964" t="s">
        <v>1925</v>
      </c>
      <c r="D964" t="s">
        <v>261</v>
      </c>
    </row>
    <row r="965" spans="1:4" x14ac:dyDescent="0.2">
      <c r="A965" t="str">
        <f t="shared" ca="1" si="12"/>
        <v>График: Прибыль проектов</v>
      </c>
      <c r="B965" t="s">
        <v>2604</v>
      </c>
      <c r="C965" t="s">
        <v>244</v>
      </c>
      <c r="D965" t="s">
        <v>262</v>
      </c>
    </row>
    <row r="966" spans="1:4" x14ac:dyDescent="0.2">
      <c r="A966" t="str">
        <f t="shared" ca="1" si="12"/>
        <v>Налог на прибыль по консолидированной отчетности</v>
      </c>
      <c r="B966" t="s">
        <v>2600</v>
      </c>
      <c r="C966" t="s">
        <v>245</v>
      </c>
      <c r="D966" t="s">
        <v>263</v>
      </c>
    </row>
    <row r="967" spans="1:4" x14ac:dyDescent="0.2">
      <c r="A967" t="str">
        <f t="shared" ref="A967:A1017" ca="1" si="13">OFFSET(A967,0,LanguageID)</f>
        <v>Ставка налога на прибыль</v>
      </c>
      <c r="B967" t="s">
        <v>2603</v>
      </c>
      <c r="C967" t="s">
        <v>246</v>
      </c>
      <c r="D967" t="s">
        <v>264</v>
      </c>
    </row>
    <row r="968" spans="1:4" x14ac:dyDescent="0.2">
      <c r="A968" t="str">
        <f t="shared" ca="1" si="13"/>
        <v xml:space="preserve">         СВОДНЫЙ ОТЧЕТ ОБ ИНВЕСТИЦИЯХ В ПРОЕКТ</v>
      </c>
      <c r="B968" t="s">
        <v>2579</v>
      </c>
      <c r="C968" s="16" t="s">
        <v>1865</v>
      </c>
      <c r="D968" t="s">
        <v>684</v>
      </c>
    </row>
    <row r="969" spans="1:4" x14ac:dyDescent="0.2">
      <c r="A969" t="str">
        <f t="shared" ca="1" si="13"/>
        <v xml:space="preserve">         СВОДНЫЙ ОТЧЕТ О ПРИБЫЛЯХ И УБЫТКАХ</v>
      </c>
      <c r="B969" t="s">
        <v>2612</v>
      </c>
      <c r="C969" s="16" t="s">
        <v>247</v>
      </c>
      <c r="D969" t="s">
        <v>704</v>
      </c>
    </row>
    <row r="970" spans="1:4" x14ac:dyDescent="0.2">
      <c r="A970" t="str">
        <f t="shared" ca="1" si="13"/>
        <v xml:space="preserve">         СВОДНЫЙ ОТЧЕТ О ДВИЖЕНИИ ДЕНЕЖНЫХ СРЕДСТВ</v>
      </c>
      <c r="B970" t="s">
        <v>2613</v>
      </c>
      <c r="C970" s="16" t="s">
        <v>248</v>
      </c>
      <c r="D970" t="s">
        <v>705</v>
      </c>
    </row>
    <row r="971" spans="1:4" x14ac:dyDescent="0.2">
      <c r="A971" t="str">
        <f t="shared" ca="1" si="13"/>
        <v xml:space="preserve">         СВОДНЫЙ БАЛАНС</v>
      </c>
      <c r="B971" t="s">
        <v>2614</v>
      </c>
      <c r="C971" s="16" t="s">
        <v>2170</v>
      </c>
      <c r="D971" t="s">
        <v>706</v>
      </c>
    </row>
    <row r="972" spans="1:4" x14ac:dyDescent="0.2">
      <c r="A972" t="str">
        <f t="shared" ca="1" si="13"/>
        <v>График: Активы проектов</v>
      </c>
      <c r="B972" t="s">
        <v>2615</v>
      </c>
      <c r="C972" s="217" t="s">
        <v>2171</v>
      </c>
      <c r="D972" t="s">
        <v>265</v>
      </c>
    </row>
    <row r="973" spans="1:4" x14ac:dyDescent="0.2">
      <c r="A973" t="str">
        <f t="shared" ca="1" si="13"/>
        <v>График: Пассивы проектов</v>
      </c>
      <c r="B973" t="s">
        <v>2616</v>
      </c>
      <c r="C973" s="217" t="s">
        <v>249</v>
      </c>
      <c r="D973" t="s">
        <v>266</v>
      </c>
    </row>
    <row r="974" spans="1:4" x14ac:dyDescent="0.2">
      <c r="A974" t="str">
        <f t="shared" ca="1" si="13"/>
        <v xml:space="preserve">         СВОДНЫЕ ПОКАЗАТЕЛИ ФИНАНСОВОЙ СОСТОЯТЕЛЬНОСТИ</v>
      </c>
      <c r="B974" t="s">
        <v>2617</v>
      </c>
      <c r="C974" s="16" t="s">
        <v>250</v>
      </c>
      <c r="D974" t="s">
        <v>707</v>
      </c>
    </row>
    <row r="975" spans="1:4" x14ac:dyDescent="0.2">
      <c r="A975" t="str">
        <f t="shared" ca="1" si="13"/>
        <v>График: Окупаемость проектов (для полных инвестиционных затрат)</v>
      </c>
      <c r="B975" s="74" t="s">
        <v>2618</v>
      </c>
      <c r="C975" s="205" t="s">
        <v>251</v>
      </c>
      <c r="D975" t="s">
        <v>267</v>
      </c>
    </row>
    <row r="976" spans="1:4" x14ac:dyDescent="0.2">
      <c r="A976" t="str">
        <f t="shared" ca="1" si="13"/>
        <v>График: Окупаемость проектов (для собственного капитала)</v>
      </c>
      <c r="B976" s="74" t="s">
        <v>2619</v>
      </c>
      <c r="C976" s="205" t="s">
        <v>252</v>
      </c>
      <c r="D976" t="s">
        <v>268</v>
      </c>
    </row>
    <row r="977" spans="1:4" x14ac:dyDescent="0.2">
      <c r="A977" t="str">
        <f t="shared" ca="1" si="13"/>
        <v>График: Окупаемость проектов (для банка)</v>
      </c>
      <c r="B977" s="74" t="s">
        <v>2484</v>
      </c>
      <c r="C977" s="205" t="s">
        <v>253</v>
      </c>
      <c r="D977" t="s">
        <v>269</v>
      </c>
    </row>
    <row r="978" spans="1:4" x14ac:dyDescent="0.2">
      <c r="A978" t="str">
        <f t="shared" ca="1" si="13"/>
        <v xml:space="preserve">         ОСНОВНЫЕ ПОКАЗАТЕЛИ ПРОЕКТОВ</v>
      </c>
      <c r="B978" t="s">
        <v>2485</v>
      </c>
      <c r="C978" s="205" t="s">
        <v>254</v>
      </c>
      <c r="D978" t="s">
        <v>708</v>
      </c>
    </row>
    <row r="979" spans="1:4" x14ac:dyDescent="0.2">
      <c r="A979" t="str">
        <f t="shared" ca="1" si="13"/>
        <v>Изменяемый параметр</v>
      </c>
      <c r="B979" t="s">
        <v>2623</v>
      </c>
      <c r="C979" s="205" t="s">
        <v>2438</v>
      </c>
      <c r="D979" t="s">
        <v>270</v>
      </c>
    </row>
    <row r="980" spans="1:4" x14ac:dyDescent="0.2">
      <c r="A980" t="str">
        <f t="shared" ca="1" si="13"/>
        <v>В интервале</v>
      </c>
      <c r="B980" t="s">
        <v>2625</v>
      </c>
      <c r="C980" s="205" t="s">
        <v>2439</v>
      </c>
      <c r="D980" t="s">
        <v>271</v>
      </c>
    </row>
    <row r="981" spans="1:4" x14ac:dyDescent="0.2">
      <c r="A981" t="str">
        <f t="shared" ca="1" si="13"/>
        <v xml:space="preserve">от: </v>
      </c>
      <c r="B981" t="s">
        <v>2626</v>
      </c>
      <c r="C981" s="205" t="s">
        <v>2440</v>
      </c>
      <c r="D981" t="s">
        <v>272</v>
      </c>
    </row>
    <row r="982" spans="1:4" x14ac:dyDescent="0.2">
      <c r="A982" t="str">
        <f t="shared" ca="1" si="13"/>
        <v xml:space="preserve">с шагом: </v>
      </c>
      <c r="B982" t="s">
        <v>2627</v>
      </c>
      <c r="C982" s="205" t="s">
        <v>2441</v>
      </c>
      <c r="D982" t="s">
        <v>273</v>
      </c>
    </row>
    <row r="983" spans="1:4" x14ac:dyDescent="0.2">
      <c r="A983" t="str">
        <f t="shared" ca="1" si="13"/>
        <v>Итоговый показатель</v>
      </c>
      <c r="B983" t="s">
        <v>2624</v>
      </c>
      <c r="C983" s="205" t="s">
        <v>2442</v>
      </c>
      <c r="D983" t="s">
        <v>274</v>
      </c>
    </row>
    <row r="984" spans="1:4" x14ac:dyDescent="0.2">
      <c r="A984" t="str">
        <f t="shared" ca="1" si="13"/>
        <v>Таблица рассчитанных значений</v>
      </c>
      <c r="B984" t="s">
        <v>2628</v>
      </c>
      <c r="C984" s="205" t="s">
        <v>2443</v>
      </c>
      <c r="D984" t="s">
        <v>275</v>
      </c>
    </row>
    <row r="985" spans="1:4" x14ac:dyDescent="0.2">
      <c r="A985" t="str">
        <f t="shared" ca="1" si="13"/>
        <v>Значение</v>
      </c>
      <c r="B985" t="s">
        <v>2629</v>
      </c>
      <c r="C985" s="205" t="s">
        <v>236</v>
      </c>
      <c r="D985" t="s">
        <v>276</v>
      </c>
    </row>
    <row r="986" spans="1:4" x14ac:dyDescent="0.2">
      <c r="A986" t="str">
        <f t="shared" ca="1" si="13"/>
        <v>Результат</v>
      </c>
      <c r="B986" t="s">
        <v>2630</v>
      </c>
      <c r="C986" s="205" t="s">
        <v>2444</v>
      </c>
      <c r="D986" t="s">
        <v>277</v>
      </c>
    </row>
    <row r="987" spans="1:4" x14ac:dyDescent="0.2">
      <c r="A987" t="str">
        <f t="shared" ca="1" si="13"/>
        <v>График: Анализ чувствительности</v>
      </c>
      <c r="B987" t="s">
        <v>2563</v>
      </c>
      <c r="C987" s="205" t="s">
        <v>2445</v>
      </c>
      <c r="D987" t="s">
        <v>278</v>
      </c>
    </row>
    <row r="988" spans="1:4" x14ac:dyDescent="0.2">
      <c r="A988" t="str">
        <f t="shared" ca="1" si="13"/>
        <v>Параметры анализа чувствительности</v>
      </c>
      <c r="B988" t="s">
        <v>2631</v>
      </c>
      <c r="C988" s="205" t="s">
        <v>2446</v>
      </c>
      <c r="D988" t="s">
        <v>279</v>
      </c>
    </row>
    <row r="989" spans="1:4" x14ac:dyDescent="0.2">
      <c r="A989" t="str">
        <f t="shared" ca="1" si="13"/>
        <v>Объем реализации (в единицах продукции)</v>
      </c>
      <c r="B989" t="s">
        <v>762</v>
      </c>
      <c r="C989" s="205" t="s">
        <v>2447</v>
      </c>
      <c r="D989" t="s">
        <v>280</v>
      </c>
    </row>
    <row r="990" spans="1:4" x14ac:dyDescent="0.2">
      <c r="A990" t="str">
        <f t="shared" ca="1" si="13"/>
        <v>Цена продажи</v>
      </c>
      <c r="B990" t="s">
        <v>2632</v>
      </c>
      <c r="C990" s="205" t="s">
        <v>2448</v>
      </c>
      <c r="D990" t="s">
        <v>281</v>
      </c>
    </row>
    <row r="991" spans="1:4" x14ac:dyDescent="0.2">
      <c r="A991" t="str">
        <f t="shared" ca="1" si="13"/>
        <v>Общая величина инвестиций</v>
      </c>
      <c r="B991" t="s">
        <v>303</v>
      </c>
      <c r="C991" s="205" t="s">
        <v>304</v>
      </c>
      <c r="D991" t="s">
        <v>282</v>
      </c>
    </row>
    <row r="992" spans="1:4" x14ac:dyDescent="0.2">
      <c r="A992" t="str">
        <f t="shared" ca="1" si="13"/>
        <v>Ставка дисконтирования</v>
      </c>
      <c r="B992" t="s">
        <v>2633</v>
      </c>
      <c r="C992" s="205" t="s">
        <v>55</v>
      </c>
      <c r="D992" t="s">
        <v>2160</v>
      </c>
    </row>
    <row r="993" spans="1:4" x14ac:dyDescent="0.2">
      <c r="A993" t="str">
        <f t="shared" ca="1" si="13"/>
        <v>&lt;конец списка изменяемых параметров&gt;</v>
      </c>
      <c r="B993" t="s">
        <v>2634</v>
      </c>
      <c r="C993" s="205" t="s">
        <v>2449</v>
      </c>
      <c r="D993" t="s">
        <v>283</v>
      </c>
    </row>
    <row r="994" spans="1:4" x14ac:dyDescent="0.2">
      <c r="A994" t="str">
        <f t="shared" ca="1" si="13"/>
        <v>NPV для полных инвестиционных затрат</v>
      </c>
      <c r="B994" t="s">
        <v>2635</v>
      </c>
      <c r="C994" s="205" t="s">
        <v>2450</v>
      </c>
      <c r="D994" t="s">
        <v>284</v>
      </c>
    </row>
    <row r="995" spans="1:4" x14ac:dyDescent="0.2">
      <c r="A995" t="str">
        <f t="shared" ca="1" si="13"/>
        <v>NPV для собственного капитала</v>
      </c>
      <c r="B995" t="s">
        <v>2636</v>
      </c>
      <c r="C995" s="205" t="s">
        <v>2451</v>
      </c>
      <c r="D995" t="s">
        <v>285</v>
      </c>
    </row>
    <row r="996" spans="1:4" x14ac:dyDescent="0.2">
      <c r="A996" t="str">
        <f t="shared" ca="1" si="13"/>
        <v>NPV для банка</v>
      </c>
      <c r="B996" t="s">
        <v>2637</v>
      </c>
      <c r="C996" s="205" t="s">
        <v>2452</v>
      </c>
      <c r="D996" t="s">
        <v>286</v>
      </c>
    </row>
    <row r="997" spans="1:4" x14ac:dyDescent="0.2">
      <c r="A997" t="str">
        <f t="shared" ca="1" si="13"/>
        <v>Суммарная чистая прибыль</v>
      </c>
      <c r="B997" t="s">
        <v>2553</v>
      </c>
      <c r="C997" s="205" t="s">
        <v>2453</v>
      </c>
      <c r="D997" t="s">
        <v>287</v>
      </c>
    </row>
    <row r="998" spans="1:4" x14ac:dyDescent="0.2">
      <c r="A998" t="str">
        <f t="shared" ca="1" si="13"/>
        <v>&lt;конец списка анализируемых результатов&gt;</v>
      </c>
      <c r="B998" t="s">
        <v>2554</v>
      </c>
      <c r="C998" s="205" t="s">
        <v>2449</v>
      </c>
      <c r="D998" t="s">
        <v>288</v>
      </c>
    </row>
    <row r="999" spans="1:4" x14ac:dyDescent="0.2">
      <c r="A999" t="str">
        <f t="shared" ca="1" si="13"/>
        <v>Область</v>
      </c>
      <c r="B999" t="s">
        <v>2555</v>
      </c>
      <c r="C999" s="205" t="s">
        <v>2439</v>
      </c>
      <c r="D999" t="s">
        <v>289</v>
      </c>
    </row>
    <row r="1000" spans="1:4" x14ac:dyDescent="0.2">
      <c r="A1000" t="str">
        <f t="shared" ca="1" si="13"/>
        <v>от планового значения</v>
      </c>
      <c r="B1000" t="s">
        <v>2557</v>
      </c>
      <c r="C1000" s="205" t="s">
        <v>2454</v>
      </c>
      <c r="D1000" t="s">
        <v>290</v>
      </c>
    </row>
    <row r="1001" spans="1:4" x14ac:dyDescent="0.2">
      <c r="A1001" t="str">
        <f t="shared" ca="1" si="13"/>
        <v>Начисленные налоги специальных режимов обложения</v>
      </c>
      <c r="B1001" t="s">
        <v>784</v>
      </c>
      <c r="C1001" s="205" t="s">
        <v>2455</v>
      </c>
      <c r="D1001" s="48" t="s">
        <v>2643</v>
      </c>
    </row>
    <row r="1002" spans="1:4" x14ac:dyDescent="0.2">
      <c r="A1002" t="str">
        <f t="shared" ca="1" si="13"/>
        <v>Учитывать</v>
      </c>
      <c r="B1002" t="s">
        <v>1238</v>
      </c>
      <c r="C1002" s="205" t="s">
        <v>2456</v>
      </c>
      <c r="D1002" t="s">
        <v>291</v>
      </c>
    </row>
    <row r="1003" spans="1:4" x14ac:dyDescent="0.2">
      <c r="A1003" t="str">
        <f t="shared" ca="1" si="13"/>
        <v>Нет</v>
      </c>
      <c r="B1003" t="s">
        <v>2153</v>
      </c>
      <c r="C1003" s="205" t="s">
        <v>2457</v>
      </c>
      <c r="D1003" t="s">
        <v>976</v>
      </c>
    </row>
    <row r="1004" spans="1:4" x14ac:dyDescent="0.2">
      <c r="A1004" t="str">
        <f t="shared" ca="1" si="13"/>
        <v>Вычитать</v>
      </c>
      <c r="B1004" t="s">
        <v>1237</v>
      </c>
      <c r="C1004" s="205" t="s">
        <v>2458</v>
      </c>
      <c r="D1004" s="48" t="s">
        <v>2644</v>
      </c>
    </row>
    <row r="1005" spans="1:4" x14ac:dyDescent="0.2">
      <c r="A1005" t="str">
        <f t="shared" ca="1" si="13"/>
        <v>Баланс не сходится!</v>
      </c>
      <c r="B1005" t="s">
        <v>2459</v>
      </c>
      <c r="C1005" s="205" t="s">
        <v>2460</v>
      </c>
      <c r="D1005" t="s">
        <v>292</v>
      </c>
    </row>
    <row r="1006" spans="1:4" x14ac:dyDescent="0.2">
      <c r="A1006" t="str">
        <f t="shared" ca="1" si="13"/>
        <v>График: Движение денег по кредитам</v>
      </c>
      <c r="B1006" t="s">
        <v>1912</v>
      </c>
      <c r="C1006" s="205" t="s">
        <v>1913</v>
      </c>
      <c r="D1006" s="48" t="s">
        <v>2645</v>
      </c>
    </row>
    <row r="1007" spans="1:4" x14ac:dyDescent="0.2">
      <c r="A1007" t="str">
        <f t="shared" ca="1" si="13"/>
        <v>График: Остаток задолженности по кредитам</v>
      </c>
      <c r="B1007" t="s">
        <v>1914</v>
      </c>
      <c r="C1007" s="205" t="s">
        <v>1915</v>
      </c>
      <c r="D1007" s="48" t="s">
        <v>2646</v>
      </c>
    </row>
    <row r="1008" spans="1:4" x14ac:dyDescent="0.2">
      <c r="A1008" t="str">
        <f t="shared" ca="1" si="13"/>
        <v>График: Поступления от продаж</v>
      </c>
      <c r="B1008" t="s">
        <v>1916</v>
      </c>
      <c r="C1008" s="205" t="s">
        <v>1917</v>
      </c>
      <c r="D1008" s="48" t="s">
        <v>2647</v>
      </c>
    </row>
    <row r="1009" spans="1:4" x14ac:dyDescent="0.2">
      <c r="A1009" t="str">
        <f t="shared" ca="1" si="13"/>
        <v>График: EBITDA</v>
      </c>
      <c r="B1009" t="s">
        <v>1922</v>
      </c>
      <c r="C1009" s="205" t="s">
        <v>1923</v>
      </c>
      <c r="D1009" t="s">
        <v>293</v>
      </c>
    </row>
    <row r="1010" spans="1:4" x14ac:dyDescent="0.2">
      <c r="A1010" t="str">
        <f t="shared" ca="1" si="13"/>
        <v>Ранее осуществленные инвестиции</v>
      </c>
      <c r="B1010" t="s">
        <v>2309</v>
      </c>
      <c r="C1010" t="s">
        <v>690</v>
      </c>
      <c r="D1010" t="s">
        <v>2059</v>
      </c>
    </row>
    <row r="1011" spans="1:4" x14ac:dyDescent="0.2">
      <c r="A1011" t="str">
        <f t="shared" ca="1" si="13"/>
        <v>Затраты на строительство объекта</v>
      </c>
      <c r="B1011" t="s">
        <v>305</v>
      </c>
      <c r="C1011" s="205" t="s">
        <v>306</v>
      </c>
      <c r="D1011" t="s">
        <v>308</v>
      </c>
    </row>
    <row r="1012" spans="1:4" x14ac:dyDescent="0.2">
      <c r="A1012" t="str">
        <f t="shared" ca="1" si="13"/>
        <v>Доходы от продажи площадей</v>
      </c>
      <c r="B1012" t="s">
        <v>2471</v>
      </c>
      <c r="C1012" s="205" t="s">
        <v>312</v>
      </c>
    </row>
    <row r="1013" spans="1:4" x14ac:dyDescent="0.2">
      <c r="A1013" t="str">
        <f t="shared" ca="1" si="13"/>
        <v>Доходы от аренды</v>
      </c>
      <c r="B1013" t="s">
        <v>2479</v>
      </c>
      <c r="C1013" t="s">
        <v>1161</v>
      </c>
      <c r="D1013" t="s">
        <v>1120</v>
      </c>
    </row>
    <row r="1014" spans="1:4" x14ac:dyDescent="0.2">
      <c r="A1014" t="str">
        <f t="shared" ca="1" si="13"/>
        <v>Доходы от продажи дольщикам</v>
      </c>
      <c r="B1014" t="s">
        <v>310</v>
      </c>
      <c r="C1014" s="205" t="s">
        <v>311</v>
      </c>
    </row>
    <row r="1015" spans="1:4" x14ac:dyDescent="0.2">
      <c r="A1015" t="str">
        <f t="shared" ca="1" si="13"/>
        <v>Не обнулять баланс проекта после его окончания</v>
      </c>
      <c r="B1015" t="s">
        <v>871</v>
      </c>
      <c r="C1015" s="205" t="s">
        <v>872</v>
      </c>
      <c r="D1015" s="205" t="s">
        <v>872</v>
      </c>
    </row>
    <row r="1016" spans="1:4" x14ac:dyDescent="0.2">
      <c r="A1016" t="str">
        <f t="shared" ca="1" si="13"/>
        <v>Да, не обнулять</v>
      </c>
      <c r="B1016" t="s">
        <v>873</v>
      </c>
      <c r="C1016" s="205" t="s">
        <v>875</v>
      </c>
      <c r="D1016" s="205" t="s">
        <v>875</v>
      </c>
    </row>
    <row r="1017" spans="1:4" x14ac:dyDescent="0.2">
      <c r="A1017" t="str">
        <f t="shared" ca="1" si="13"/>
        <v>Нет, обнулять</v>
      </c>
      <c r="B1017" t="s">
        <v>874</v>
      </c>
      <c r="C1017" s="205" t="s">
        <v>876</v>
      </c>
      <c r="D1017" s="205" t="s">
        <v>876</v>
      </c>
    </row>
  </sheetData>
  <phoneticPr fontId="11" type="noConversion"/>
  <pageMargins left="0.7" right="0.7" top="0.75" bottom="0.75" header="0.3" footer="0.3"/>
  <pageSetup paperSize="9"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231</vt:i4>
      </vt:variant>
    </vt:vector>
  </HeadingPairs>
  <TitlesOfParts>
    <vt:vector size="236" baseType="lpstr">
      <vt:lpstr>Исходные</vt:lpstr>
      <vt:lpstr>Проект</vt:lpstr>
      <vt:lpstr>Портфель</vt:lpstr>
      <vt:lpstr>Отчет</vt:lpstr>
      <vt:lpstr>Language</vt:lpstr>
      <vt:lpstr>__ESTATE</vt:lpstr>
      <vt:lpstr>Проект!_NPV1</vt:lpstr>
      <vt:lpstr>Проект!_NPV2</vt:lpstr>
      <vt:lpstr>Проект!_NPV3</vt:lpstr>
      <vt:lpstr>AI_Version</vt:lpstr>
      <vt:lpstr>CalcMethod</vt:lpstr>
      <vt:lpstr>Проект!Cash_At_End</vt:lpstr>
      <vt:lpstr>Проект!Cash_Dividends</vt:lpstr>
      <vt:lpstr>Проект!Cash_Finance</vt:lpstr>
      <vt:lpstr>Проект!Cash_Grant</vt:lpstr>
      <vt:lpstr>Проект!Cash_Interest</vt:lpstr>
      <vt:lpstr>Проект!Cash_Invest</vt:lpstr>
      <vt:lpstr>Проект!Cash_Leasing</vt:lpstr>
      <vt:lpstr>Проект!Cash_LoanOut</vt:lpstr>
      <vt:lpstr>Проект!Cash_Oper</vt:lpstr>
      <vt:lpstr>Проект!Cash_Share</vt:lpstr>
      <vt:lpstr>Проект!Cash_Total</vt:lpstr>
      <vt:lpstr>Портфель!Chart_1</vt:lpstr>
      <vt:lpstr>Проект!Chart_1</vt:lpstr>
      <vt:lpstr>Портфель!Chart_10</vt:lpstr>
      <vt:lpstr>Проект!Chart_10</vt:lpstr>
      <vt:lpstr>Портфель!Chart_11</vt:lpstr>
      <vt:lpstr>Проект!Chart_11</vt:lpstr>
      <vt:lpstr>Портфель!Chart_12</vt:lpstr>
      <vt:lpstr>Проект!Chart_12</vt:lpstr>
      <vt:lpstr>Портфель!Chart_13</vt:lpstr>
      <vt:lpstr>Проект!Chart_13</vt:lpstr>
      <vt:lpstr>Портфель!Chart_14</vt:lpstr>
      <vt:lpstr>Проект!Chart_14</vt:lpstr>
      <vt:lpstr>Портфель!Chart_15</vt:lpstr>
      <vt:lpstr>Проект!Chart_15</vt:lpstr>
      <vt:lpstr>Проект!Chart_16</vt:lpstr>
      <vt:lpstr>Портфель!Chart_2</vt:lpstr>
      <vt:lpstr>Проект!Chart_2</vt:lpstr>
      <vt:lpstr>Портфель!Chart_3</vt:lpstr>
      <vt:lpstr>Проект!Chart_3</vt:lpstr>
      <vt:lpstr>Портфель!Chart_4</vt:lpstr>
      <vt:lpstr>Проект!Chart_4</vt:lpstr>
      <vt:lpstr>Портфель!Chart_5</vt:lpstr>
      <vt:lpstr>Проект!Chart_5</vt:lpstr>
      <vt:lpstr>Портфель!Chart_6</vt:lpstr>
      <vt:lpstr>Проект!Chart_6</vt:lpstr>
      <vt:lpstr>Портфель!Chart_7</vt:lpstr>
      <vt:lpstr>Проект!Chart_7</vt:lpstr>
      <vt:lpstr>Портфель!Chart_8</vt:lpstr>
      <vt:lpstr>Проект!Chart_8</vt:lpstr>
      <vt:lpstr>Портфель!Chart_9</vt:lpstr>
      <vt:lpstr>Проект!Chart_9</vt:lpstr>
      <vt:lpstr>Проект!Count_Assets_1</vt:lpstr>
      <vt:lpstr>Проект!Count_Assets_2</vt:lpstr>
      <vt:lpstr>Проект!Count_Assets_3</vt:lpstr>
      <vt:lpstr>Проект!Count_Assets_4</vt:lpstr>
      <vt:lpstr>Проект!Count_Assets_5</vt:lpstr>
      <vt:lpstr>Проект!Count_Assets_6</vt:lpstr>
      <vt:lpstr>Проект!Count_Expenses_1</vt:lpstr>
      <vt:lpstr>Проект!Count_Expenses_2</vt:lpstr>
      <vt:lpstr>Проект!Count_Expenses_3</vt:lpstr>
      <vt:lpstr>Проект!Count_Expenses_4</vt:lpstr>
      <vt:lpstr>Проект!Count_Leasing</vt:lpstr>
      <vt:lpstr>Проект!Count_Loans</vt:lpstr>
      <vt:lpstr>Проект!Count_Personnel_1</vt:lpstr>
      <vt:lpstr>Проект!Count_Personnel_2</vt:lpstr>
      <vt:lpstr>Проект!Count_Personnel_3</vt:lpstr>
      <vt:lpstr>Count_Personnel_4</vt:lpstr>
      <vt:lpstr>Проект!Count_Taxes_1</vt:lpstr>
      <vt:lpstr>Проект!Count_Taxes_2</vt:lpstr>
      <vt:lpstr>Проект!CUR_Foreign</vt:lpstr>
      <vt:lpstr>Проект!CUR_I_Foreign</vt:lpstr>
      <vt:lpstr>Проект!CUR_I_Main</vt:lpstr>
      <vt:lpstr>Портфель!CUR_I_Report</vt:lpstr>
      <vt:lpstr>Проект!CUR_I_Report</vt:lpstr>
      <vt:lpstr>Проект!CUR_Main</vt:lpstr>
      <vt:lpstr>Портфель!CUR_Report</vt:lpstr>
      <vt:lpstr>Проект!CUR_Report</vt:lpstr>
      <vt:lpstr>Проект!CurrencyRate</vt:lpstr>
      <vt:lpstr>Проект!Height_Assets_1</vt:lpstr>
      <vt:lpstr>Проект!Height_Assets_2</vt:lpstr>
      <vt:lpstr>Проект!Height_Assets_3</vt:lpstr>
      <vt:lpstr>Проект!Height_Assets_4</vt:lpstr>
      <vt:lpstr>Проект!Height_Assets_5</vt:lpstr>
      <vt:lpstr>Проект!Height_Assets_6</vt:lpstr>
      <vt:lpstr>Проект!Height_Expenses_1</vt:lpstr>
      <vt:lpstr>Проект!Height_Expenses_2</vt:lpstr>
      <vt:lpstr>Проект!Height_Expenses_3</vt:lpstr>
      <vt:lpstr>Проект!Height_Expenses_4</vt:lpstr>
      <vt:lpstr>Проект!Height_Leasing</vt:lpstr>
      <vt:lpstr>Height_Loans</vt:lpstr>
      <vt:lpstr>Проект!Height_Personnel_1</vt:lpstr>
      <vt:lpstr>Проект!Height_Personnel_2</vt:lpstr>
      <vt:lpstr>Проект!Height_Personnel_3</vt:lpstr>
      <vt:lpstr>Проект!Height_Personnel_4</vt:lpstr>
      <vt:lpstr>Проект!Height_Taxes_1</vt:lpstr>
      <vt:lpstr>Проект!Height_Taxes_2</vt:lpstr>
      <vt:lpstr>IS_BUILT</vt:lpstr>
      <vt:lpstr>IS_DEMO</vt:lpstr>
      <vt:lpstr>IS_ESTATE</vt:lpstr>
      <vt:lpstr>IS_SUMM</vt:lpstr>
      <vt:lpstr>IS_TRIAL</vt:lpstr>
      <vt:lpstr>LanguageID</vt:lpstr>
      <vt:lpstr>Портфель!LAST_COLUMN</vt:lpstr>
      <vt:lpstr>Проект!LAST_COLUMN</vt:lpstr>
      <vt:lpstr>Портфель!LIFE_PRJ</vt:lpstr>
      <vt:lpstr>LNG_CurList</vt:lpstr>
      <vt:lpstr>Проект!NWC_T_Cr_AdvK</vt:lpstr>
      <vt:lpstr>Проект!NWC_T_Cr_AdvT</vt:lpstr>
      <vt:lpstr>Проект!NWC_T_Cr_CrdK</vt:lpstr>
      <vt:lpstr>Проект!NWC_T_Cr_CrdT</vt:lpstr>
      <vt:lpstr>Проект!NWC_T_Cycle</vt:lpstr>
      <vt:lpstr>Проект!NWC_T_Db_AdvK</vt:lpstr>
      <vt:lpstr>Проект!NWC_T_Db_AdvT</vt:lpstr>
      <vt:lpstr>Проект!NWC_T_Db_CrdK</vt:lpstr>
      <vt:lpstr>Проект!NWC_T_Db_CrdT</vt:lpstr>
      <vt:lpstr>Проект!NWC_T_Goods</vt:lpstr>
      <vt:lpstr>Проект!NWC_T_Mat</vt:lpstr>
      <vt:lpstr>Портфель!PeriodTitle</vt:lpstr>
      <vt:lpstr>Проект!PeriodTitle</vt:lpstr>
      <vt:lpstr>PORT_Consolidated_1</vt:lpstr>
      <vt:lpstr>Портфель!PORT_ExtPrjCount</vt:lpstr>
      <vt:lpstr>Портфель!PORT_ExtUpdatedTime</vt:lpstr>
      <vt:lpstr>Портфель!PORT_IntPrjCount</vt:lpstr>
      <vt:lpstr>Портфель!PORT_Name</vt:lpstr>
      <vt:lpstr>PORT_PRJ_COUNT</vt:lpstr>
      <vt:lpstr>Портфель!PORT_PrjList</vt:lpstr>
      <vt:lpstr>PORT_PrjPeriods</vt:lpstr>
      <vt:lpstr>Портфель!PRJ_Len</vt:lpstr>
      <vt:lpstr>Проект!PRJ_Len</vt:lpstr>
      <vt:lpstr>Проект!PRJ_Name</vt:lpstr>
      <vt:lpstr>Проект!PRJ_Protected</vt:lpstr>
      <vt:lpstr>Портфель!PRJ_StartDate</vt:lpstr>
      <vt:lpstr>Проект!PRJ_StartDate</vt:lpstr>
      <vt:lpstr>Портфель!PRJ_StartMon</vt:lpstr>
      <vt:lpstr>Проект!PRJ_StartMon</vt:lpstr>
      <vt:lpstr>Портфель!PRJ_StartYear</vt:lpstr>
      <vt:lpstr>Проект!PRJ_StartYear</vt:lpstr>
      <vt:lpstr>Портфель!PRJ_Step</vt:lpstr>
      <vt:lpstr>Проект!PRJ_Step</vt:lpstr>
      <vt:lpstr>Портфель!PRJ_Step_SName</vt:lpstr>
      <vt:lpstr>Проект!PRJ_Step_SName</vt:lpstr>
      <vt:lpstr>Портфель!PRJ_StepType</vt:lpstr>
      <vt:lpstr>Проект!PRJ_StepType</vt:lpstr>
      <vt:lpstr>Проект!Product_Count</vt:lpstr>
      <vt:lpstr>Проект!Product_Height_1</vt:lpstr>
      <vt:lpstr>Проект!Product_Height_2</vt:lpstr>
      <vt:lpstr>Проект!Product_Height_2_After</vt:lpstr>
      <vt:lpstr>Проект!Product_Height_3</vt:lpstr>
      <vt:lpstr>Проект!Product_Height_3_After</vt:lpstr>
      <vt:lpstr>Проект!Product_Height_4</vt:lpstr>
      <vt:lpstr>Проект!Product_Height_4_After</vt:lpstr>
      <vt:lpstr>Проект!Product_Height_5</vt:lpstr>
      <vt:lpstr>Проект!Product_Height_5_After</vt:lpstr>
      <vt:lpstr>Проект!Product_Height_6</vt:lpstr>
      <vt:lpstr>Проект!Product_Height_6_After</vt:lpstr>
      <vt:lpstr>Проект!Product_Height_7</vt:lpstr>
      <vt:lpstr>Проект!Product_Height_7_After</vt:lpstr>
      <vt:lpstr>Проект!Product_Height_8</vt:lpstr>
      <vt:lpstr>Проект!Product_Height_8_After</vt:lpstr>
      <vt:lpstr>Проект!Product_Height_9</vt:lpstr>
      <vt:lpstr>Проект!Product_Height_9_After</vt:lpstr>
      <vt:lpstr>Проект!ProfitTax</vt:lpstr>
      <vt:lpstr>Проект!SENS_Discount</vt:lpstr>
      <vt:lpstr>Проект!SENS_From</vt:lpstr>
      <vt:lpstr>Проект!SENS_Invest</vt:lpstr>
      <vt:lpstr>Проект!SENS_PList_Result</vt:lpstr>
      <vt:lpstr>Проект!SENS_PList_Source</vt:lpstr>
      <vt:lpstr>Проект!SENS_Price</vt:lpstr>
      <vt:lpstr>Проект!SENS_Result</vt:lpstr>
      <vt:lpstr>Проект!SENS_Sales</vt:lpstr>
      <vt:lpstr>Проект!SENS_Source</vt:lpstr>
      <vt:lpstr>Проект!SENS_Step</vt:lpstr>
      <vt:lpstr>Проект!SENS_Table</vt:lpstr>
      <vt:lpstr>ShowAbout</vt:lpstr>
      <vt:lpstr>Проект!ShowRealDates</vt:lpstr>
      <vt:lpstr>Проект!SUMM_Only_Money1</vt:lpstr>
      <vt:lpstr>Проект!SUMM_Only_Money2</vt:lpstr>
      <vt:lpstr>Портфель!Table_1</vt:lpstr>
      <vt:lpstr>Проект!Table_1</vt:lpstr>
      <vt:lpstr>Портфель!Table_10</vt:lpstr>
      <vt:lpstr>Проект!Table_10</vt:lpstr>
      <vt:lpstr>Портфель!Table_11</vt:lpstr>
      <vt:lpstr>Проект!Table_11</vt:lpstr>
      <vt:lpstr>Портфель!Table_12</vt:lpstr>
      <vt:lpstr>Проект!Table_12</vt:lpstr>
      <vt:lpstr>Проект!Table_13</vt:lpstr>
      <vt:lpstr>Проект!Table_14</vt:lpstr>
      <vt:lpstr>Проект!Table_15</vt:lpstr>
      <vt:lpstr>Проект!Table_16</vt:lpstr>
      <vt:lpstr>Проект!Table_17</vt:lpstr>
      <vt:lpstr>Проект!Table_18</vt:lpstr>
      <vt:lpstr>Проект!Table_19</vt:lpstr>
      <vt:lpstr>Портфель!Table_2</vt:lpstr>
      <vt:lpstr>Проект!Table_2</vt:lpstr>
      <vt:lpstr>Проект!Table_20</vt:lpstr>
      <vt:lpstr>Проект!Table_21</vt:lpstr>
      <vt:lpstr>Проект!Table_22</vt:lpstr>
      <vt:lpstr>Проект!Table_23</vt:lpstr>
      <vt:lpstr>Проект!Table_24</vt:lpstr>
      <vt:lpstr>Проект!Table_25</vt:lpstr>
      <vt:lpstr>Проект!Table_26</vt:lpstr>
      <vt:lpstr>Проект!Table_27</vt:lpstr>
      <vt:lpstr>Проект!Table_28</vt:lpstr>
      <vt:lpstr>Проект!Table_29</vt:lpstr>
      <vt:lpstr>Портфель!Table_3</vt:lpstr>
      <vt:lpstr>Проект!Table_3</vt:lpstr>
      <vt:lpstr>Проект!Table_30</vt:lpstr>
      <vt:lpstr>Проект!Table_31</vt:lpstr>
      <vt:lpstr>Проект!Table_32</vt:lpstr>
      <vt:lpstr>Проект!Table_33</vt:lpstr>
      <vt:lpstr>Проект!Table_34</vt:lpstr>
      <vt:lpstr>Портфель!Table_4</vt:lpstr>
      <vt:lpstr>Проект!Table_4</vt:lpstr>
      <vt:lpstr>Портфель!Table_5</vt:lpstr>
      <vt:lpstr>Проект!Table_5</vt:lpstr>
      <vt:lpstr>Портфель!Table_6</vt:lpstr>
      <vt:lpstr>Проект!Table_6</vt:lpstr>
      <vt:lpstr>Портфель!Table_7</vt:lpstr>
      <vt:lpstr>Проект!Table_7</vt:lpstr>
      <vt:lpstr>Портфель!Table_8</vt:lpstr>
      <vt:lpstr>Проект!Table_8</vt:lpstr>
      <vt:lpstr>Портфель!Table_9</vt:lpstr>
      <vt:lpstr>Проект!Table_9</vt:lpstr>
      <vt:lpstr>ToBuild_Demo</vt:lpstr>
      <vt:lpstr>ToBuild_Estate</vt:lpstr>
      <vt:lpstr>ToBuild_Lang</vt:lpstr>
      <vt:lpstr>ToBuild_Summ</vt:lpstr>
      <vt:lpstr>Проект!TotalProfit</vt:lpstr>
      <vt:lpstr>TRIAL_DATE</vt:lpstr>
      <vt:lpstr>Портфель!VAT</vt:lpstr>
      <vt:lpstr>Проект!VAT</vt:lpstr>
      <vt:lpstr>Проект!VAT_Period</vt:lpstr>
      <vt:lpstr>Проект!VAT_Repay</vt:lpstr>
      <vt:lpstr>Ver_BuildDate</vt:lpstr>
    </vt:vector>
  </TitlesOfParts>
  <Company>Альт-Инвест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Рябых</dc:creator>
  <cp:lastModifiedBy>PiKiZi X</cp:lastModifiedBy>
  <dcterms:created xsi:type="dcterms:W3CDTF">2008-07-10T14:34:54Z</dcterms:created>
  <dcterms:modified xsi:type="dcterms:W3CDTF">2024-04-08T16:02:46Z</dcterms:modified>
</cp:coreProperties>
</file>